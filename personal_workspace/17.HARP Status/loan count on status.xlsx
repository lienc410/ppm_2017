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activeTab="4"/>
  </bookViews>
  <sheets>
    <sheet name="Sheet1" sheetId="1" r:id="rId1"/>
    <sheet name="Sheet2" sheetId="2" r:id="rId2"/>
    <sheet name="Sheet3" sheetId="3" r:id="rId3"/>
    <sheet name="Sheet5" sheetId="5" r:id="rId4"/>
    <sheet name="&gt;80 LTV" sheetId="6" r:id="rId5"/>
    <sheet name="&lt;80 LTV" sheetId="10" r:id="rId6"/>
    <sheet name="no LTV filter" sheetId="9" r:id="rId7"/>
  </sheets>
  <definedNames>
    <definedName name="Query_from_Agency_13" localSheetId="5" hidden="1">'&lt;80 LTV'!$A$4:$C$333</definedName>
    <definedName name="Query_from_Agency_13" localSheetId="4" hidden="1">'&gt;80 LTV'!$A$4:$C$332</definedName>
    <definedName name="Query_from_Agency_13" localSheetId="6" hidden="1">'no LTV filter'!$A$4:$C$333</definedName>
    <definedName name="Query_from_Agency_14" localSheetId="5" hidden="1">'&lt;80 LTV'!$F$4:$H$379</definedName>
    <definedName name="Query_from_Agency_14" localSheetId="4" hidden="1">'&gt;80 LTV'!$F$4:$H$503</definedName>
    <definedName name="Query_from_Agency_14" localSheetId="6" hidden="1">'no LTV filter'!$F$4:$H$516</definedName>
    <definedName name="temp_1" localSheetId="0">Sheet1!$A$1:$C$384</definedName>
    <definedName name="temp_2" localSheetId="0">Sheet1!$U$1:$W$367</definedName>
    <definedName name="temp_3" localSheetId="0">Sheet1!#REF!</definedName>
  </definedNames>
  <calcPr calcId="145621"/>
  <pivotCaches>
    <pivotCache cacheId="0" r:id="rId8"/>
    <pivotCache cacheId="1" r:id="rId9"/>
    <pivotCache cacheId="2" r:id="rId10"/>
    <pivotCache cacheId="3" r:id="rId11"/>
    <pivotCache cacheId="51" r:id="rId12"/>
    <pivotCache cacheId="55" r:id="rId13"/>
    <pivotCache cacheId="72" r:id="rId14"/>
    <pivotCache cacheId="76" r:id="rId15"/>
    <pivotCache cacheId="84" r:id="rId16"/>
    <pivotCache cacheId="88" r:id="rId17"/>
  </pivotCaches>
</workbook>
</file>

<file path=xl/calcChain.xml><?xml version="1.0" encoding="utf-8"?>
<calcChain xmlns="http://schemas.openxmlformats.org/spreadsheetml/2006/main">
  <c r="AF7" i="10" l="1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H38" i="10" s="1"/>
  <c r="AF39" i="10"/>
  <c r="AF40" i="10"/>
  <c r="AF41" i="10"/>
  <c r="AF42" i="10"/>
  <c r="AF43" i="10"/>
  <c r="AF44" i="10"/>
  <c r="AF45" i="10"/>
  <c r="AF46" i="10"/>
  <c r="AH46" i="10" s="1"/>
  <c r="AF47" i="10"/>
  <c r="AF48" i="10"/>
  <c r="AF49" i="10"/>
  <c r="AF50" i="10"/>
  <c r="AF51" i="10"/>
  <c r="AF52" i="10"/>
  <c r="AF53" i="10"/>
  <c r="AF54" i="10"/>
  <c r="AH54" i="10" s="1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H70" i="10" s="1"/>
  <c r="AF71" i="10"/>
  <c r="AF72" i="10"/>
  <c r="AF73" i="10"/>
  <c r="AF74" i="10"/>
  <c r="AF75" i="10"/>
  <c r="AF76" i="10"/>
  <c r="AF77" i="10"/>
  <c r="AF78" i="10"/>
  <c r="AH78" i="10" s="1"/>
  <c r="AF79" i="10"/>
  <c r="AF80" i="10"/>
  <c r="AF81" i="10"/>
  <c r="AF82" i="10"/>
  <c r="AF83" i="10"/>
  <c r="AF84" i="10"/>
  <c r="AF85" i="10"/>
  <c r="AF86" i="10"/>
  <c r="AH86" i="10" s="1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H102" i="10" s="1"/>
  <c r="AF103" i="10"/>
  <c r="AF104" i="10"/>
  <c r="AF105" i="10"/>
  <c r="AF106" i="10"/>
  <c r="AF107" i="10"/>
  <c r="AF108" i="10"/>
  <c r="AF109" i="10"/>
  <c r="AF110" i="10"/>
  <c r="AH110" i="10" s="1"/>
  <c r="AF111" i="10"/>
  <c r="AF112" i="10"/>
  <c r="AF113" i="10"/>
  <c r="AF114" i="10"/>
  <c r="AF115" i="10"/>
  <c r="AF116" i="10"/>
  <c r="AF117" i="10"/>
  <c r="AF118" i="10"/>
  <c r="AH118" i="10" s="1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H134" i="10" s="1"/>
  <c r="AF135" i="10"/>
  <c r="AF136" i="10"/>
  <c r="AF137" i="10"/>
  <c r="AF138" i="10"/>
  <c r="AH138" i="10" s="1"/>
  <c r="AF139" i="10"/>
  <c r="AF140" i="10"/>
  <c r="AF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6" i="10"/>
  <c r="AH9" i="10"/>
  <c r="AH17" i="10"/>
  <c r="AH25" i="10"/>
  <c r="AH33" i="10"/>
  <c r="AH41" i="10"/>
  <c r="AH49" i="10"/>
  <c r="AH57" i="10"/>
  <c r="AH65" i="10"/>
  <c r="AH73" i="10"/>
  <c r="AH81" i="10"/>
  <c r="AH89" i="10"/>
  <c r="AH97" i="10"/>
  <c r="AH105" i="10"/>
  <c r="AH113" i="10"/>
  <c r="AH121" i="10"/>
  <c r="AH129" i="10"/>
  <c r="AH137" i="10"/>
  <c r="AE140" i="10"/>
  <c r="AH140" i="10" s="1"/>
  <c r="AE139" i="10"/>
  <c r="AH139" i="10" s="1"/>
  <c r="AE138" i="10"/>
  <c r="AE137" i="10"/>
  <c r="AE136" i="10"/>
  <c r="AH136" i="10" s="1"/>
  <c r="AE135" i="10"/>
  <c r="AE134" i="10"/>
  <c r="AE133" i="10"/>
  <c r="AH133" i="10" s="1"/>
  <c r="AE132" i="10"/>
  <c r="AE131" i="10"/>
  <c r="AH130" i="10"/>
  <c r="AE130" i="10"/>
  <c r="AE129" i="10"/>
  <c r="AE128" i="10"/>
  <c r="AH128" i="10" s="1"/>
  <c r="AE127" i="10"/>
  <c r="AH126" i="10"/>
  <c r="AE126" i="10"/>
  <c r="AE125" i="10"/>
  <c r="AE124" i="10"/>
  <c r="AH124" i="10" s="1"/>
  <c r="AE123" i="10"/>
  <c r="AH123" i="10" s="1"/>
  <c r="AH122" i="10"/>
  <c r="AE122" i="10"/>
  <c r="AE121" i="10"/>
  <c r="AE120" i="10"/>
  <c r="AH120" i="10" s="1"/>
  <c r="AE119" i="10"/>
  <c r="AE118" i="10"/>
  <c r="AE117" i="10"/>
  <c r="AE116" i="10"/>
  <c r="AH116" i="10" s="1"/>
  <c r="AE115" i="10"/>
  <c r="AH115" i="10" s="1"/>
  <c r="AH114" i="10"/>
  <c r="AE114" i="10"/>
  <c r="AE113" i="10"/>
  <c r="AE112" i="10"/>
  <c r="AH112" i="10" s="1"/>
  <c r="AE111" i="10"/>
  <c r="AE110" i="10"/>
  <c r="AE109" i="10"/>
  <c r="AE108" i="10"/>
  <c r="AH108" i="10" s="1"/>
  <c r="AE107" i="10"/>
  <c r="AH107" i="10" s="1"/>
  <c r="AH106" i="10"/>
  <c r="AE106" i="10"/>
  <c r="AE105" i="10"/>
  <c r="AE104" i="10"/>
  <c r="AH104" i="10" s="1"/>
  <c r="AE103" i="10"/>
  <c r="AE102" i="10"/>
  <c r="AE101" i="10"/>
  <c r="AH101" i="10" s="1"/>
  <c r="AE100" i="10"/>
  <c r="AH100" i="10" s="1"/>
  <c r="AE99" i="10"/>
  <c r="AH98" i="10"/>
  <c r="AE98" i="10"/>
  <c r="AE97" i="10"/>
  <c r="AE96" i="10"/>
  <c r="AH96" i="10" s="1"/>
  <c r="AE95" i="10"/>
  <c r="AH94" i="10"/>
  <c r="AE94" i="10"/>
  <c r="AE93" i="10"/>
  <c r="AE92" i="10"/>
  <c r="AH92" i="10" s="1"/>
  <c r="AE91" i="10"/>
  <c r="AH91" i="10" s="1"/>
  <c r="AH90" i="10"/>
  <c r="AE90" i="10"/>
  <c r="AE89" i="10"/>
  <c r="AE88" i="10"/>
  <c r="AH88" i="10" s="1"/>
  <c r="AE87" i="10"/>
  <c r="AE86" i="10"/>
  <c r="AE85" i="10"/>
  <c r="AE84" i="10"/>
  <c r="AH84" i="10" s="1"/>
  <c r="AE83" i="10"/>
  <c r="AH83" i="10" s="1"/>
  <c r="AH82" i="10"/>
  <c r="AE82" i="10"/>
  <c r="AE81" i="10"/>
  <c r="AE80" i="10"/>
  <c r="AH80" i="10" s="1"/>
  <c r="AE79" i="10"/>
  <c r="AE78" i="10"/>
  <c r="AE77" i="10"/>
  <c r="AH77" i="10" s="1"/>
  <c r="AE76" i="10"/>
  <c r="AH76" i="10" s="1"/>
  <c r="AE75" i="10"/>
  <c r="AH75" i="10" s="1"/>
  <c r="AH74" i="10"/>
  <c r="AE74" i="10"/>
  <c r="AE73" i="10"/>
  <c r="AE72" i="10"/>
  <c r="AH72" i="10" s="1"/>
  <c r="AE71" i="10"/>
  <c r="AE70" i="10"/>
  <c r="AE69" i="10"/>
  <c r="AH69" i="10" s="1"/>
  <c r="AE68" i="10"/>
  <c r="AH68" i="10" s="1"/>
  <c r="AE67" i="10"/>
  <c r="AH66" i="10"/>
  <c r="AE66" i="10"/>
  <c r="AE65" i="10"/>
  <c r="AE64" i="10"/>
  <c r="AH64" i="10" s="1"/>
  <c r="AE63" i="10"/>
  <c r="AH62" i="10"/>
  <c r="AE62" i="10"/>
  <c r="AE61" i="10"/>
  <c r="AE60" i="10"/>
  <c r="AH60" i="10" s="1"/>
  <c r="AE59" i="10"/>
  <c r="AH59" i="10" s="1"/>
  <c r="AH58" i="10"/>
  <c r="AE58" i="10"/>
  <c r="AE57" i="10"/>
  <c r="AE56" i="10"/>
  <c r="AH56" i="10" s="1"/>
  <c r="AE55" i="10"/>
  <c r="AE54" i="10"/>
  <c r="AE53" i="10"/>
  <c r="AH53" i="10" s="1"/>
  <c r="AE52" i="10"/>
  <c r="AH52" i="10" s="1"/>
  <c r="AE51" i="10"/>
  <c r="AH51" i="10" s="1"/>
  <c r="AH50" i="10"/>
  <c r="AE50" i="10"/>
  <c r="AE49" i="10"/>
  <c r="AE48" i="10"/>
  <c r="AH48" i="10" s="1"/>
  <c r="AE47" i="10"/>
  <c r="AE46" i="10"/>
  <c r="AE45" i="10"/>
  <c r="AH45" i="10" s="1"/>
  <c r="AE44" i="10"/>
  <c r="AH44" i="10" s="1"/>
  <c r="AE43" i="10"/>
  <c r="AH43" i="10" s="1"/>
  <c r="AH42" i="10"/>
  <c r="AE42" i="10"/>
  <c r="AE41" i="10"/>
  <c r="AE40" i="10"/>
  <c r="AH40" i="10" s="1"/>
  <c r="AE39" i="10"/>
  <c r="AE38" i="10"/>
  <c r="AE37" i="10"/>
  <c r="AH37" i="10" s="1"/>
  <c r="AE36" i="10"/>
  <c r="AH36" i="10" s="1"/>
  <c r="AE35" i="10"/>
  <c r="AH34" i="10"/>
  <c r="AE34" i="10"/>
  <c r="AE33" i="10"/>
  <c r="AE32" i="10"/>
  <c r="AH32" i="10" s="1"/>
  <c r="AE31" i="10"/>
  <c r="AH30" i="10"/>
  <c r="AE30" i="10"/>
  <c r="AE29" i="10"/>
  <c r="AE28" i="10"/>
  <c r="AH28" i="10" s="1"/>
  <c r="AE27" i="10"/>
  <c r="AH27" i="10" s="1"/>
  <c r="AH26" i="10"/>
  <c r="AE26" i="10"/>
  <c r="AE25" i="10"/>
  <c r="AE24" i="10"/>
  <c r="AH24" i="10" s="1"/>
  <c r="AE23" i="10"/>
  <c r="AE22" i="10"/>
  <c r="AE21" i="10"/>
  <c r="AE20" i="10"/>
  <c r="AH20" i="10" s="1"/>
  <c r="AE19" i="10"/>
  <c r="AH18" i="10"/>
  <c r="AE18" i="10"/>
  <c r="AE17" i="10"/>
  <c r="AE16" i="10"/>
  <c r="AH16" i="10" s="1"/>
  <c r="AE15" i="10"/>
  <c r="AE14" i="10"/>
  <c r="AE13" i="10"/>
  <c r="AH13" i="10" s="1"/>
  <c r="AE12" i="10"/>
  <c r="AH12" i="10" s="1"/>
  <c r="AE11" i="10"/>
  <c r="AH11" i="10" s="1"/>
  <c r="AH10" i="10"/>
  <c r="AE10" i="10"/>
  <c r="AE9" i="10"/>
  <c r="AE8" i="10"/>
  <c r="AH8" i="10" s="1"/>
  <c r="AE7" i="10"/>
  <c r="AE6" i="10"/>
  <c r="AI140" i="9"/>
  <c r="AH140" i="9"/>
  <c r="AF140" i="9"/>
  <c r="AE140" i="9"/>
  <c r="AI139" i="9"/>
  <c r="AH139" i="9"/>
  <c r="AF139" i="9"/>
  <c r="AE139" i="9"/>
  <c r="AI138" i="9"/>
  <c r="AH138" i="9"/>
  <c r="AF138" i="9"/>
  <c r="AE138" i="9"/>
  <c r="AI137" i="9"/>
  <c r="AH137" i="9"/>
  <c r="AF137" i="9"/>
  <c r="AE137" i="9"/>
  <c r="AI136" i="9"/>
  <c r="AH136" i="9"/>
  <c r="AF136" i="9"/>
  <c r="AE136" i="9"/>
  <c r="AI135" i="9"/>
  <c r="AH135" i="9"/>
  <c r="AF135" i="9"/>
  <c r="AE135" i="9"/>
  <c r="AI134" i="9"/>
  <c r="AH134" i="9"/>
  <c r="AF134" i="9"/>
  <c r="AE134" i="9"/>
  <c r="AI133" i="9"/>
  <c r="AH133" i="9"/>
  <c r="AF133" i="9"/>
  <c r="AE133" i="9"/>
  <c r="AG133" i="9" s="1"/>
  <c r="AI132" i="9"/>
  <c r="AH132" i="9"/>
  <c r="AF132" i="9"/>
  <c r="AE132" i="9"/>
  <c r="AI131" i="9"/>
  <c r="AH131" i="9"/>
  <c r="AF131" i="9"/>
  <c r="AE131" i="9"/>
  <c r="AI130" i="9"/>
  <c r="AH130" i="9"/>
  <c r="AF130" i="9"/>
  <c r="AE130" i="9"/>
  <c r="AI129" i="9"/>
  <c r="AH129" i="9"/>
  <c r="AF129" i="9"/>
  <c r="AE129" i="9"/>
  <c r="AI128" i="9"/>
  <c r="AH128" i="9"/>
  <c r="AF128" i="9"/>
  <c r="AE128" i="9"/>
  <c r="AI127" i="9"/>
  <c r="AH127" i="9"/>
  <c r="AF127" i="9"/>
  <c r="AE127" i="9"/>
  <c r="AI126" i="9"/>
  <c r="AH126" i="9"/>
  <c r="AF126" i="9"/>
  <c r="AE126" i="9"/>
  <c r="AI125" i="9"/>
  <c r="AH125" i="9"/>
  <c r="AF125" i="9"/>
  <c r="AE125" i="9"/>
  <c r="AG125" i="9" s="1"/>
  <c r="AI124" i="9"/>
  <c r="AH124" i="9"/>
  <c r="AF124" i="9"/>
  <c r="AE124" i="9"/>
  <c r="AI123" i="9"/>
  <c r="AH123" i="9"/>
  <c r="AF123" i="9"/>
  <c r="AE123" i="9"/>
  <c r="AI122" i="9"/>
  <c r="AH122" i="9"/>
  <c r="AF122" i="9"/>
  <c r="AE122" i="9"/>
  <c r="AI121" i="9"/>
  <c r="AH121" i="9"/>
  <c r="AF121" i="9"/>
  <c r="AE121" i="9"/>
  <c r="AI120" i="9"/>
  <c r="AH120" i="9"/>
  <c r="AF120" i="9"/>
  <c r="AE120" i="9"/>
  <c r="AI119" i="9"/>
  <c r="AH119" i="9"/>
  <c r="AF119" i="9"/>
  <c r="AE119" i="9"/>
  <c r="AI118" i="9"/>
  <c r="AH118" i="9"/>
  <c r="AF118" i="9"/>
  <c r="AE118" i="9"/>
  <c r="AI117" i="9"/>
  <c r="AH117" i="9"/>
  <c r="AF117" i="9"/>
  <c r="AE117" i="9"/>
  <c r="AI116" i="9"/>
  <c r="AH116" i="9"/>
  <c r="AF116" i="9"/>
  <c r="AE116" i="9"/>
  <c r="AI115" i="9"/>
  <c r="AH115" i="9"/>
  <c r="AF115" i="9"/>
  <c r="AE115" i="9"/>
  <c r="AI114" i="9"/>
  <c r="AH114" i="9"/>
  <c r="AF114" i="9"/>
  <c r="AE114" i="9"/>
  <c r="AI113" i="9"/>
  <c r="AH113" i="9"/>
  <c r="AF113" i="9"/>
  <c r="AE113" i="9"/>
  <c r="AI112" i="9"/>
  <c r="AH112" i="9"/>
  <c r="AF112" i="9"/>
  <c r="AE112" i="9"/>
  <c r="AI111" i="9"/>
  <c r="AH111" i="9"/>
  <c r="AF111" i="9"/>
  <c r="AE111" i="9"/>
  <c r="AI110" i="9"/>
  <c r="AH110" i="9"/>
  <c r="AF110" i="9"/>
  <c r="AE110" i="9"/>
  <c r="AI109" i="9"/>
  <c r="AH109" i="9"/>
  <c r="AF109" i="9"/>
  <c r="AE109" i="9"/>
  <c r="AI108" i="9"/>
  <c r="AH108" i="9"/>
  <c r="AF108" i="9"/>
  <c r="AE108" i="9"/>
  <c r="AI107" i="9"/>
  <c r="AH107" i="9"/>
  <c r="AF107" i="9"/>
  <c r="AE107" i="9"/>
  <c r="AI106" i="9"/>
  <c r="AH106" i="9"/>
  <c r="AF106" i="9"/>
  <c r="AE106" i="9"/>
  <c r="AI105" i="9"/>
  <c r="AH105" i="9"/>
  <c r="AF105" i="9"/>
  <c r="AE105" i="9"/>
  <c r="AI104" i="9"/>
  <c r="AH104" i="9"/>
  <c r="AF104" i="9"/>
  <c r="AE104" i="9"/>
  <c r="AI103" i="9"/>
  <c r="AH103" i="9"/>
  <c r="AF103" i="9"/>
  <c r="AE103" i="9"/>
  <c r="AI102" i="9"/>
  <c r="AH102" i="9"/>
  <c r="AF102" i="9"/>
  <c r="AE102" i="9"/>
  <c r="AI101" i="9"/>
  <c r="AH101" i="9"/>
  <c r="AF101" i="9"/>
  <c r="AE101" i="9"/>
  <c r="AI100" i="9"/>
  <c r="AH100" i="9"/>
  <c r="AF100" i="9"/>
  <c r="AE100" i="9"/>
  <c r="AI99" i="9"/>
  <c r="AH99" i="9"/>
  <c r="AF99" i="9"/>
  <c r="AE99" i="9"/>
  <c r="AI98" i="9"/>
  <c r="AH98" i="9"/>
  <c r="AF98" i="9"/>
  <c r="AE98" i="9"/>
  <c r="AI97" i="9"/>
  <c r="AH97" i="9"/>
  <c r="AF97" i="9"/>
  <c r="AE97" i="9"/>
  <c r="AI96" i="9"/>
  <c r="AH96" i="9"/>
  <c r="AF96" i="9"/>
  <c r="AE96" i="9"/>
  <c r="AI95" i="9"/>
  <c r="AH95" i="9"/>
  <c r="AF95" i="9"/>
  <c r="AE95" i="9"/>
  <c r="AI94" i="9"/>
  <c r="AH94" i="9"/>
  <c r="AF94" i="9"/>
  <c r="AE94" i="9"/>
  <c r="AI93" i="9"/>
  <c r="AH93" i="9"/>
  <c r="AF93" i="9"/>
  <c r="AE93" i="9"/>
  <c r="AG93" i="9" s="1"/>
  <c r="AI92" i="9"/>
  <c r="AH92" i="9"/>
  <c r="AF92" i="9"/>
  <c r="AE92" i="9"/>
  <c r="AI91" i="9"/>
  <c r="AH91" i="9"/>
  <c r="AF91" i="9"/>
  <c r="AE91" i="9"/>
  <c r="AI90" i="9"/>
  <c r="AH90" i="9"/>
  <c r="AF90" i="9"/>
  <c r="AE90" i="9"/>
  <c r="AI89" i="9"/>
  <c r="AH89" i="9"/>
  <c r="AF89" i="9"/>
  <c r="AE89" i="9"/>
  <c r="AI88" i="9"/>
  <c r="AH88" i="9"/>
  <c r="AF88" i="9"/>
  <c r="AE88" i="9"/>
  <c r="AI87" i="9"/>
  <c r="AH87" i="9"/>
  <c r="AF87" i="9"/>
  <c r="AE87" i="9"/>
  <c r="AI86" i="9"/>
  <c r="AH86" i="9"/>
  <c r="AF86" i="9"/>
  <c r="AE86" i="9"/>
  <c r="AI85" i="9"/>
  <c r="AH85" i="9"/>
  <c r="AF85" i="9"/>
  <c r="AE85" i="9"/>
  <c r="AI84" i="9"/>
  <c r="AH84" i="9"/>
  <c r="AF84" i="9"/>
  <c r="AE84" i="9"/>
  <c r="AI83" i="9"/>
  <c r="AH83" i="9"/>
  <c r="AF83" i="9"/>
  <c r="AE83" i="9"/>
  <c r="AI82" i="9"/>
  <c r="AH82" i="9"/>
  <c r="AF82" i="9"/>
  <c r="AE82" i="9"/>
  <c r="AI81" i="9"/>
  <c r="AH81" i="9"/>
  <c r="AF81" i="9"/>
  <c r="AE81" i="9"/>
  <c r="AI80" i="9"/>
  <c r="AH80" i="9"/>
  <c r="AF80" i="9"/>
  <c r="AE80" i="9"/>
  <c r="AI79" i="9"/>
  <c r="AH79" i="9"/>
  <c r="AF79" i="9"/>
  <c r="AE79" i="9"/>
  <c r="AI78" i="9"/>
  <c r="AH78" i="9"/>
  <c r="AF78" i="9"/>
  <c r="AE78" i="9"/>
  <c r="AI77" i="9"/>
  <c r="AH77" i="9"/>
  <c r="AF77" i="9"/>
  <c r="AE77" i="9"/>
  <c r="AI76" i="9"/>
  <c r="AH76" i="9"/>
  <c r="AF76" i="9"/>
  <c r="AE76" i="9"/>
  <c r="AI75" i="9"/>
  <c r="AH75" i="9"/>
  <c r="AF75" i="9"/>
  <c r="AE75" i="9"/>
  <c r="AI74" i="9"/>
  <c r="AH74" i="9"/>
  <c r="AF74" i="9"/>
  <c r="AE74" i="9"/>
  <c r="AI73" i="9"/>
  <c r="AH73" i="9"/>
  <c r="AF73" i="9"/>
  <c r="AE73" i="9"/>
  <c r="AI72" i="9"/>
  <c r="AH72" i="9"/>
  <c r="AF72" i="9"/>
  <c r="AE72" i="9"/>
  <c r="AI71" i="9"/>
  <c r="AH71" i="9"/>
  <c r="AF71" i="9"/>
  <c r="AE71" i="9"/>
  <c r="AI70" i="9"/>
  <c r="AH70" i="9"/>
  <c r="AF70" i="9"/>
  <c r="AE70" i="9"/>
  <c r="AI69" i="9"/>
  <c r="AH69" i="9"/>
  <c r="AF69" i="9"/>
  <c r="AE69" i="9"/>
  <c r="AI68" i="9"/>
  <c r="AH68" i="9"/>
  <c r="AF68" i="9"/>
  <c r="AE68" i="9"/>
  <c r="AI67" i="9"/>
  <c r="AH67" i="9"/>
  <c r="AF67" i="9"/>
  <c r="AE67" i="9"/>
  <c r="AI66" i="9"/>
  <c r="AH66" i="9"/>
  <c r="AF66" i="9"/>
  <c r="AE66" i="9"/>
  <c r="AI65" i="9"/>
  <c r="AH65" i="9"/>
  <c r="AF65" i="9"/>
  <c r="AE65" i="9"/>
  <c r="AI64" i="9"/>
  <c r="AH64" i="9"/>
  <c r="AF64" i="9"/>
  <c r="AE64" i="9"/>
  <c r="AI63" i="9"/>
  <c r="AH63" i="9"/>
  <c r="AF63" i="9"/>
  <c r="AE63" i="9"/>
  <c r="AI62" i="9"/>
  <c r="AH62" i="9"/>
  <c r="AF62" i="9"/>
  <c r="AE62" i="9"/>
  <c r="AI61" i="9"/>
  <c r="AH61" i="9"/>
  <c r="AF61" i="9"/>
  <c r="AE61" i="9"/>
  <c r="AI60" i="9"/>
  <c r="AH60" i="9"/>
  <c r="AF60" i="9"/>
  <c r="AE60" i="9"/>
  <c r="AI59" i="9"/>
  <c r="AH59" i="9"/>
  <c r="AF59" i="9"/>
  <c r="AE59" i="9"/>
  <c r="AI58" i="9"/>
  <c r="AH58" i="9"/>
  <c r="AF58" i="9"/>
  <c r="AE58" i="9"/>
  <c r="AI57" i="9"/>
  <c r="AH57" i="9"/>
  <c r="AF57" i="9"/>
  <c r="AE57" i="9"/>
  <c r="AI56" i="9"/>
  <c r="AH56" i="9"/>
  <c r="AF56" i="9"/>
  <c r="AE56" i="9"/>
  <c r="AI55" i="9"/>
  <c r="AH55" i="9"/>
  <c r="AF55" i="9"/>
  <c r="AE55" i="9"/>
  <c r="AI54" i="9"/>
  <c r="AH54" i="9"/>
  <c r="AF54" i="9"/>
  <c r="AE54" i="9"/>
  <c r="AI53" i="9"/>
  <c r="AH53" i="9"/>
  <c r="AF53" i="9"/>
  <c r="AE53" i="9"/>
  <c r="AI52" i="9"/>
  <c r="AH52" i="9"/>
  <c r="AF52" i="9"/>
  <c r="AE52" i="9"/>
  <c r="AI51" i="9"/>
  <c r="AH51" i="9"/>
  <c r="AF51" i="9"/>
  <c r="AE51" i="9"/>
  <c r="AI50" i="9"/>
  <c r="AH50" i="9"/>
  <c r="AF50" i="9"/>
  <c r="AE50" i="9"/>
  <c r="AI49" i="9"/>
  <c r="AH49" i="9"/>
  <c r="AF49" i="9"/>
  <c r="AE49" i="9"/>
  <c r="AI48" i="9"/>
  <c r="AH48" i="9"/>
  <c r="AF48" i="9"/>
  <c r="AE48" i="9"/>
  <c r="AI47" i="9"/>
  <c r="AH47" i="9"/>
  <c r="AF47" i="9"/>
  <c r="AE47" i="9"/>
  <c r="AI46" i="9"/>
  <c r="AH46" i="9"/>
  <c r="AF46" i="9"/>
  <c r="AE46" i="9"/>
  <c r="AI45" i="9"/>
  <c r="AH45" i="9"/>
  <c r="AF45" i="9"/>
  <c r="AE45" i="9"/>
  <c r="AI44" i="9"/>
  <c r="AH44" i="9"/>
  <c r="AF44" i="9"/>
  <c r="AE44" i="9"/>
  <c r="AI43" i="9"/>
  <c r="AH43" i="9"/>
  <c r="AF43" i="9"/>
  <c r="AE43" i="9"/>
  <c r="AI42" i="9"/>
  <c r="AH42" i="9"/>
  <c r="AF42" i="9"/>
  <c r="AE42" i="9"/>
  <c r="AI41" i="9"/>
  <c r="AH41" i="9"/>
  <c r="AF41" i="9"/>
  <c r="AE41" i="9"/>
  <c r="AI40" i="9"/>
  <c r="AH40" i="9"/>
  <c r="AF40" i="9"/>
  <c r="AE40" i="9"/>
  <c r="AI39" i="9"/>
  <c r="AH39" i="9"/>
  <c r="AF39" i="9"/>
  <c r="AE39" i="9"/>
  <c r="AI38" i="9"/>
  <c r="AH38" i="9"/>
  <c r="AF38" i="9"/>
  <c r="AE38" i="9"/>
  <c r="AI37" i="9"/>
  <c r="AH37" i="9"/>
  <c r="AF37" i="9"/>
  <c r="AE37" i="9"/>
  <c r="AI36" i="9"/>
  <c r="AH36" i="9"/>
  <c r="AF36" i="9"/>
  <c r="AE36" i="9"/>
  <c r="AI35" i="9"/>
  <c r="AH35" i="9"/>
  <c r="AF35" i="9"/>
  <c r="AE35" i="9"/>
  <c r="AI34" i="9"/>
  <c r="AH34" i="9"/>
  <c r="AF34" i="9"/>
  <c r="AE34" i="9"/>
  <c r="AI33" i="9"/>
  <c r="AH33" i="9"/>
  <c r="AF33" i="9"/>
  <c r="AE33" i="9"/>
  <c r="AI32" i="9"/>
  <c r="AH32" i="9"/>
  <c r="AF32" i="9"/>
  <c r="AE32" i="9"/>
  <c r="AI31" i="9"/>
  <c r="AH31" i="9"/>
  <c r="AF31" i="9"/>
  <c r="AE31" i="9"/>
  <c r="AI30" i="9"/>
  <c r="AH30" i="9"/>
  <c r="AF30" i="9"/>
  <c r="AE30" i="9"/>
  <c r="AI29" i="9"/>
  <c r="AH29" i="9"/>
  <c r="AF29" i="9"/>
  <c r="AE29" i="9"/>
  <c r="AI28" i="9"/>
  <c r="AH28" i="9"/>
  <c r="AF28" i="9"/>
  <c r="AE28" i="9"/>
  <c r="AI27" i="9"/>
  <c r="AH27" i="9"/>
  <c r="AF27" i="9"/>
  <c r="AE27" i="9"/>
  <c r="AI26" i="9"/>
  <c r="AH26" i="9"/>
  <c r="AF26" i="9"/>
  <c r="AE26" i="9"/>
  <c r="AI25" i="9"/>
  <c r="AH25" i="9"/>
  <c r="AF25" i="9"/>
  <c r="AE25" i="9"/>
  <c r="AI24" i="9"/>
  <c r="AH24" i="9"/>
  <c r="AF24" i="9"/>
  <c r="AE24" i="9"/>
  <c r="AI23" i="9"/>
  <c r="AH23" i="9"/>
  <c r="AF23" i="9"/>
  <c r="AE23" i="9"/>
  <c r="AI22" i="9"/>
  <c r="AH22" i="9"/>
  <c r="AF22" i="9"/>
  <c r="AE22" i="9"/>
  <c r="AI21" i="9"/>
  <c r="AH21" i="9"/>
  <c r="AF21" i="9"/>
  <c r="AE21" i="9"/>
  <c r="AI20" i="9"/>
  <c r="AH20" i="9"/>
  <c r="AF20" i="9"/>
  <c r="AE20" i="9"/>
  <c r="AI19" i="9"/>
  <c r="AH19" i="9"/>
  <c r="AF19" i="9"/>
  <c r="AE19" i="9"/>
  <c r="AI18" i="9"/>
  <c r="AH18" i="9"/>
  <c r="AF18" i="9"/>
  <c r="AE18" i="9"/>
  <c r="AI17" i="9"/>
  <c r="AH17" i="9"/>
  <c r="AF17" i="9"/>
  <c r="AE17" i="9"/>
  <c r="AI16" i="9"/>
  <c r="AH16" i="9"/>
  <c r="AF16" i="9"/>
  <c r="AE16" i="9"/>
  <c r="AI15" i="9"/>
  <c r="AH15" i="9"/>
  <c r="AF15" i="9"/>
  <c r="AE15" i="9"/>
  <c r="AI14" i="9"/>
  <c r="AH14" i="9"/>
  <c r="AF14" i="9"/>
  <c r="AE14" i="9"/>
  <c r="AI13" i="9"/>
  <c r="AH13" i="9"/>
  <c r="AF13" i="9"/>
  <c r="AE13" i="9"/>
  <c r="AG13" i="9" s="1"/>
  <c r="AI12" i="9"/>
  <c r="AH12" i="9"/>
  <c r="AF12" i="9"/>
  <c r="AE12" i="9"/>
  <c r="AI11" i="9"/>
  <c r="AH11" i="9"/>
  <c r="AF11" i="9"/>
  <c r="AE11" i="9"/>
  <c r="AI10" i="9"/>
  <c r="AH10" i="9"/>
  <c r="AF10" i="9"/>
  <c r="AE10" i="9"/>
  <c r="AI9" i="9"/>
  <c r="AH9" i="9"/>
  <c r="AF9" i="9"/>
  <c r="AE9" i="9"/>
  <c r="AI8" i="9"/>
  <c r="AH8" i="9"/>
  <c r="AF8" i="9"/>
  <c r="AE8" i="9"/>
  <c r="AI7" i="9"/>
  <c r="AH7" i="9"/>
  <c r="AF7" i="9"/>
  <c r="AE7" i="9"/>
  <c r="AI6" i="9"/>
  <c r="AH6" i="9"/>
  <c r="AF6" i="9"/>
  <c r="AE6" i="9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6" i="6"/>
  <c r="AE7" i="6"/>
  <c r="AF7" i="6"/>
  <c r="AH7" i="6"/>
  <c r="AI7" i="6"/>
  <c r="AE8" i="6"/>
  <c r="AF8" i="6"/>
  <c r="AH8" i="6"/>
  <c r="AI8" i="6"/>
  <c r="AE9" i="6"/>
  <c r="AF9" i="6"/>
  <c r="AH9" i="6"/>
  <c r="AI9" i="6"/>
  <c r="AE10" i="6"/>
  <c r="AF10" i="6"/>
  <c r="AH10" i="6"/>
  <c r="AI10" i="6"/>
  <c r="AE11" i="6"/>
  <c r="AF11" i="6"/>
  <c r="AH11" i="6"/>
  <c r="AI11" i="6"/>
  <c r="AE12" i="6"/>
  <c r="AF12" i="6"/>
  <c r="AH12" i="6"/>
  <c r="AI12" i="6"/>
  <c r="AE13" i="6"/>
  <c r="AF13" i="6"/>
  <c r="AH13" i="6"/>
  <c r="AI13" i="6"/>
  <c r="AE14" i="6"/>
  <c r="AF14" i="6"/>
  <c r="AH14" i="6"/>
  <c r="AI14" i="6"/>
  <c r="AE15" i="6"/>
  <c r="AF15" i="6"/>
  <c r="AH15" i="6"/>
  <c r="AI15" i="6"/>
  <c r="AE16" i="6"/>
  <c r="AF16" i="6"/>
  <c r="AH16" i="6"/>
  <c r="AI16" i="6"/>
  <c r="AE17" i="6"/>
  <c r="AF17" i="6"/>
  <c r="AH17" i="6"/>
  <c r="AI17" i="6"/>
  <c r="AE18" i="6"/>
  <c r="AF18" i="6"/>
  <c r="AH18" i="6"/>
  <c r="AI18" i="6"/>
  <c r="AE19" i="6"/>
  <c r="AF19" i="6"/>
  <c r="AH19" i="6"/>
  <c r="AI19" i="6"/>
  <c r="AE20" i="6"/>
  <c r="AF20" i="6"/>
  <c r="AH20" i="6"/>
  <c r="AI20" i="6"/>
  <c r="AE21" i="6"/>
  <c r="AF21" i="6"/>
  <c r="AH21" i="6"/>
  <c r="AI21" i="6"/>
  <c r="AE22" i="6"/>
  <c r="AF22" i="6"/>
  <c r="AH22" i="6"/>
  <c r="AI22" i="6"/>
  <c r="AE23" i="6"/>
  <c r="AF23" i="6"/>
  <c r="AH23" i="6"/>
  <c r="AI23" i="6"/>
  <c r="AE24" i="6"/>
  <c r="AF24" i="6"/>
  <c r="AH24" i="6"/>
  <c r="AI24" i="6"/>
  <c r="AE25" i="6"/>
  <c r="AF25" i="6"/>
  <c r="AH25" i="6"/>
  <c r="AI25" i="6"/>
  <c r="AE26" i="6"/>
  <c r="AF26" i="6"/>
  <c r="AH26" i="6"/>
  <c r="AI26" i="6"/>
  <c r="AE27" i="6"/>
  <c r="AF27" i="6"/>
  <c r="AH27" i="6"/>
  <c r="AI27" i="6"/>
  <c r="AE28" i="6"/>
  <c r="AF28" i="6"/>
  <c r="AH28" i="6"/>
  <c r="AI28" i="6"/>
  <c r="AE29" i="6"/>
  <c r="AF29" i="6"/>
  <c r="AH29" i="6"/>
  <c r="AI29" i="6"/>
  <c r="AE30" i="6"/>
  <c r="AF30" i="6"/>
  <c r="AH30" i="6"/>
  <c r="AI30" i="6"/>
  <c r="AE31" i="6"/>
  <c r="AF31" i="6"/>
  <c r="AH31" i="6"/>
  <c r="AI31" i="6"/>
  <c r="AE32" i="6"/>
  <c r="AF32" i="6"/>
  <c r="AH32" i="6"/>
  <c r="AI32" i="6"/>
  <c r="AE33" i="6"/>
  <c r="AF33" i="6"/>
  <c r="AH33" i="6"/>
  <c r="AI33" i="6"/>
  <c r="AE34" i="6"/>
  <c r="AF34" i="6"/>
  <c r="AH34" i="6"/>
  <c r="AI34" i="6"/>
  <c r="AE35" i="6"/>
  <c r="AF35" i="6"/>
  <c r="AH35" i="6"/>
  <c r="AI35" i="6"/>
  <c r="AE36" i="6"/>
  <c r="AF36" i="6"/>
  <c r="AH36" i="6"/>
  <c r="AI36" i="6"/>
  <c r="AE37" i="6"/>
  <c r="AF37" i="6"/>
  <c r="AH37" i="6"/>
  <c r="AI37" i="6"/>
  <c r="AE38" i="6"/>
  <c r="AF38" i="6"/>
  <c r="AH38" i="6"/>
  <c r="AI38" i="6"/>
  <c r="AE39" i="6"/>
  <c r="AF39" i="6"/>
  <c r="AH39" i="6"/>
  <c r="AI39" i="6"/>
  <c r="AE40" i="6"/>
  <c r="AF40" i="6"/>
  <c r="AH40" i="6"/>
  <c r="AI40" i="6"/>
  <c r="AE41" i="6"/>
  <c r="AF41" i="6"/>
  <c r="AH41" i="6"/>
  <c r="AI41" i="6"/>
  <c r="AE42" i="6"/>
  <c r="AF42" i="6"/>
  <c r="AH42" i="6"/>
  <c r="AI42" i="6"/>
  <c r="AE43" i="6"/>
  <c r="AF43" i="6"/>
  <c r="AH43" i="6"/>
  <c r="AI43" i="6"/>
  <c r="AE44" i="6"/>
  <c r="AF44" i="6"/>
  <c r="AH44" i="6"/>
  <c r="AI44" i="6"/>
  <c r="AE45" i="6"/>
  <c r="AF45" i="6"/>
  <c r="AH45" i="6"/>
  <c r="AI45" i="6"/>
  <c r="AE46" i="6"/>
  <c r="AF46" i="6"/>
  <c r="AH46" i="6"/>
  <c r="AI46" i="6"/>
  <c r="AE47" i="6"/>
  <c r="AF47" i="6"/>
  <c r="AH47" i="6"/>
  <c r="AI47" i="6"/>
  <c r="AE48" i="6"/>
  <c r="AF48" i="6"/>
  <c r="AH48" i="6"/>
  <c r="AI48" i="6"/>
  <c r="AE49" i="6"/>
  <c r="AF49" i="6"/>
  <c r="AH49" i="6"/>
  <c r="AI49" i="6"/>
  <c r="AE50" i="6"/>
  <c r="AF50" i="6"/>
  <c r="AH50" i="6"/>
  <c r="AI50" i="6"/>
  <c r="AE51" i="6"/>
  <c r="AF51" i="6"/>
  <c r="AH51" i="6"/>
  <c r="AI51" i="6"/>
  <c r="AE52" i="6"/>
  <c r="AF52" i="6"/>
  <c r="AH52" i="6"/>
  <c r="AI52" i="6"/>
  <c r="AE53" i="6"/>
  <c r="AF53" i="6"/>
  <c r="AH53" i="6"/>
  <c r="AI53" i="6"/>
  <c r="AE54" i="6"/>
  <c r="AF54" i="6"/>
  <c r="AH54" i="6"/>
  <c r="AI54" i="6"/>
  <c r="AE55" i="6"/>
  <c r="AF55" i="6"/>
  <c r="AH55" i="6"/>
  <c r="AI55" i="6"/>
  <c r="AE56" i="6"/>
  <c r="AF56" i="6"/>
  <c r="AH56" i="6"/>
  <c r="AI56" i="6"/>
  <c r="AE57" i="6"/>
  <c r="AF57" i="6"/>
  <c r="AH57" i="6"/>
  <c r="AI57" i="6"/>
  <c r="AE58" i="6"/>
  <c r="AF58" i="6"/>
  <c r="AH58" i="6"/>
  <c r="AI58" i="6"/>
  <c r="AE59" i="6"/>
  <c r="AF59" i="6"/>
  <c r="AH59" i="6"/>
  <c r="AI59" i="6"/>
  <c r="AE60" i="6"/>
  <c r="AF60" i="6"/>
  <c r="AH60" i="6"/>
  <c r="AI60" i="6"/>
  <c r="AE61" i="6"/>
  <c r="AF61" i="6"/>
  <c r="AH61" i="6"/>
  <c r="AI61" i="6"/>
  <c r="AE62" i="6"/>
  <c r="AF62" i="6"/>
  <c r="AH62" i="6"/>
  <c r="AI62" i="6"/>
  <c r="AE63" i="6"/>
  <c r="AF63" i="6"/>
  <c r="AH63" i="6"/>
  <c r="AI63" i="6"/>
  <c r="AE64" i="6"/>
  <c r="AF64" i="6"/>
  <c r="AH64" i="6"/>
  <c r="AI64" i="6"/>
  <c r="AE65" i="6"/>
  <c r="AF65" i="6"/>
  <c r="AH65" i="6"/>
  <c r="AI65" i="6"/>
  <c r="AE66" i="6"/>
  <c r="AF66" i="6"/>
  <c r="AH66" i="6"/>
  <c r="AI66" i="6"/>
  <c r="AE67" i="6"/>
  <c r="AF67" i="6"/>
  <c r="AH67" i="6"/>
  <c r="AI67" i="6"/>
  <c r="AE68" i="6"/>
  <c r="AF68" i="6"/>
  <c r="AH68" i="6"/>
  <c r="AI68" i="6"/>
  <c r="AE69" i="6"/>
  <c r="AF69" i="6"/>
  <c r="AH69" i="6"/>
  <c r="AI69" i="6"/>
  <c r="AE70" i="6"/>
  <c r="AF70" i="6"/>
  <c r="AH70" i="6"/>
  <c r="AI70" i="6"/>
  <c r="AE71" i="6"/>
  <c r="AF71" i="6"/>
  <c r="AH71" i="6"/>
  <c r="AI71" i="6"/>
  <c r="AE72" i="6"/>
  <c r="AF72" i="6"/>
  <c r="AH72" i="6"/>
  <c r="AI72" i="6"/>
  <c r="AE73" i="6"/>
  <c r="AF73" i="6"/>
  <c r="AH73" i="6"/>
  <c r="AI73" i="6"/>
  <c r="AE74" i="6"/>
  <c r="AF74" i="6"/>
  <c r="AH74" i="6"/>
  <c r="AI74" i="6"/>
  <c r="AE75" i="6"/>
  <c r="AF75" i="6"/>
  <c r="AH75" i="6"/>
  <c r="AI75" i="6"/>
  <c r="AE76" i="6"/>
  <c r="AF76" i="6"/>
  <c r="AH76" i="6"/>
  <c r="AI76" i="6"/>
  <c r="AE77" i="6"/>
  <c r="AF77" i="6"/>
  <c r="AH77" i="6"/>
  <c r="AI77" i="6"/>
  <c r="AE78" i="6"/>
  <c r="AF78" i="6"/>
  <c r="AH78" i="6"/>
  <c r="AI78" i="6"/>
  <c r="AE79" i="6"/>
  <c r="AF79" i="6"/>
  <c r="AH79" i="6"/>
  <c r="AI79" i="6"/>
  <c r="AE80" i="6"/>
  <c r="AF80" i="6"/>
  <c r="AH80" i="6"/>
  <c r="AI80" i="6"/>
  <c r="AE81" i="6"/>
  <c r="AF81" i="6"/>
  <c r="AH81" i="6"/>
  <c r="AI81" i="6"/>
  <c r="AE82" i="6"/>
  <c r="AF82" i="6"/>
  <c r="AH82" i="6"/>
  <c r="AI82" i="6"/>
  <c r="AE83" i="6"/>
  <c r="AF83" i="6"/>
  <c r="AH83" i="6"/>
  <c r="AI83" i="6"/>
  <c r="AE84" i="6"/>
  <c r="AF84" i="6"/>
  <c r="AH84" i="6"/>
  <c r="AI84" i="6"/>
  <c r="AE85" i="6"/>
  <c r="AF85" i="6"/>
  <c r="AH85" i="6"/>
  <c r="AI85" i="6"/>
  <c r="AE86" i="6"/>
  <c r="AF86" i="6"/>
  <c r="AH86" i="6"/>
  <c r="AI86" i="6"/>
  <c r="AE87" i="6"/>
  <c r="AF87" i="6"/>
  <c r="AH87" i="6"/>
  <c r="AI87" i="6"/>
  <c r="AE88" i="6"/>
  <c r="AF88" i="6"/>
  <c r="AH88" i="6"/>
  <c r="AI88" i="6"/>
  <c r="AE89" i="6"/>
  <c r="AF89" i="6"/>
  <c r="AH89" i="6"/>
  <c r="AI89" i="6"/>
  <c r="AE90" i="6"/>
  <c r="AF90" i="6"/>
  <c r="AH90" i="6"/>
  <c r="AI90" i="6"/>
  <c r="AE91" i="6"/>
  <c r="AF91" i="6"/>
  <c r="AH91" i="6"/>
  <c r="AI91" i="6"/>
  <c r="AE92" i="6"/>
  <c r="AF92" i="6"/>
  <c r="AH92" i="6"/>
  <c r="AI92" i="6"/>
  <c r="AE93" i="6"/>
  <c r="AF93" i="6"/>
  <c r="AH93" i="6"/>
  <c r="AI93" i="6"/>
  <c r="AE94" i="6"/>
  <c r="AF94" i="6"/>
  <c r="AH94" i="6"/>
  <c r="AI94" i="6"/>
  <c r="AE95" i="6"/>
  <c r="AF95" i="6"/>
  <c r="AH95" i="6"/>
  <c r="AI95" i="6"/>
  <c r="AE96" i="6"/>
  <c r="AF96" i="6"/>
  <c r="AH96" i="6"/>
  <c r="AI96" i="6"/>
  <c r="AE97" i="6"/>
  <c r="AF97" i="6"/>
  <c r="AH97" i="6"/>
  <c r="AI97" i="6"/>
  <c r="AE98" i="6"/>
  <c r="AF98" i="6"/>
  <c r="AH98" i="6"/>
  <c r="AI98" i="6"/>
  <c r="AE99" i="6"/>
  <c r="AF99" i="6"/>
  <c r="AH99" i="6"/>
  <c r="AI99" i="6"/>
  <c r="AE100" i="6"/>
  <c r="AF100" i="6"/>
  <c r="AH100" i="6"/>
  <c r="AI100" i="6"/>
  <c r="AE101" i="6"/>
  <c r="AF101" i="6"/>
  <c r="AH101" i="6"/>
  <c r="AI101" i="6"/>
  <c r="AE102" i="6"/>
  <c r="AF102" i="6"/>
  <c r="AH102" i="6"/>
  <c r="AI102" i="6"/>
  <c r="AE103" i="6"/>
  <c r="AF103" i="6"/>
  <c r="AH103" i="6"/>
  <c r="AI103" i="6"/>
  <c r="AE104" i="6"/>
  <c r="AF104" i="6"/>
  <c r="AH104" i="6"/>
  <c r="AI104" i="6"/>
  <c r="AE105" i="6"/>
  <c r="AF105" i="6"/>
  <c r="AH105" i="6"/>
  <c r="AI105" i="6"/>
  <c r="AE106" i="6"/>
  <c r="AF106" i="6"/>
  <c r="AH106" i="6"/>
  <c r="AI106" i="6"/>
  <c r="AE107" i="6"/>
  <c r="AF107" i="6"/>
  <c r="AH107" i="6"/>
  <c r="AI107" i="6"/>
  <c r="AE108" i="6"/>
  <c r="AF108" i="6"/>
  <c r="AH108" i="6"/>
  <c r="AI108" i="6"/>
  <c r="AE109" i="6"/>
  <c r="AF109" i="6"/>
  <c r="AH109" i="6"/>
  <c r="AI109" i="6"/>
  <c r="AE110" i="6"/>
  <c r="AF110" i="6"/>
  <c r="AH110" i="6"/>
  <c r="AI110" i="6"/>
  <c r="AE111" i="6"/>
  <c r="AF111" i="6"/>
  <c r="AH111" i="6"/>
  <c r="AI111" i="6"/>
  <c r="AE112" i="6"/>
  <c r="AF112" i="6"/>
  <c r="AH112" i="6"/>
  <c r="AI112" i="6"/>
  <c r="AE113" i="6"/>
  <c r="AF113" i="6"/>
  <c r="AH113" i="6"/>
  <c r="AI113" i="6"/>
  <c r="AE114" i="6"/>
  <c r="AF114" i="6"/>
  <c r="AH114" i="6"/>
  <c r="AI114" i="6"/>
  <c r="AE115" i="6"/>
  <c r="AF115" i="6"/>
  <c r="AH115" i="6"/>
  <c r="AI115" i="6"/>
  <c r="AE116" i="6"/>
  <c r="AF116" i="6"/>
  <c r="AH116" i="6"/>
  <c r="AI116" i="6"/>
  <c r="AE117" i="6"/>
  <c r="AF117" i="6"/>
  <c r="AH117" i="6"/>
  <c r="AI117" i="6"/>
  <c r="AE118" i="6"/>
  <c r="AF118" i="6"/>
  <c r="AH118" i="6"/>
  <c r="AI118" i="6"/>
  <c r="AE119" i="6"/>
  <c r="AF119" i="6"/>
  <c r="AH119" i="6"/>
  <c r="AI119" i="6"/>
  <c r="AE120" i="6"/>
  <c r="AF120" i="6"/>
  <c r="AH120" i="6"/>
  <c r="AI120" i="6"/>
  <c r="AE121" i="6"/>
  <c r="AF121" i="6"/>
  <c r="AH121" i="6"/>
  <c r="AI121" i="6"/>
  <c r="AE122" i="6"/>
  <c r="AF122" i="6"/>
  <c r="AH122" i="6"/>
  <c r="AI122" i="6"/>
  <c r="AE123" i="6"/>
  <c r="AF123" i="6"/>
  <c r="AH123" i="6"/>
  <c r="AI123" i="6"/>
  <c r="AE124" i="6"/>
  <c r="AF124" i="6"/>
  <c r="AH124" i="6"/>
  <c r="AI124" i="6"/>
  <c r="AE125" i="6"/>
  <c r="AF125" i="6"/>
  <c r="AH125" i="6"/>
  <c r="AI125" i="6"/>
  <c r="AE126" i="6"/>
  <c r="AF126" i="6"/>
  <c r="AH126" i="6"/>
  <c r="AI126" i="6"/>
  <c r="AE127" i="6"/>
  <c r="AF127" i="6"/>
  <c r="AH127" i="6"/>
  <c r="AI127" i="6"/>
  <c r="AE128" i="6"/>
  <c r="AF128" i="6"/>
  <c r="AH128" i="6"/>
  <c r="AI128" i="6"/>
  <c r="AE129" i="6"/>
  <c r="AF129" i="6"/>
  <c r="AH129" i="6"/>
  <c r="AI129" i="6"/>
  <c r="AE130" i="6"/>
  <c r="AF130" i="6"/>
  <c r="AH130" i="6"/>
  <c r="AI130" i="6"/>
  <c r="AE131" i="6"/>
  <c r="AF131" i="6"/>
  <c r="AH131" i="6"/>
  <c r="AI131" i="6"/>
  <c r="AE132" i="6"/>
  <c r="AF132" i="6"/>
  <c r="AH132" i="6"/>
  <c r="AI132" i="6"/>
  <c r="AE133" i="6"/>
  <c r="AF133" i="6"/>
  <c r="AH133" i="6"/>
  <c r="AI133" i="6"/>
  <c r="AE134" i="6"/>
  <c r="AF134" i="6"/>
  <c r="AH134" i="6"/>
  <c r="AI134" i="6"/>
  <c r="AE135" i="6"/>
  <c r="AF135" i="6"/>
  <c r="AH135" i="6"/>
  <c r="AI135" i="6"/>
  <c r="AE136" i="6"/>
  <c r="AF136" i="6"/>
  <c r="AH136" i="6"/>
  <c r="AI136" i="6"/>
  <c r="AE137" i="6"/>
  <c r="AF137" i="6"/>
  <c r="AH137" i="6"/>
  <c r="AI137" i="6"/>
  <c r="AE138" i="6"/>
  <c r="AF138" i="6"/>
  <c r="AH138" i="6"/>
  <c r="AI138" i="6"/>
  <c r="AE139" i="6"/>
  <c r="AF139" i="6"/>
  <c r="AH139" i="6"/>
  <c r="AI139" i="6"/>
  <c r="AE140" i="6"/>
  <c r="AF140" i="6"/>
  <c r="AH140" i="6"/>
  <c r="AI140" i="6"/>
  <c r="AI6" i="6"/>
  <c r="AH6" i="6"/>
  <c r="AF6" i="6"/>
  <c r="AE6" i="6"/>
  <c r="AH109" i="10" l="1"/>
  <c r="AH19" i="10"/>
  <c r="AH39" i="10"/>
  <c r="AH71" i="10"/>
  <c r="AH103" i="10"/>
  <c r="AH135" i="10"/>
  <c r="AH31" i="10"/>
  <c r="AH63" i="10"/>
  <c r="AH95" i="10"/>
  <c r="AH127" i="10"/>
  <c r="AH7" i="10"/>
  <c r="AH14" i="10"/>
  <c r="AH21" i="10"/>
  <c r="AH47" i="10"/>
  <c r="AH79" i="10"/>
  <c r="AH111" i="10"/>
  <c r="AH85" i="10"/>
  <c r="AH117" i="10"/>
  <c r="AH15" i="10"/>
  <c r="AH22" i="10"/>
  <c r="AH29" i="10"/>
  <c r="AH35" i="10"/>
  <c r="AH61" i="10"/>
  <c r="AH67" i="10"/>
  <c r="AH93" i="10"/>
  <c r="AH99" i="10"/>
  <c r="AH125" i="10"/>
  <c r="AH131" i="10"/>
  <c r="AH23" i="10"/>
  <c r="AH55" i="10"/>
  <c r="AH87" i="10"/>
  <c r="AH119" i="10"/>
  <c r="AH132" i="10"/>
  <c r="AH6" i="10"/>
  <c r="AG27" i="9"/>
  <c r="AG43" i="9"/>
  <c r="AG57" i="9"/>
  <c r="AG25" i="9"/>
  <c r="AG39" i="9"/>
  <c r="AG41" i="9"/>
  <c r="AG47" i="9"/>
  <c r="AG49" i="9"/>
  <c r="AG59" i="9"/>
  <c r="AG12" i="9"/>
  <c r="AG22" i="9"/>
  <c r="AG24" i="9"/>
  <c r="AG26" i="9"/>
  <c r="AG28" i="9"/>
  <c r="AG36" i="9"/>
  <c r="AG44" i="9"/>
  <c r="AG54" i="9"/>
  <c r="AG56" i="9"/>
  <c r="AG58" i="9"/>
  <c r="AG60" i="9"/>
  <c r="AG70" i="9"/>
  <c r="AG72" i="9"/>
  <c r="AG74" i="9"/>
  <c r="AG76" i="9"/>
  <c r="AG84" i="9"/>
  <c r="AG140" i="9"/>
  <c r="AG51" i="9"/>
  <c r="AG23" i="9"/>
  <c r="AG55" i="9"/>
  <c r="AG20" i="9"/>
  <c r="AG116" i="9"/>
  <c r="AG87" i="9"/>
  <c r="AG89" i="9"/>
  <c r="AG91" i="9"/>
  <c r="AG103" i="9"/>
  <c r="AG105" i="9"/>
  <c r="AG107" i="9"/>
  <c r="AG111" i="9"/>
  <c r="AG113" i="9"/>
  <c r="AG115" i="9"/>
  <c r="AG119" i="9"/>
  <c r="AG121" i="9"/>
  <c r="AG123" i="9"/>
  <c r="AG14" i="9"/>
  <c r="AG16" i="9"/>
  <c r="AG18" i="9"/>
  <c r="AG52" i="9"/>
  <c r="AG68" i="9"/>
  <c r="AG8" i="9"/>
  <c r="AG80" i="9"/>
  <c r="AG86" i="9"/>
  <c r="AG88" i="9"/>
  <c r="AG90" i="9"/>
  <c r="AG92" i="9"/>
  <c r="AG100" i="9"/>
  <c r="AG108" i="9"/>
  <c r="AG118" i="9"/>
  <c r="AG120" i="9"/>
  <c r="AG122" i="9"/>
  <c r="AG124" i="9"/>
  <c r="AG132" i="9"/>
  <c r="AG134" i="9"/>
  <c r="AG136" i="9"/>
  <c r="AG10" i="9"/>
  <c r="AG78" i="9"/>
  <c r="AG29" i="9"/>
  <c r="AG61" i="9"/>
  <c r="AG69" i="9"/>
  <c r="AG6" i="9"/>
  <c r="AG82" i="9"/>
  <c r="AG77" i="9"/>
  <c r="AG30" i="9"/>
  <c r="AG94" i="9"/>
  <c r="AG11" i="9"/>
  <c r="AG38" i="9"/>
  <c r="AG71" i="9"/>
  <c r="AG104" i="9"/>
  <c r="AG135" i="9"/>
  <c r="AG137" i="9"/>
  <c r="AG139" i="9"/>
  <c r="AG15" i="9"/>
  <c r="AG17" i="9"/>
  <c r="AG19" i="9"/>
  <c r="AG21" i="9"/>
  <c r="AG46" i="9"/>
  <c r="AG48" i="9"/>
  <c r="AG50" i="9"/>
  <c r="AG79" i="9"/>
  <c r="AG81" i="9"/>
  <c r="AG83" i="9"/>
  <c r="AG85" i="9"/>
  <c r="AG110" i="9"/>
  <c r="AG112" i="9"/>
  <c r="AG114" i="9"/>
  <c r="AG32" i="9"/>
  <c r="AG65" i="9"/>
  <c r="AG98" i="9"/>
  <c r="AG129" i="9"/>
  <c r="AG40" i="9"/>
  <c r="AG102" i="9"/>
  <c r="AG31" i="9"/>
  <c r="AG33" i="9"/>
  <c r="AG35" i="9"/>
  <c r="AG37" i="9"/>
  <c r="AG62" i="9"/>
  <c r="AG64" i="9"/>
  <c r="AG66" i="9"/>
  <c r="AG95" i="9"/>
  <c r="AG97" i="9"/>
  <c r="AG99" i="9"/>
  <c r="AG101" i="9"/>
  <c r="AG126" i="9"/>
  <c r="AG128" i="9"/>
  <c r="AG130" i="9"/>
  <c r="AG67" i="9"/>
  <c r="AG131" i="9"/>
  <c r="AG9" i="9"/>
  <c r="AG42" i="9"/>
  <c r="AG73" i="9"/>
  <c r="AG45" i="9"/>
  <c r="AG109" i="9"/>
  <c r="AG138" i="9"/>
  <c r="AG34" i="9"/>
  <c r="AG63" i="9"/>
  <c r="AG96" i="9"/>
  <c r="AG127" i="9"/>
  <c r="AG7" i="9"/>
  <c r="AG75" i="9"/>
  <c r="AG106" i="9"/>
  <c r="AG53" i="9"/>
  <c r="AG117" i="9"/>
  <c r="T100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2" i="5"/>
  <c r="H73" i="3"/>
  <c r="D73" i="3"/>
  <c r="C73" i="3"/>
  <c r="G73" i="3"/>
  <c r="AD46" i="5"/>
  <c r="AD47" i="5"/>
  <c r="AD48" i="5"/>
  <c r="AC48" i="5"/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T45" i="5" s="1"/>
  <c r="R46" i="5"/>
  <c r="T46" i="5" s="1"/>
  <c r="R47" i="5"/>
  <c r="R48" i="5"/>
  <c r="R49" i="5"/>
  <c r="T49" i="5" s="1"/>
  <c r="R50" i="5"/>
  <c r="R51" i="5"/>
  <c r="R52" i="5"/>
  <c r="T52" i="5" s="1"/>
  <c r="R53" i="5"/>
  <c r="T53" i="5" s="1"/>
  <c r="R54" i="5"/>
  <c r="T54" i="5" s="1"/>
  <c r="R55" i="5"/>
  <c r="R56" i="5"/>
  <c r="R57" i="5"/>
  <c r="T57" i="5" s="1"/>
  <c r="R58" i="5"/>
  <c r="R59" i="5"/>
  <c r="R60" i="5"/>
  <c r="T60" i="5" s="1"/>
  <c r="R61" i="5"/>
  <c r="T61" i="5" s="1"/>
  <c r="R62" i="5"/>
  <c r="T62" i="5" s="1"/>
  <c r="R63" i="5"/>
  <c r="R64" i="5"/>
  <c r="R65" i="5"/>
  <c r="T65" i="5" s="1"/>
  <c r="R66" i="5"/>
  <c r="R67" i="5"/>
  <c r="R68" i="5"/>
  <c r="T68" i="5" s="1"/>
  <c r="R69" i="5"/>
  <c r="T69" i="5" s="1"/>
  <c r="R70" i="5"/>
  <c r="T70" i="5" s="1"/>
  <c r="R71" i="5"/>
  <c r="R72" i="5"/>
  <c r="R73" i="5"/>
  <c r="R74" i="5"/>
  <c r="R75" i="5"/>
  <c r="R76" i="5"/>
  <c r="T76" i="5" s="1"/>
  <c r="R77" i="5"/>
  <c r="T77" i="5" s="1"/>
  <c r="R78" i="5"/>
  <c r="T78" i="5" s="1"/>
  <c r="R79" i="5"/>
  <c r="R80" i="5"/>
  <c r="R81" i="5"/>
  <c r="R82" i="5"/>
  <c r="R83" i="5"/>
  <c r="R84" i="5"/>
  <c r="T84" i="5" s="1"/>
  <c r="R85" i="5"/>
  <c r="T85" i="5" s="1"/>
  <c r="R86" i="5"/>
  <c r="T86" i="5" s="1"/>
  <c r="R87" i="5"/>
  <c r="R88" i="5"/>
  <c r="R89" i="5"/>
  <c r="R90" i="5"/>
  <c r="R91" i="5"/>
  <c r="R92" i="5"/>
  <c r="T92" i="5" s="1"/>
  <c r="R93" i="5"/>
  <c r="T93" i="5" s="1"/>
  <c r="R94" i="5"/>
  <c r="T94" i="5" s="1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2" i="5"/>
  <c r="G50" i="3"/>
  <c r="T99" i="5" l="1"/>
  <c r="T91" i="5"/>
  <c r="T83" i="5"/>
  <c r="T75" i="5"/>
  <c r="T67" i="5"/>
  <c r="T51" i="5"/>
  <c r="T59" i="5"/>
  <c r="T98" i="5"/>
  <c r="T90" i="5"/>
  <c r="T82" i="5"/>
  <c r="T74" i="5"/>
  <c r="T66" i="5"/>
  <c r="T58" i="5"/>
  <c r="T50" i="5"/>
  <c r="T97" i="5"/>
  <c r="T89" i="5"/>
  <c r="T81" i="5"/>
  <c r="T73" i="5"/>
  <c r="T96" i="5"/>
  <c r="T88" i="5"/>
  <c r="T80" i="5"/>
  <c r="T72" i="5"/>
  <c r="T64" i="5"/>
  <c r="T56" i="5"/>
  <c r="T48" i="5"/>
  <c r="T95" i="5"/>
  <c r="T87" i="5"/>
  <c r="T79" i="5"/>
  <c r="T71" i="5"/>
  <c r="T63" i="5"/>
  <c r="T55" i="5"/>
  <c r="T47" i="5"/>
  <c r="C61" i="3"/>
  <c r="C50" i="3"/>
  <c r="J2" i="3" l="1"/>
  <c r="F12" i="3" l="1"/>
  <c r="G11" i="3"/>
  <c r="E6" i="3"/>
  <c r="E5" i="3"/>
  <c r="D4" i="3"/>
  <c r="E3" i="3"/>
  <c r="D3" i="3"/>
  <c r="E2" i="3"/>
  <c r="D2" i="3"/>
  <c r="C2" i="3"/>
</calcChain>
</file>

<file path=xl/connections.xml><?xml version="1.0" encoding="utf-8"?>
<connections xmlns="http://schemas.openxmlformats.org/spreadsheetml/2006/main">
  <connection id="1" name="PoolLevelQueryv2" type="1" refreshedVersion="4" savePassword="1" saveData="1">
    <dbPr connection="DSN=Agency" command="select (firstPaymtDt - day(firstPaymtDt) + 1) as pmtdate, count(*), HARPStatus _x000d__x000a_from fhl.cello_loan_x000d__x000a_where pmtdate &gt;= '2005-01-01'_x000d__x000a_and origLTV &gt;80_x000d__x000a_group by pmtdate, HARPStatus_x000d__x000a_order by pmtdate"/>
  </connection>
  <connection id="2" name="PoolLevelQueryv21" type="1" refreshedVersion="4" savePassword="1" saveData="1">
    <dbPr connection="DSN=Agency" command="select (firstPaymtDt - day(firstPaymtDt) + 1) as pmtdate, count(*), MHAStatus _x000d__x000a_from fhl.cello_loan_x000d__x000a_where pmtdate &gt;= '2005-01-01'_x000d__x000a_group by pmtdate, MHAStatus _x000d__x000a_order by pmtdate"/>
  </connection>
  <connection id="3" name="PoolLevelQueryv22" type="1" refreshedVersion="4" savePassword="1" saveData="1">
    <dbPr connection="DSN=Agency" command="select (firstPaymtDt - day(firstPaymtDt) + 1) as pmtdate, count(*), HARPStatus _x000d__x000a_from fhl.cello_loan_x000d__x000a_where pmtdate &gt;= '2005-01-01'_x000d__x000a_--and origLTV &gt;80_x000d__x000a_group by pmtdate, HARPStatus_x000d__x000a_order by pmtdate"/>
  </connection>
  <connection id="4" name="PoolLevelQueryv23" type="1" refreshedVersion="4" savePassword="1" saveData="1">
    <dbPr connection="DSN=Agency" command="select (firstPaymtDt - day(firstPaymtDt) + 1) as pmtdate, count(*), MHAStatus _x000d__x000a_from fhl.cello_loan_x000d__x000a_where pmtdate &gt;= '2005-01-01'_x000d__x000a_and origLTV &lt;80_x000d__x000a_group by pmtdate, MHAStatus _x000d__x000a_order by pmtdate"/>
  </connection>
  <connection id="5" name="PoolLevelQueryv24" type="1" refreshedVersion="4" savePassword="1" saveData="1">
    <dbPr connection="DSN=Agency" command="select (firstPaymtDt - day(firstPaymtDt) + 1) as pmtdate, count(*), HARPStatus _x000d__x000a_from fhl.cello_loan_x000d__x000a_where pmtdate &gt;= '2005-01-01'_x000d__x000a_and origLTV &lt;80_x000d__x000a_group by pmtdate, HARPStatus_x000d__x000a_order by pmtdate"/>
  </connection>
  <connection id="6" name="temp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7" name="temp1" type="6" refreshedVersion="4" background="1" saveData="1">
    <textPr codePage="437" sourceFile="C:\Users\lien.chen\Desktop\temp.csv" comma="1" delimiter="-">
      <textFields count="3">
        <textField/>
        <textField/>
        <textField/>
      </textFields>
    </textPr>
  </connection>
  <connection id="8" name="temp2" type="6" refreshedVersion="4" background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<sst xmlns="http://schemas.openxmlformats.org/spreadsheetml/2006/main" count="4069" uniqueCount="46">
  <si>
    <t>count()</t>
  </si>
  <si>
    <t>HARPStatus</t>
  </si>
  <si>
    <t>N/A</t>
  </si>
  <si>
    <t>&lt; 2009-06</t>
  </si>
  <si>
    <t>NON-HARP</t>
  </si>
  <si>
    <t>HARP</t>
  </si>
  <si>
    <t>Unknown</t>
  </si>
  <si>
    <t>Row Labels</t>
  </si>
  <si>
    <t>(blank)</t>
  </si>
  <si>
    <t>Grand Total</t>
  </si>
  <si>
    <t>Column Labels</t>
  </si>
  <si>
    <t>Sum of count()</t>
  </si>
  <si>
    <t>poolIssueDate</t>
  </si>
  <si>
    <t>MHAStatus</t>
  </si>
  <si>
    <t>MHA-ELIGIBLE</t>
  </si>
  <si>
    <t>NOMHA-REFI</t>
  </si>
  <si>
    <t>NOMHA-PURCHASE</t>
  </si>
  <si>
    <t>2016-01-07</t>
  </si>
  <si>
    <t>2016-01-08</t>
  </si>
  <si>
    <t>2016-01-11</t>
  </si>
  <si>
    <t>2016-01-12</t>
  </si>
  <si>
    <t>CombinedHARPStatus</t>
  </si>
  <si>
    <t xml:space="preserve">N/A       </t>
  </si>
  <si>
    <t xml:space="preserve">&lt; 2009-06 </t>
  </si>
  <si>
    <t>NON-HARPed</t>
  </si>
  <si>
    <t xml:space="preserve">HARPed    </t>
  </si>
  <si>
    <t>pmtdate</t>
  </si>
  <si>
    <t>count(1)</t>
  </si>
  <si>
    <t>NOMHA-REFI-CO</t>
  </si>
  <si>
    <t>MISC-VERIFY</t>
  </si>
  <si>
    <t>NOMHA-REFI-NCO</t>
  </si>
  <si>
    <t>All</t>
  </si>
  <si>
    <t>New</t>
  </si>
  <si>
    <t>Old</t>
  </si>
  <si>
    <t>Ratio</t>
  </si>
  <si>
    <t>FNMA</t>
  </si>
  <si>
    <t>Total</t>
  </si>
  <si>
    <t>HARPed</t>
  </si>
  <si>
    <t>loan count ratio (Algo II / Algo I) for loans with LTV &gt; 80</t>
  </si>
  <si>
    <t>HARP-I</t>
  </si>
  <si>
    <t>Total-I</t>
  </si>
  <si>
    <t>HARP-II</t>
  </si>
  <si>
    <t>Total-II</t>
  </si>
  <si>
    <t>Ratio II/I</t>
  </si>
  <si>
    <t>Total Refi-II</t>
  </si>
  <si>
    <t>Ratio HARP/Refi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</si>
</sst>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3" fillId="2" borderId="0"/>
    <xf numFmtId="0" fontId="4" fillId="3" borderId="0"/>
    <xf numFmtId="0" fontId="2" fillId="3" borderId="1" applyNumberFormat="0"/>
    <xf numFmtId="0" fontId="5" fillId="4" borderId="1" applyNumberFormat="0"/>
    <xf numFmtId="14" fontId="6" fillId="3" borderId="2" applyNumberFormat="0" applyAlignment="0"/>
    <xf numFmtId="0" fontId="7" fillId="5" borderId="3" applyBorder="0">
      <alignment horizontal="center" wrapText="1"/>
    </xf>
    <xf numFmtId="0" fontId="7" fillId="6" borderId="3" applyBorder="0">
      <alignment horizontal="center" wrapText="1"/>
    </xf>
    <xf numFmtId="0" fontId="7" fillId="7" borderId="3" applyBorder="0">
      <alignment horizontal="center" wrapText="1"/>
    </xf>
    <xf numFmtId="1" fontId="9" fillId="3" borderId="2"/>
    <xf numFmtId="0" fontId="8" fillId="3" borderId="4" applyNumberFormat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4" fontId="11" fillId="0" borderId="0" xfId="0" applyNumberFormat="1" applyFont="1"/>
    <xf numFmtId="0" fontId="11" fillId="0" borderId="0" xfId="0" applyFont="1"/>
    <xf numFmtId="9" fontId="0" fillId="0" borderId="0" xfId="17" applyFont="1"/>
  </cellXfs>
  <cellStyles count="18">
    <cellStyle name="Cello Calculation" xfId="4"/>
    <cellStyle name="Cello Input" xfId="5"/>
    <cellStyle name="Cello Linked Cell" xfId="6"/>
    <cellStyle name="Comma" xfId="1" builtinId="3"/>
    <cellStyle name="Comma 2" xfId="16"/>
    <cellStyle name="Comma 3" xfId="12"/>
    <cellStyle name="Currency 2" xfId="14"/>
    <cellStyle name="Normal" xfId="0" builtinId="0"/>
    <cellStyle name="Normal 2" xfId="3"/>
    <cellStyle name="Normal 2 7" xfId="2"/>
    <cellStyle name="Normal 3" xfId="15"/>
    <cellStyle name="Percent" xfId="17" builtinId="5"/>
    <cellStyle name="Percent 2" xfId="13"/>
    <cellStyle name="Title Calculations" xfId="7"/>
    <cellStyle name="Title Indicative" xfId="8"/>
    <cellStyle name="Title Pricing Assumptions" xfId="9"/>
    <cellStyle name="YB Calculations" xfId="10"/>
    <cellStyle name="YB Indicative" xfId="11"/>
  </cellStyles>
  <dxfs count="30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NOMHA-PURCHASE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Sheet2!$X$2:$X$123</c:f>
              <c:numCache>
                <c:formatCode>General</c:formatCode>
                <c:ptCount val="122"/>
                <c:pt idx="0">
                  <c:v>69801</c:v>
                </c:pt>
                <c:pt idx="1">
                  <c:v>56048</c:v>
                </c:pt>
                <c:pt idx="2">
                  <c:v>48505</c:v>
                </c:pt>
                <c:pt idx="3">
                  <c:v>45628</c:v>
                </c:pt>
                <c:pt idx="4">
                  <c:v>50072</c:v>
                </c:pt>
                <c:pt idx="5">
                  <c:v>50281</c:v>
                </c:pt>
                <c:pt idx="6">
                  <c:v>60815</c:v>
                </c:pt>
                <c:pt idx="7">
                  <c:v>62896</c:v>
                </c:pt>
                <c:pt idx="8">
                  <c:v>74272</c:v>
                </c:pt>
                <c:pt idx="9">
                  <c:v>74289</c:v>
                </c:pt>
                <c:pt idx="10">
                  <c:v>59427</c:v>
                </c:pt>
                <c:pt idx="11">
                  <c:v>48845</c:v>
                </c:pt>
                <c:pt idx="12">
                  <c:v>65808</c:v>
                </c:pt>
                <c:pt idx="13">
                  <c:v>52477</c:v>
                </c:pt>
                <c:pt idx="14">
                  <c:v>56557</c:v>
                </c:pt>
                <c:pt idx="15">
                  <c:v>60614</c:v>
                </c:pt>
                <c:pt idx="16">
                  <c:v>55862</c:v>
                </c:pt>
                <c:pt idx="17">
                  <c:v>63827</c:v>
                </c:pt>
                <c:pt idx="18">
                  <c:v>69687</c:v>
                </c:pt>
                <c:pt idx="19">
                  <c:v>63220</c:v>
                </c:pt>
                <c:pt idx="20">
                  <c:v>77551</c:v>
                </c:pt>
                <c:pt idx="21">
                  <c:v>97102</c:v>
                </c:pt>
                <c:pt idx="22">
                  <c:v>72966</c:v>
                </c:pt>
                <c:pt idx="23">
                  <c:v>77897</c:v>
                </c:pt>
                <c:pt idx="24">
                  <c:v>69883</c:v>
                </c:pt>
                <c:pt idx="25">
                  <c:v>54557</c:v>
                </c:pt>
                <c:pt idx="26">
                  <c:v>72837</c:v>
                </c:pt>
                <c:pt idx="27">
                  <c:v>43659</c:v>
                </c:pt>
                <c:pt idx="28">
                  <c:v>50960</c:v>
                </c:pt>
                <c:pt idx="29">
                  <c:v>58452</c:v>
                </c:pt>
                <c:pt idx="30">
                  <c:v>67055</c:v>
                </c:pt>
                <c:pt idx="31">
                  <c:v>41004</c:v>
                </c:pt>
                <c:pt idx="32">
                  <c:v>47631</c:v>
                </c:pt>
                <c:pt idx="33">
                  <c:v>47720</c:v>
                </c:pt>
                <c:pt idx="34">
                  <c:v>31841</c:v>
                </c:pt>
                <c:pt idx="35">
                  <c:v>28701</c:v>
                </c:pt>
                <c:pt idx="36">
                  <c:v>34511</c:v>
                </c:pt>
                <c:pt idx="37">
                  <c:v>28940</c:v>
                </c:pt>
                <c:pt idx="38">
                  <c:v>24431</c:v>
                </c:pt>
                <c:pt idx="39">
                  <c:v>27687</c:v>
                </c:pt>
                <c:pt idx="40">
                  <c:v>24673</c:v>
                </c:pt>
                <c:pt idx="41">
                  <c:v>24641</c:v>
                </c:pt>
                <c:pt idx="42">
                  <c:v>41335</c:v>
                </c:pt>
                <c:pt idx="43">
                  <c:v>32476</c:v>
                </c:pt>
                <c:pt idx="44">
                  <c:v>42643</c:v>
                </c:pt>
                <c:pt idx="45">
                  <c:v>41473</c:v>
                </c:pt>
                <c:pt idx="46">
                  <c:v>37039</c:v>
                </c:pt>
                <c:pt idx="47">
                  <c:v>32297</c:v>
                </c:pt>
                <c:pt idx="48">
                  <c:v>42345</c:v>
                </c:pt>
                <c:pt idx="49">
                  <c:v>29955</c:v>
                </c:pt>
                <c:pt idx="50">
                  <c:v>27636</c:v>
                </c:pt>
                <c:pt idx="51">
                  <c:v>30875</c:v>
                </c:pt>
                <c:pt idx="52">
                  <c:v>23058</c:v>
                </c:pt>
                <c:pt idx="53">
                  <c:v>30710</c:v>
                </c:pt>
                <c:pt idx="54">
                  <c:v>38377</c:v>
                </c:pt>
                <c:pt idx="55">
                  <c:v>36953</c:v>
                </c:pt>
                <c:pt idx="56">
                  <c:v>32778</c:v>
                </c:pt>
                <c:pt idx="57">
                  <c:v>25077</c:v>
                </c:pt>
                <c:pt idx="58">
                  <c:v>21824</c:v>
                </c:pt>
                <c:pt idx="59">
                  <c:v>19204</c:v>
                </c:pt>
                <c:pt idx="60">
                  <c:v>17561</c:v>
                </c:pt>
                <c:pt idx="61">
                  <c:v>21831</c:v>
                </c:pt>
                <c:pt idx="62">
                  <c:v>22007</c:v>
                </c:pt>
                <c:pt idx="63">
                  <c:v>16260</c:v>
                </c:pt>
                <c:pt idx="64">
                  <c:v>15307</c:v>
                </c:pt>
                <c:pt idx="65">
                  <c:v>18349</c:v>
                </c:pt>
                <c:pt idx="66">
                  <c:v>23616</c:v>
                </c:pt>
                <c:pt idx="67">
                  <c:v>19009</c:v>
                </c:pt>
                <c:pt idx="68">
                  <c:v>25639</c:v>
                </c:pt>
                <c:pt idx="69">
                  <c:v>27102</c:v>
                </c:pt>
                <c:pt idx="70">
                  <c:v>20424</c:v>
                </c:pt>
                <c:pt idx="71">
                  <c:v>15277</c:v>
                </c:pt>
                <c:pt idx="72">
                  <c:v>7570</c:v>
                </c:pt>
                <c:pt idx="73">
                  <c:v>16546</c:v>
                </c:pt>
                <c:pt idx="74">
                  <c:v>20135</c:v>
                </c:pt>
                <c:pt idx="75">
                  <c:v>14854</c:v>
                </c:pt>
                <c:pt idx="76">
                  <c:v>22249</c:v>
                </c:pt>
                <c:pt idx="77">
                  <c:v>16856</c:v>
                </c:pt>
                <c:pt idx="78">
                  <c:v>37261</c:v>
                </c:pt>
                <c:pt idx="79">
                  <c:v>26911</c:v>
                </c:pt>
                <c:pt idx="80">
                  <c:v>37843</c:v>
                </c:pt>
                <c:pt idx="81">
                  <c:v>23418</c:v>
                </c:pt>
                <c:pt idx="82">
                  <c:v>34325</c:v>
                </c:pt>
                <c:pt idx="83">
                  <c:v>46278</c:v>
                </c:pt>
                <c:pt idx="84">
                  <c:v>16571</c:v>
                </c:pt>
                <c:pt idx="85">
                  <c:v>25177</c:v>
                </c:pt>
                <c:pt idx="86">
                  <c:v>25580</c:v>
                </c:pt>
                <c:pt idx="87">
                  <c:v>28914</c:v>
                </c:pt>
                <c:pt idx="88">
                  <c:v>35275</c:v>
                </c:pt>
                <c:pt idx="89">
                  <c:v>34586</c:v>
                </c:pt>
                <c:pt idx="90">
                  <c:v>44700</c:v>
                </c:pt>
                <c:pt idx="91">
                  <c:v>39068</c:v>
                </c:pt>
                <c:pt idx="92">
                  <c:v>47444</c:v>
                </c:pt>
                <c:pt idx="93">
                  <c:v>35267</c:v>
                </c:pt>
                <c:pt idx="94">
                  <c:v>33777</c:v>
                </c:pt>
                <c:pt idx="95">
                  <c:v>40694</c:v>
                </c:pt>
                <c:pt idx="96">
                  <c:v>40788</c:v>
                </c:pt>
                <c:pt idx="97">
                  <c:v>32552</c:v>
                </c:pt>
                <c:pt idx="98">
                  <c:v>32575</c:v>
                </c:pt>
                <c:pt idx="99">
                  <c:v>25292</c:v>
                </c:pt>
                <c:pt idx="100">
                  <c:v>33556</c:v>
                </c:pt>
                <c:pt idx="101">
                  <c:v>36971</c:v>
                </c:pt>
                <c:pt idx="102">
                  <c:v>44546</c:v>
                </c:pt>
                <c:pt idx="103">
                  <c:v>47158</c:v>
                </c:pt>
                <c:pt idx="104">
                  <c:v>58661</c:v>
                </c:pt>
                <c:pt idx="105">
                  <c:v>53474</c:v>
                </c:pt>
                <c:pt idx="106">
                  <c:v>52441</c:v>
                </c:pt>
                <c:pt idx="107">
                  <c:v>48167</c:v>
                </c:pt>
                <c:pt idx="108">
                  <c:v>37180</c:v>
                </c:pt>
                <c:pt idx="109">
                  <c:v>37274</c:v>
                </c:pt>
                <c:pt idx="110">
                  <c:v>41840</c:v>
                </c:pt>
                <c:pt idx="111">
                  <c:v>29926</c:v>
                </c:pt>
                <c:pt idx="112">
                  <c:v>40194</c:v>
                </c:pt>
                <c:pt idx="113">
                  <c:v>45666</c:v>
                </c:pt>
                <c:pt idx="114">
                  <c:v>53369</c:v>
                </c:pt>
                <c:pt idx="115">
                  <c:v>58490</c:v>
                </c:pt>
                <c:pt idx="116">
                  <c:v>50580</c:v>
                </c:pt>
                <c:pt idx="117">
                  <c:v>62040</c:v>
                </c:pt>
                <c:pt idx="118">
                  <c:v>56968</c:v>
                </c:pt>
                <c:pt idx="119">
                  <c:v>45390</c:v>
                </c:pt>
                <c:pt idx="120">
                  <c:v>41614</c:v>
                </c:pt>
                <c:pt idx="121">
                  <c:v>28453</c:v>
                </c:pt>
              </c:numCache>
            </c:numRef>
          </c:val>
        </c:ser>
        <c:ser>
          <c:idx val="1"/>
          <c:order val="1"/>
          <c:tx>
            <c:strRef>
              <c:f>Sheet2!$Y$1</c:f>
              <c:strCache>
                <c:ptCount val="1"/>
                <c:pt idx="0">
                  <c:v>NOMHA-REFI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Sheet2!$Y$2:$Y$123</c:f>
              <c:numCache>
                <c:formatCode>General</c:formatCode>
                <c:ptCount val="122"/>
                <c:pt idx="0">
                  <c:v>64164</c:v>
                </c:pt>
                <c:pt idx="1">
                  <c:v>58448</c:v>
                </c:pt>
                <c:pt idx="2">
                  <c:v>49549</c:v>
                </c:pt>
                <c:pt idx="3">
                  <c:v>50913</c:v>
                </c:pt>
                <c:pt idx="4">
                  <c:v>54093</c:v>
                </c:pt>
                <c:pt idx="5">
                  <c:v>43099</c:v>
                </c:pt>
                <c:pt idx="6">
                  <c:v>45484</c:v>
                </c:pt>
                <c:pt idx="7">
                  <c:v>41248</c:v>
                </c:pt>
                <c:pt idx="8">
                  <c:v>42532</c:v>
                </c:pt>
                <c:pt idx="9">
                  <c:v>43129</c:v>
                </c:pt>
                <c:pt idx="10">
                  <c:v>43075</c:v>
                </c:pt>
                <c:pt idx="11">
                  <c:v>46704</c:v>
                </c:pt>
                <c:pt idx="12">
                  <c:v>60968</c:v>
                </c:pt>
                <c:pt idx="13">
                  <c:v>52621</c:v>
                </c:pt>
                <c:pt idx="14">
                  <c:v>71070</c:v>
                </c:pt>
                <c:pt idx="15">
                  <c:v>67164</c:v>
                </c:pt>
                <c:pt idx="16">
                  <c:v>64185</c:v>
                </c:pt>
                <c:pt idx="17">
                  <c:v>69464</c:v>
                </c:pt>
                <c:pt idx="18">
                  <c:v>61490</c:v>
                </c:pt>
                <c:pt idx="19">
                  <c:v>53816</c:v>
                </c:pt>
                <c:pt idx="20">
                  <c:v>55366</c:v>
                </c:pt>
                <c:pt idx="21">
                  <c:v>55888</c:v>
                </c:pt>
                <c:pt idx="22">
                  <c:v>51812</c:v>
                </c:pt>
                <c:pt idx="23">
                  <c:v>61078</c:v>
                </c:pt>
                <c:pt idx="24">
                  <c:v>60449</c:v>
                </c:pt>
                <c:pt idx="25">
                  <c:v>60598</c:v>
                </c:pt>
                <c:pt idx="26">
                  <c:v>91402</c:v>
                </c:pt>
                <c:pt idx="27">
                  <c:v>93377</c:v>
                </c:pt>
                <c:pt idx="28">
                  <c:v>91357</c:v>
                </c:pt>
                <c:pt idx="29">
                  <c:v>91752</c:v>
                </c:pt>
                <c:pt idx="30">
                  <c:v>70617</c:v>
                </c:pt>
                <c:pt idx="31">
                  <c:v>36040</c:v>
                </c:pt>
                <c:pt idx="32">
                  <c:v>33217</c:v>
                </c:pt>
                <c:pt idx="33">
                  <c:v>29595</c:v>
                </c:pt>
                <c:pt idx="34">
                  <c:v>22753</c:v>
                </c:pt>
                <c:pt idx="35">
                  <c:v>27885</c:v>
                </c:pt>
                <c:pt idx="36">
                  <c:v>28353</c:v>
                </c:pt>
                <c:pt idx="37">
                  <c:v>36364</c:v>
                </c:pt>
                <c:pt idx="38">
                  <c:v>88963</c:v>
                </c:pt>
                <c:pt idx="39">
                  <c:v>187401</c:v>
                </c:pt>
                <c:pt idx="40">
                  <c:v>140030</c:v>
                </c:pt>
                <c:pt idx="41">
                  <c:v>123547</c:v>
                </c:pt>
                <c:pt idx="42">
                  <c:v>183268</c:v>
                </c:pt>
                <c:pt idx="43">
                  <c:v>107233</c:v>
                </c:pt>
                <c:pt idx="44">
                  <c:v>104917</c:v>
                </c:pt>
                <c:pt idx="45">
                  <c:v>67936</c:v>
                </c:pt>
                <c:pt idx="46">
                  <c:v>54105</c:v>
                </c:pt>
                <c:pt idx="47">
                  <c:v>53423</c:v>
                </c:pt>
                <c:pt idx="48">
                  <c:v>71676</c:v>
                </c:pt>
                <c:pt idx="49">
                  <c:v>57979</c:v>
                </c:pt>
                <c:pt idx="50">
                  <c:v>64815</c:v>
                </c:pt>
                <c:pt idx="51">
                  <c:v>61902</c:v>
                </c:pt>
                <c:pt idx="52">
                  <c:v>37869</c:v>
                </c:pt>
                <c:pt idx="53">
                  <c:v>40562</c:v>
                </c:pt>
                <c:pt idx="54">
                  <c:v>40799</c:v>
                </c:pt>
                <c:pt idx="55">
                  <c:v>37795</c:v>
                </c:pt>
                <c:pt idx="56">
                  <c:v>44543</c:v>
                </c:pt>
                <c:pt idx="57">
                  <c:v>63945</c:v>
                </c:pt>
                <c:pt idx="58">
                  <c:v>69234</c:v>
                </c:pt>
                <c:pt idx="59">
                  <c:v>68606</c:v>
                </c:pt>
                <c:pt idx="60">
                  <c:v>73157</c:v>
                </c:pt>
                <c:pt idx="61">
                  <c:v>71333</c:v>
                </c:pt>
                <c:pt idx="62">
                  <c:v>61002</c:v>
                </c:pt>
                <c:pt idx="63">
                  <c:v>36850</c:v>
                </c:pt>
                <c:pt idx="64">
                  <c:v>28254</c:v>
                </c:pt>
                <c:pt idx="65">
                  <c:v>22304</c:v>
                </c:pt>
                <c:pt idx="66">
                  <c:v>22239</c:v>
                </c:pt>
                <c:pt idx="67">
                  <c:v>16955</c:v>
                </c:pt>
                <c:pt idx="68">
                  <c:v>24762</c:v>
                </c:pt>
                <c:pt idx="69">
                  <c:v>25880</c:v>
                </c:pt>
                <c:pt idx="70">
                  <c:v>32509</c:v>
                </c:pt>
                <c:pt idx="71">
                  <c:v>31848</c:v>
                </c:pt>
                <c:pt idx="72">
                  <c:v>30460</c:v>
                </c:pt>
                <c:pt idx="73">
                  <c:v>40253</c:v>
                </c:pt>
                <c:pt idx="74">
                  <c:v>59797</c:v>
                </c:pt>
                <c:pt idx="75">
                  <c:v>52700</c:v>
                </c:pt>
                <c:pt idx="76">
                  <c:v>52285</c:v>
                </c:pt>
                <c:pt idx="77">
                  <c:v>37066</c:v>
                </c:pt>
                <c:pt idx="78">
                  <c:v>46044</c:v>
                </c:pt>
                <c:pt idx="79">
                  <c:v>36784</c:v>
                </c:pt>
                <c:pt idx="80">
                  <c:v>51984</c:v>
                </c:pt>
                <c:pt idx="81">
                  <c:v>44391</c:v>
                </c:pt>
                <c:pt idx="82">
                  <c:v>66015</c:v>
                </c:pt>
                <c:pt idx="83">
                  <c:v>95074</c:v>
                </c:pt>
                <c:pt idx="84">
                  <c:v>41588</c:v>
                </c:pt>
                <c:pt idx="85">
                  <c:v>73417</c:v>
                </c:pt>
                <c:pt idx="86">
                  <c:v>67911</c:v>
                </c:pt>
                <c:pt idx="87">
                  <c:v>82614</c:v>
                </c:pt>
                <c:pt idx="88">
                  <c:v>75037</c:v>
                </c:pt>
                <c:pt idx="89">
                  <c:v>55021</c:v>
                </c:pt>
                <c:pt idx="90">
                  <c:v>66427</c:v>
                </c:pt>
                <c:pt idx="91">
                  <c:v>51039</c:v>
                </c:pt>
                <c:pt idx="92">
                  <c:v>46731</c:v>
                </c:pt>
                <c:pt idx="93">
                  <c:v>30127</c:v>
                </c:pt>
                <c:pt idx="94">
                  <c:v>22632</c:v>
                </c:pt>
                <c:pt idx="95">
                  <c:v>24532</c:v>
                </c:pt>
                <c:pt idx="96">
                  <c:v>25298</c:v>
                </c:pt>
                <c:pt idx="97">
                  <c:v>23301</c:v>
                </c:pt>
                <c:pt idx="98">
                  <c:v>21236</c:v>
                </c:pt>
                <c:pt idx="99">
                  <c:v>15910</c:v>
                </c:pt>
                <c:pt idx="100">
                  <c:v>18649</c:v>
                </c:pt>
                <c:pt idx="101">
                  <c:v>18072</c:v>
                </c:pt>
                <c:pt idx="102">
                  <c:v>19550</c:v>
                </c:pt>
                <c:pt idx="103">
                  <c:v>19246</c:v>
                </c:pt>
                <c:pt idx="104">
                  <c:v>34153</c:v>
                </c:pt>
                <c:pt idx="105">
                  <c:v>27138</c:v>
                </c:pt>
                <c:pt idx="106">
                  <c:v>28527</c:v>
                </c:pt>
                <c:pt idx="107">
                  <c:v>27618</c:v>
                </c:pt>
                <c:pt idx="108">
                  <c:v>29951</c:v>
                </c:pt>
                <c:pt idx="109">
                  <c:v>30559</c:v>
                </c:pt>
                <c:pt idx="110">
                  <c:v>53289</c:v>
                </c:pt>
                <c:pt idx="111">
                  <c:v>43003</c:v>
                </c:pt>
                <c:pt idx="112">
                  <c:v>54294</c:v>
                </c:pt>
                <c:pt idx="113">
                  <c:v>49112</c:v>
                </c:pt>
                <c:pt idx="114">
                  <c:v>51430</c:v>
                </c:pt>
                <c:pt idx="115">
                  <c:v>43435</c:v>
                </c:pt>
                <c:pt idx="116">
                  <c:v>34021</c:v>
                </c:pt>
                <c:pt idx="117">
                  <c:v>29633</c:v>
                </c:pt>
                <c:pt idx="118">
                  <c:v>32151</c:v>
                </c:pt>
                <c:pt idx="119">
                  <c:v>32016</c:v>
                </c:pt>
                <c:pt idx="120">
                  <c:v>31162</c:v>
                </c:pt>
                <c:pt idx="121">
                  <c:v>20137</c:v>
                </c:pt>
              </c:numCache>
            </c:numRef>
          </c:val>
        </c:ser>
        <c:ser>
          <c:idx val="2"/>
          <c:order val="2"/>
          <c:tx>
            <c:strRef>
              <c:f>Sheet2!$Z$1</c:f>
              <c:strCache>
                <c:ptCount val="1"/>
                <c:pt idx="0">
                  <c:v>MHA-ELIGIBLE</c:v>
                </c:pt>
              </c:strCache>
            </c:strRef>
          </c:tx>
          <c:cat>
            <c:numRef>
              <c:f>Sheet2!$W$2:$W$123</c:f>
              <c:numCache>
                <c:formatCode>m/d/yyyy</c:formatCode>
                <c:ptCount val="122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Sheet2!$Z$2:$Z$123</c:f>
              <c:numCache>
                <c:formatCode>General</c:formatCode>
                <c:ptCount val="122"/>
                <c:pt idx="0">
                  <c:v>1771</c:v>
                </c:pt>
                <c:pt idx="1">
                  <c:v>1707</c:v>
                </c:pt>
                <c:pt idx="2">
                  <c:v>1596</c:v>
                </c:pt>
                <c:pt idx="3">
                  <c:v>1821</c:v>
                </c:pt>
                <c:pt idx="4">
                  <c:v>1451</c:v>
                </c:pt>
                <c:pt idx="5">
                  <c:v>1286</c:v>
                </c:pt>
                <c:pt idx="6">
                  <c:v>1464</c:v>
                </c:pt>
                <c:pt idx="7">
                  <c:v>1287</c:v>
                </c:pt>
                <c:pt idx="8">
                  <c:v>1273</c:v>
                </c:pt>
                <c:pt idx="9">
                  <c:v>1279</c:v>
                </c:pt>
                <c:pt idx="10">
                  <c:v>1152</c:v>
                </c:pt>
                <c:pt idx="11">
                  <c:v>1107</c:v>
                </c:pt>
                <c:pt idx="12">
                  <c:v>1423</c:v>
                </c:pt>
                <c:pt idx="13">
                  <c:v>1046</c:v>
                </c:pt>
                <c:pt idx="14">
                  <c:v>1203</c:v>
                </c:pt>
                <c:pt idx="15">
                  <c:v>1354</c:v>
                </c:pt>
                <c:pt idx="16">
                  <c:v>1198</c:v>
                </c:pt>
                <c:pt idx="17">
                  <c:v>1274</c:v>
                </c:pt>
                <c:pt idx="18">
                  <c:v>1295</c:v>
                </c:pt>
                <c:pt idx="19">
                  <c:v>1176</c:v>
                </c:pt>
                <c:pt idx="20">
                  <c:v>1317</c:v>
                </c:pt>
                <c:pt idx="21">
                  <c:v>1309</c:v>
                </c:pt>
                <c:pt idx="22">
                  <c:v>1507</c:v>
                </c:pt>
                <c:pt idx="23">
                  <c:v>1555</c:v>
                </c:pt>
                <c:pt idx="24">
                  <c:v>1580</c:v>
                </c:pt>
                <c:pt idx="25">
                  <c:v>1271</c:v>
                </c:pt>
                <c:pt idx="26">
                  <c:v>1484</c:v>
                </c:pt>
                <c:pt idx="27">
                  <c:v>1372</c:v>
                </c:pt>
                <c:pt idx="28">
                  <c:v>1368</c:v>
                </c:pt>
                <c:pt idx="29">
                  <c:v>1404</c:v>
                </c:pt>
                <c:pt idx="30">
                  <c:v>1370</c:v>
                </c:pt>
                <c:pt idx="31">
                  <c:v>427</c:v>
                </c:pt>
                <c:pt idx="32">
                  <c:v>419</c:v>
                </c:pt>
                <c:pt idx="33">
                  <c:v>409</c:v>
                </c:pt>
                <c:pt idx="34">
                  <c:v>177</c:v>
                </c:pt>
                <c:pt idx="35">
                  <c:v>407</c:v>
                </c:pt>
                <c:pt idx="36">
                  <c:v>375</c:v>
                </c:pt>
                <c:pt idx="37">
                  <c:v>397</c:v>
                </c:pt>
                <c:pt idx="38">
                  <c:v>1250</c:v>
                </c:pt>
                <c:pt idx="39">
                  <c:v>2318</c:v>
                </c:pt>
                <c:pt idx="40">
                  <c:v>1785</c:v>
                </c:pt>
                <c:pt idx="41">
                  <c:v>2588</c:v>
                </c:pt>
                <c:pt idx="42">
                  <c:v>9453</c:v>
                </c:pt>
                <c:pt idx="43">
                  <c:v>14498</c:v>
                </c:pt>
                <c:pt idx="44">
                  <c:v>16086</c:v>
                </c:pt>
                <c:pt idx="45">
                  <c:v>8996</c:v>
                </c:pt>
                <c:pt idx="46">
                  <c:v>6341</c:v>
                </c:pt>
                <c:pt idx="47">
                  <c:v>8103</c:v>
                </c:pt>
                <c:pt idx="48">
                  <c:v>12795</c:v>
                </c:pt>
                <c:pt idx="49">
                  <c:v>12696</c:v>
                </c:pt>
                <c:pt idx="50">
                  <c:v>13514</c:v>
                </c:pt>
                <c:pt idx="51">
                  <c:v>11773</c:v>
                </c:pt>
                <c:pt idx="52">
                  <c:v>10346</c:v>
                </c:pt>
                <c:pt idx="53">
                  <c:v>9171</c:v>
                </c:pt>
                <c:pt idx="54">
                  <c:v>10433</c:v>
                </c:pt>
                <c:pt idx="55">
                  <c:v>9017</c:v>
                </c:pt>
                <c:pt idx="56">
                  <c:v>9218</c:v>
                </c:pt>
                <c:pt idx="57">
                  <c:v>16012</c:v>
                </c:pt>
                <c:pt idx="58">
                  <c:v>13956</c:v>
                </c:pt>
                <c:pt idx="59">
                  <c:v>16014</c:v>
                </c:pt>
                <c:pt idx="60">
                  <c:v>17737</c:v>
                </c:pt>
                <c:pt idx="61">
                  <c:v>14937</c:v>
                </c:pt>
                <c:pt idx="62">
                  <c:v>17490</c:v>
                </c:pt>
                <c:pt idx="63">
                  <c:v>10517</c:v>
                </c:pt>
                <c:pt idx="64">
                  <c:v>9118</c:v>
                </c:pt>
                <c:pt idx="65">
                  <c:v>5828</c:v>
                </c:pt>
                <c:pt idx="66">
                  <c:v>5870</c:v>
                </c:pt>
                <c:pt idx="67">
                  <c:v>6101</c:v>
                </c:pt>
                <c:pt idx="68">
                  <c:v>6179</c:v>
                </c:pt>
                <c:pt idx="69">
                  <c:v>7308</c:v>
                </c:pt>
                <c:pt idx="70">
                  <c:v>7216</c:v>
                </c:pt>
                <c:pt idx="71">
                  <c:v>6751</c:v>
                </c:pt>
                <c:pt idx="72">
                  <c:v>5539</c:v>
                </c:pt>
                <c:pt idx="73">
                  <c:v>12378</c:v>
                </c:pt>
                <c:pt idx="74">
                  <c:v>9871</c:v>
                </c:pt>
                <c:pt idx="75">
                  <c:v>16508</c:v>
                </c:pt>
                <c:pt idx="76">
                  <c:v>12108</c:v>
                </c:pt>
                <c:pt idx="77">
                  <c:v>12394</c:v>
                </c:pt>
                <c:pt idx="78">
                  <c:v>15626</c:v>
                </c:pt>
                <c:pt idx="79">
                  <c:v>14877</c:v>
                </c:pt>
                <c:pt idx="80">
                  <c:v>13702</c:v>
                </c:pt>
                <c:pt idx="81">
                  <c:v>11344</c:v>
                </c:pt>
                <c:pt idx="82">
                  <c:v>12699</c:v>
                </c:pt>
                <c:pt idx="83">
                  <c:v>21038</c:v>
                </c:pt>
                <c:pt idx="84">
                  <c:v>8801</c:v>
                </c:pt>
                <c:pt idx="85">
                  <c:v>15956</c:v>
                </c:pt>
                <c:pt idx="86">
                  <c:v>14922</c:v>
                </c:pt>
                <c:pt idx="87">
                  <c:v>16099</c:v>
                </c:pt>
                <c:pt idx="88">
                  <c:v>16803</c:v>
                </c:pt>
                <c:pt idx="89">
                  <c:v>15227</c:v>
                </c:pt>
                <c:pt idx="90">
                  <c:v>14816</c:v>
                </c:pt>
                <c:pt idx="91">
                  <c:v>11331</c:v>
                </c:pt>
                <c:pt idx="92">
                  <c:v>9920</c:v>
                </c:pt>
                <c:pt idx="93">
                  <c:v>8504</c:v>
                </c:pt>
                <c:pt idx="94">
                  <c:v>7408</c:v>
                </c:pt>
                <c:pt idx="95">
                  <c:v>6199</c:v>
                </c:pt>
                <c:pt idx="96">
                  <c:v>3859</c:v>
                </c:pt>
                <c:pt idx="97">
                  <c:v>5345</c:v>
                </c:pt>
                <c:pt idx="98">
                  <c:v>4712</c:v>
                </c:pt>
                <c:pt idx="99">
                  <c:v>3157</c:v>
                </c:pt>
                <c:pt idx="100">
                  <c:v>3338</c:v>
                </c:pt>
                <c:pt idx="101">
                  <c:v>2957</c:v>
                </c:pt>
                <c:pt idx="102">
                  <c:v>3084</c:v>
                </c:pt>
                <c:pt idx="103">
                  <c:v>2342</c:v>
                </c:pt>
                <c:pt idx="104">
                  <c:v>2219</c:v>
                </c:pt>
                <c:pt idx="105">
                  <c:v>2631</c:v>
                </c:pt>
                <c:pt idx="106">
                  <c:v>2568</c:v>
                </c:pt>
                <c:pt idx="107">
                  <c:v>2198</c:v>
                </c:pt>
                <c:pt idx="108">
                  <c:v>2266</c:v>
                </c:pt>
                <c:pt idx="109">
                  <c:v>1926</c:v>
                </c:pt>
                <c:pt idx="110">
                  <c:v>2211</c:v>
                </c:pt>
                <c:pt idx="111">
                  <c:v>1947</c:v>
                </c:pt>
                <c:pt idx="112">
                  <c:v>2099</c:v>
                </c:pt>
                <c:pt idx="113">
                  <c:v>2013</c:v>
                </c:pt>
                <c:pt idx="114">
                  <c:v>1859</c:v>
                </c:pt>
                <c:pt idx="115">
                  <c:v>1686</c:v>
                </c:pt>
                <c:pt idx="116">
                  <c:v>1399</c:v>
                </c:pt>
                <c:pt idx="117">
                  <c:v>1669</c:v>
                </c:pt>
                <c:pt idx="118">
                  <c:v>1726</c:v>
                </c:pt>
                <c:pt idx="119">
                  <c:v>1395</c:v>
                </c:pt>
                <c:pt idx="120">
                  <c:v>1188</c:v>
                </c:pt>
                <c:pt idx="121">
                  <c:v>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070720"/>
        <c:axId val="249072256"/>
      </c:areaChart>
      <c:dateAx>
        <c:axId val="249070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9072256"/>
        <c:crosses val="autoZero"/>
        <c:auto val="1"/>
        <c:lblOffset val="100"/>
        <c:baseTimeUnit val="months"/>
      </c:dateAx>
      <c:valAx>
        <c:axId val="2490722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49070720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Enhanced Algorithm</a:t>
            </a:r>
          </a:p>
        </c:rich>
      </c:tx>
      <c:layout/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Sheet2!$AE$1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Sheet2!$AE$2:$AE$1600</c:f>
              <c:numCache>
                <c:formatCode>General</c:formatCode>
                <c:ptCount val="1599"/>
                <c:pt idx="0">
                  <c:v>1751</c:v>
                </c:pt>
                <c:pt idx="1">
                  <c:v>1713</c:v>
                </c:pt>
                <c:pt idx="2">
                  <c:v>1379</c:v>
                </c:pt>
                <c:pt idx="3">
                  <c:v>1406</c:v>
                </c:pt>
                <c:pt idx="4">
                  <c:v>1954</c:v>
                </c:pt>
                <c:pt idx="5">
                  <c:v>2080</c:v>
                </c:pt>
                <c:pt idx="6">
                  <c:v>2676</c:v>
                </c:pt>
                <c:pt idx="7">
                  <c:v>3211</c:v>
                </c:pt>
                <c:pt idx="8">
                  <c:v>4048</c:v>
                </c:pt>
                <c:pt idx="9">
                  <c:v>7481</c:v>
                </c:pt>
                <c:pt idx="10">
                  <c:v>15991</c:v>
                </c:pt>
                <c:pt idx="11">
                  <c:v>58394</c:v>
                </c:pt>
                <c:pt idx="12">
                  <c:v>96347</c:v>
                </c:pt>
                <c:pt idx="13">
                  <c:v>93070</c:v>
                </c:pt>
                <c:pt idx="14">
                  <c:v>77021</c:v>
                </c:pt>
                <c:pt idx="15">
                  <c:v>86488</c:v>
                </c:pt>
                <c:pt idx="16">
                  <c:v>99743</c:v>
                </c:pt>
                <c:pt idx="17">
                  <c:v>94688</c:v>
                </c:pt>
                <c:pt idx="18">
                  <c:v>102712</c:v>
                </c:pt>
                <c:pt idx="19">
                  <c:v>111389</c:v>
                </c:pt>
                <c:pt idx="20">
                  <c:v>101464</c:v>
                </c:pt>
                <c:pt idx="21">
                  <c:v>102383</c:v>
                </c:pt>
                <c:pt idx="22">
                  <c:v>96093</c:v>
                </c:pt>
                <c:pt idx="23">
                  <c:v>107332</c:v>
                </c:pt>
                <c:pt idx="24">
                  <c:v>98456</c:v>
                </c:pt>
                <c:pt idx="25">
                  <c:v>99305</c:v>
                </c:pt>
                <c:pt idx="26">
                  <c:v>86895</c:v>
                </c:pt>
                <c:pt idx="27">
                  <c:v>93294</c:v>
                </c:pt>
                <c:pt idx="28">
                  <c:v>118081</c:v>
                </c:pt>
                <c:pt idx="29">
                  <c:v>122699</c:v>
                </c:pt>
                <c:pt idx="30">
                  <c:v>125488</c:v>
                </c:pt>
                <c:pt idx="31">
                  <c:v>118350</c:v>
                </c:pt>
                <c:pt idx="32">
                  <c:v>113663</c:v>
                </c:pt>
                <c:pt idx="33">
                  <c:v>110255</c:v>
                </c:pt>
                <c:pt idx="34">
                  <c:v>99633</c:v>
                </c:pt>
                <c:pt idx="35">
                  <c:v>101090</c:v>
                </c:pt>
                <c:pt idx="36">
                  <c:v>88196</c:v>
                </c:pt>
                <c:pt idx="37">
                  <c:v>95942</c:v>
                </c:pt>
                <c:pt idx="38">
                  <c:v>78249</c:v>
                </c:pt>
                <c:pt idx="39">
                  <c:v>99187</c:v>
                </c:pt>
                <c:pt idx="40">
                  <c:v>102401</c:v>
                </c:pt>
                <c:pt idx="41">
                  <c:v>98365</c:v>
                </c:pt>
                <c:pt idx="42">
                  <c:v>81925</c:v>
                </c:pt>
                <c:pt idx="43">
                  <c:v>80739</c:v>
                </c:pt>
                <c:pt idx="44">
                  <c:v>67217</c:v>
                </c:pt>
                <c:pt idx="45">
                  <c:v>45117</c:v>
                </c:pt>
                <c:pt idx="46">
                  <c:v>50694</c:v>
                </c:pt>
                <c:pt idx="47">
                  <c:v>52103</c:v>
                </c:pt>
                <c:pt idx="48">
                  <c:v>32448</c:v>
                </c:pt>
                <c:pt idx="49">
                  <c:v>52470</c:v>
                </c:pt>
                <c:pt idx="50">
                  <c:v>58125</c:v>
                </c:pt>
                <c:pt idx="51">
                  <c:v>72314</c:v>
                </c:pt>
                <c:pt idx="52">
                  <c:v>87478</c:v>
                </c:pt>
                <c:pt idx="53">
                  <c:v>80976</c:v>
                </c:pt>
                <c:pt idx="54">
                  <c:v>82570</c:v>
                </c:pt>
                <c:pt idx="55">
                  <c:v>89410</c:v>
                </c:pt>
                <c:pt idx="56">
                  <c:v>83867</c:v>
                </c:pt>
                <c:pt idx="57">
                  <c:v>62931</c:v>
                </c:pt>
                <c:pt idx="58">
                  <c:v>58846</c:v>
                </c:pt>
                <c:pt idx="59">
                  <c:v>62802</c:v>
                </c:pt>
                <c:pt idx="60">
                  <c:v>60390</c:v>
                </c:pt>
                <c:pt idx="61">
                  <c:v>54738</c:v>
                </c:pt>
                <c:pt idx="62">
                  <c:v>43730</c:v>
                </c:pt>
                <c:pt idx="63">
                  <c:v>42612</c:v>
                </c:pt>
                <c:pt idx="64">
                  <c:v>46375</c:v>
                </c:pt>
                <c:pt idx="65">
                  <c:v>49599</c:v>
                </c:pt>
                <c:pt idx="66">
                  <c:v>51493</c:v>
                </c:pt>
                <c:pt idx="67">
                  <c:v>55048</c:v>
                </c:pt>
                <c:pt idx="68">
                  <c:v>40328</c:v>
                </c:pt>
                <c:pt idx="69">
                  <c:v>41549</c:v>
                </c:pt>
                <c:pt idx="70">
                  <c:v>37450</c:v>
                </c:pt>
                <c:pt idx="71">
                  <c:v>38964</c:v>
                </c:pt>
                <c:pt idx="72">
                  <c:v>36931</c:v>
                </c:pt>
                <c:pt idx="73">
                  <c:v>41383</c:v>
                </c:pt>
                <c:pt idx="74">
                  <c:v>32412</c:v>
                </c:pt>
                <c:pt idx="75">
                  <c:v>22609</c:v>
                </c:pt>
                <c:pt idx="76">
                  <c:v>29809</c:v>
                </c:pt>
                <c:pt idx="77">
                  <c:v>30453</c:v>
                </c:pt>
                <c:pt idx="78">
                  <c:v>31433</c:v>
                </c:pt>
                <c:pt idx="79">
                  <c:v>41640</c:v>
                </c:pt>
                <c:pt idx="80">
                  <c:v>37088</c:v>
                </c:pt>
                <c:pt idx="81">
                  <c:v>36313</c:v>
                </c:pt>
                <c:pt idx="82">
                  <c:v>32247</c:v>
                </c:pt>
                <c:pt idx="83">
                  <c:v>24462</c:v>
                </c:pt>
                <c:pt idx="84">
                  <c:v>25527</c:v>
                </c:pt>
                <c:pt idx="85">
                  <c:v>30765</c:v>
                </c:pt>
                <c:pt idx="86">
                  <c:v>21029</c:v>
                </c:pt>
                <c:pt idx="87">
                  <c:v>20238</c:v>
                </c:pt>
                <c:pt idx="88">
                  <c:v>24408</c:v>
                </c:pt>
                <c:pt idx="89">
                  <c:v>32500</c:v>
                </c:pt>
                <c:pt idx="90">
                  <c:v>40914</c:v>
                </c:pt>
                <c:pt idx="91">
                  <c:v>40188</c:v>
                </c:pt>
                <c:pt idx="92">
                  <c:v>43003</c:v>
                </c:pt>
                <c:pt idx="93">
                  <c:v>47014</c:v>
                </c:pt>
                <c:pt idx="94">
                  <c:v>49817</c:v>
                </c:pt>
                <c:pt idx="95">
                  <c:v>49997</c:v>
                </c:pt>
                <c:pt idx="96">
                  <c:v>39735</c:v>
                </c:pt>
                <c:pt idx="97">
                  <c:v>44263</c:v>
                </c:pt>
                <c:pt idx="98">
                  <c:v>42586</c:v>
                </c:pt>
                <c:pt idx="99">
                  <c:v>46377</c:v>
                </c:pt>
                <c:pt idx="100">
                  <c:v>47960</c:v>
                </c:pt>
                <c:pt idx="101">
                  <c:v>48520</c:v>
                </c:pt>
                <c:pt idx="102">
                  <c:v>62247</c:v>
                </c:pt>
                <c:pt idx="103">
                  <c:v>60521</c:v>
                </c:pt>
                <c:pt idx="104">
                  <c:v>56082</c:v>
                </c:pt>
                <c:pt idx="105">
                  <c:v>49157</c:v>
                </c:pt>
                <c:pt idx="106">
                  <c:v>41646</c:v>
                </c:pt>
                <c:pt idx="107">
                  <c:v>45669</c:v>
                </c:pt>
                <c:pt idx="108">
                  <c:v>45740</c:v>
                </c:pt>
                <c:pt idx="109">
                  <c:v>48083</c:v>
                </c:pt>
                <c:pt idx="110">
                  <c:v>32180</c:v>
                </c:pt>
                <c:pt idx="111">
                  <c:v>34462</c:v>
                </c:pt>
                <c:pt idx="112">
                  <c:v>46337</c:v>
                </c:pt>
                <c:pt idx="113">
                  <c:v>49505</c:v>
                </c:pt>
                <c:pt idx="114">
                  <c:v>55296</c:v>
                </c:pt>
                <c:pt idx="115">
                  <c:v>65987</c:v>
                </c:pt>
                <c:pt idx="116">
                  <c:v>67292</c:v>
                </c:pt>
                <c:pt idx="117">
                  <c:v>63700</c:v>
                </c:pt>
                <c:pt idx="118">
                  <c:v>59685</c:v>
                </c:pt>
                <c:pt idx="119">
                  <c:v>54341</c:v>
                </c:pt>
                <c:pt idx="120">
                  <c:v>47249</c:v>
                </c:pt>
                <c:pt idx="121">
                  <c:v>50077</c:v>
                </c:pt>
                <c:pt idx="122">
                  <c:v>39430</c:v>
                </c:pt>
                <c:pt idx="123">
                  <c:v>45765</c:v>
                </c:pt>
                <c:pt idx="124">
                  <c:v>63287</c:v>
                </c:pt>
                <c:pt idx="125">
                  <c:v>66830</c:v>
                </c:pt>
                <c:pt idx="126">
                  <c:v>70152</c:v>
                </c:pt>
                <c:pt idx="127">
                  <c:v>73089</c:v>
                </c:pt>
                <c:pt idx="128">
                  <c:v>71662</c:v>
                </c:pt>
                <c:pt idx="129">
                  <c:v>69102</c:v>
                </c:pt>
                <c:pt idx="130">
                  <c:v>65190</c:v>
                </c:pt>
                <c:pt idx="131">
                  <c:v>61618</c:v>
                </c:pt>
                <c:pt idx="132">
                  <c:v>43151</c:v>
                </c:pt>
                <c:pt idx="133">
                  <c:v>21694</c:v>
                </c:pt>
                <c:pt idx="134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Sheet2!$AF$1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Sheet2!$AF$2:$AF$1600</c:f>
              <c:numCache>
                <c:formatCode>General</c:formatCode>
                <c:ptCount val="1599"/>
                <c:pt idx="0">
                  <c:v>226</c:v>
                </c:pt>
                <c:pt idx="1">
                  <c:v>237</c:v>
                </c:pt>
                <c:pt idx="2">
                  <c:v>165</c:v>
                </c:pt>
                <c:pt idx="3">
                  <c:v>248</c:v>
                </c:pt>
                <c:pt idx="4">
                  <c:v>357</c:v>
                </c:pt>
                <c:pt idx="5">
                  <c:v>256</c:v>
                </c:pt>
                <c:pt idx="6">
                  <c:v>314</c:v>
                </c:pt>
                <c:pt idx="7">
                  <c:v>372</c:v>
                </c:pt>
                <c:pt idx="8">
                  <c:v>617</c:v>
                </c:pt>
                <c:pt idx="9">
                  <c:v>996</c:v>
                </c:pt>
                <c:pt idx="10">
                  <c:v>2199</c:v>
                </c:pt>
                <c:pt idx="11">
                  <c:v>9660</c:v>
                </c:pt>
                <c:pt idx="12">
                  <c:v>14686</c:v>
                </c:pt>
                <c:pt idx="13">
                  <c:v>13545</c:v>
                </c:pt>
                <c:pt idx="14">
                  <c:v>12671</c:v>
                </c:pt>
                <c:pt idx="15">
                  <c:v>13588</c:v>
                </c:pt>
                <c:pt idx="16">
                  <c:v>13902</c:v>
                </c:pt>
                <c:pt idx="17">
                  <c:v>12297</c:v>
                </c:pt>
                <c:pt idx="18">
                  <c:v>11912</c:v>
                </c:pt>
                <c:pt idx="19">
                  <c:v>11212</c:v>
                </c:pt>
                <c:pt idx="20">
                  <c:v>10662</c:v>
                </c:pt>
                <c:pt idx="21">
                  <c:v>11537</c:v>
                </c:pt>
                <c:pt idx="22">
                  <c:v>12948</c:v>
                </c:pt>
                <c:pt idx="23">
                  <c:v>17880</c:v>
                </c:pt>
                <c:pt idx="24">
                  <c:v>17232</c:v>
                </c:pt>
                <c:pt idx="25">
                  <c:v>21209</c:v>
                </c:pt>
                <c:pt idx="26">
                  <c:v>20923</c:v>
                </c:pt>
                <c:pt idx="27">
                  <c:v>18017</c:v>
                </c:pt>
                <c:pt idx="28">
                  <c:v>22875</c:v>
                </c:pt>
                <c:pt idx="29">
                  <c:v>24801</c:v>
                </c:pt>
                <c:pt idx="30">
                  <c:v>21810</c:v>
                </c:pt>
                <c:pt idx="31">
                  <c:v>17435</c:v>
                </c:pt>
                <c:pt idx="32">
                  <c:v>15467</c:v>
                </c:pt>
                <c:pt idx="33">
                  <c:v>15255</c:v>
                </c:pt>
                <c:pt idx="34">
                  <c:v>18097</c:v>
                </c:pt>
                <c:pt idx="35">
                  <c:v>21973</c:v>
                </c:pt>
                <c:pt idx="36">
                  <c:v>20897</c:v>
                </c:pt>
                <c:pt idx="37">
                  <c:v>30555</c:v>
                </c:pt>
                <c:pt idx="38">
                  <c:v>34268</c:v>
                </c:pt>
                <c:pt idx="39">
                  <c:v>60058</c:v>
                </c:pt>
                <c:pt idx="40">
                  <c:v>41596</c:v>
                </c:pt>
                <c:pt idx="41">
                  <c:v>38213</c:v>
                </c:pt>
                <c:pt idx="42">
                  <c:v>23471</c:v>
                </c:pt>
                <c:pt idx="43">
                  <c:v>17448</c:v>
                </c:pt>
                <c:pt idx="44">
                  <c:v>11582</c:v>
                </c:pt>
                <c:pt idx="45">
                  <c:v>7202</c:v>
                </c:pt>
                <c:pt idx="46">
                  <c:v>10585</c:v>
                </c:pt>
                <c:pt idx="47">
                  <c:v>15821</c:v>
                </c:pt>
                <c:pt idx="48">
                  <c:v>7542</c:v>
                </c:pt>
                <c:pt idx="49">
                  <c:v>32323</c:v>
                </c:pt>
                <c:pt idx="50">
                  <c:v>81505</c:v>
                </c:pt>
                <c:pt idx="51">
                  <c:v>104826</c:v>
                </c:pt>
                <c:pt idx="52">
                  <c:v>108692</c:v>
                </c:pt>
              </c:numCache>
            </c:numRef>
          </c:val>
        </c:ser>
        <c:ser>
          <c:idx val="2"/>
          <c:order val="2"/>
          <c:tx>
            <c:strRef>
              <c:f>Sheet2!$AG$1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Sheet2!$AG$2:$AG$1600</c:f>
              <c:numCache>
                <c:formatCode>General</c:formatCode>
                <c:ptCount val="1599"/>
                <c:pt idx="53">
                  <c:v>94312</c:v>
                </c:pt>
                <c:pt idx="54">
                  <c:v>90531</c:v>
                </c:pt>
                <c:pt idx="55">
                  <c:v>71783</c:v>
                </c:pt>
                <c:pt idx="56">
                  <c:v>45076</c:v>
                </c:pt>
                <c:pt idx="57">
                  <c:v>24616</c:v>
                </c:pt>
                <c:pt idx="58">
                  <c:v>20958</c:v>
                </c:pt>
                <c:pt idx="59">
                  <c:v>26484</c:v>
                </c:pt>
                <c:pt idx="60">
                  <c:v>27562</c:v>
                </c:pt>
                <c:pt idx="61">
                  <c:v>29806</c:v>
                </c:pt>
                <c:pt idx="62">
                  <c:v>25134</c:v>
                </c:pt>
                <c:pt idx="63">
                  <c:v>17800</c:v>
                </c:pt>
                <c:pt idx="64">
                  <c:v>16829</c:v>
                </c:pt>
                <c:pt idx="65">
                  <c:v>14699</c:v>
                </c:pt>
                <c:pt idx="66">
                  <c:v>11907</c:v>
                </c:pt>
                <c:pt idx="67">
                  <c:v>16456</c:v>
                </c:pt>
                <c:pt idx="68">
                  <c:v>22322</c:v>
                </c:pt>
                <c:pt idx="69">
                  <c:v>30002</c:v>
                </c:pt>
                <c:pt idx="70">
                  <c:v>30869</c:v>
                </c:pt>
                <c:pt idx="71">
                  <c:v>34888</c:v>
                </c:pt>
                <c:pt idx="72">
                  <c:v>33215</c:v>
                </c:pt>
                <c:pt idx="73">
                  <c:v>30768</c:v>
                </c:pt>
                <c:pt idx="74">
                  <c:v>20081</c:v>
                </c:pt>
                <c:pt idx="75">
                  <c:v>10793</c:v>
                </c:pt>
                <c:pt idx="76">
                  <c:v>9553</c:v>
                </c:pt>
                <c:pt idx="77">
                  <c:v>7592</c:v>
                </c:pt>
                <c:pt idx="78">
                  <c:v>6380</c:v>
                </c:pt>
                <c:pt idx="79">
                  <c:v>8952</c:v>
                </c:pt>
                <c:pt idx="80">
                  <c:v>9875</c:v>
                </c:pt>
                <c:pt idx="81">
                  <c:v>11433</c:v>
                </c:pt>
                <c:pt idx="82">
                  <c:v>22206</c:v>
                </c:pt>
                <c:pt idx="83">
                  <c:v>21822</c:v>
                </c:pt>
                <c:pt idx="84">
                  <c:v>22762</c:v>
                </c:pt>
                <c:pt idx="85">
                  <c:v>25465</c:v>
                </c:pt>
                <c:pt idx="86">
                  <c:v>22392</c:v>
                </c:pt>
                <c:pt idx="87">
                  <c:v>22169</c:v>
                </c:pt>
                <c:pt idx="88">
                  <c:v>21904</c:v>
                </c:pt>
                <c:pt idx="89">
                  <c:v>18591</c:v>
                </c:pt>
                <c:pt idx="90">
                  <c:v>20169</c:v>
                </c:pt>
                <c:pt idx="91">
                  <c:v>20467</c:v>
                </c:pt>
                <c:pt idx="92">
                  <c:v>25359</c:v>
                </c:pt>
                <c:pt idx="93">
                  <c:v>33904</c:v>
                </c:pt>
                <c:pt idx="94">
                  <c:v>40037</c:v>
                </c:pt>
                <c:pt idx="95">
                  <c:v>40485</c:v>
                </c:pt>
                <c:pt idx="96">
                  <c:v>36497</c:v>
                </c:pt>
                <c:pt idx="97">
                  <c:v>41281</c:v>
                </c:pt>
                <c:pt idx="98">
                  <c:v>45862</c:v>
                </c:pt>
                <c:pt idx="99">
                  <c:v>40421</c:v>
                </c:pt>
                <c:pt idx="100">
                  <c:v>30711</c:v>
                </c:pt>
                <c:pt idx="101">
                  <c:v>26806</c:v>
                </c:pt>
                <c:pt idx="102">
                  <c:v>32722</c:v>
                </c:pt>
                <c:pt idx="103">
                  <c:v>27485</c:v>
                </c:pt>
                <c:pt idx="104">
                  <c:v>19112</c:v>
                </c:pt>
                <c:pt idx="105">
                  <c:v>11604</c:v>
                </c:pt>
                <c:pt idx="106">
                  <c:v>7900</c:v>
                </c:pt>
                <c:pt idx="107">
                  <c:v>8033</c:v>
                </c:pt>
                <c:pt idx="108">
                  <c:v>9674</c:v>
                </c:pt>
                <c:pt idx="109">
                  <c:v>9770</c:v>
                </c:pt>
                <c:pt idx="110">
                  <c:v>6588</c:v>
                </c:pt>
                <c:pt idx="111">
                  <c:v>9473</c:v>
                </c:pt>
                <c:pt idx="112">
                  <c:v>11593</c:v>
                </c:pt>
                <c:pt idx="113">
                  <c:v>11234</c:v>
                </c:pt>
                <c:pt idx="114">
                  <c:v>10540</c:v>
                </c:pt>
                <c:pt idx="115">
                  <c:v>13459</c:v>
                </c:pt>
                <c:pt idx="116">
                  <c:v>14181</c:v>
                </c:pt>
                <c:pt idx="117">
                  <c:v>14351</c:v>
                </c:pt>
                <c:pt idx="118">
                  <c:v>15344</c:v>
                </c:pt>
                <c:pt idx="119">
                  <c:v>15891</c:v>
                </c:pt>
                <c:pt idx="120">
                  <c:v>19500</c:v>
                </c:pt>
                <c:pt idx="121">
                  <c:v>18810</c:v>
                </c:pt>
                <c:pt idx="122">
                  <c:v>22277</c:v>
                </c:pt>
                <c:pt idx="123">
                  <c:v>33106</c:v>
                </c:pt>
                <c:pt idx="124">
                  <c:v>37447</c:v>
                </c:pt>
                <c:pt idx="125">
                  <c:v>28536</c:v>
                </c:pt>
                <c:pt idx="126">
                  <c:v>24520</c:v>
                </c:pt>
                <c:pt idx="127">
                  <c:v>19762</c:v>
                </c:pt>
                <c:pt idx="128">
                  <c:v>15711</c:v>
                </c:pt>
                <c:pt idx="129">
                  <c:v>15047</c:v>
                </c:pt>
                <c:pt idx="130">
                  <c:v>16140</c:v>
                </c:pt>
                <c:pt idx="131">
                  <c:v>17122</c:v>
                </c:pt>
                <c:pt idx="132">
                  <c:v>13678</c:v>
                </c:pt>
                <c:pt idx="133">
                  <c:v>5279</c:v>
                </c:pt>
                <c:pt idx="134">
                  <c:v>15</c:v>
                </c:pt>
              </c:numCache>
            </c:numRef>
          </c:val>
        </c:ser>
        <c:ser>
          <c:idx val="3"/>
          <c:order val="3"/>
          <c:tx>
            <c:strRef>
              <c:f>Sheet2!$AH$1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Sheet2!$AD$2:$AD$1600</c:f>
              <c:numCache>
                <c:formatCode>m/d/yyyy</c:formatCode>
                <c:ptCount val="15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Sheet2!$AH$2:$AH$1600</c:f>
              <c:numCache>
                <c:formatCode>General</c:formatCode>
                <c:ptCount val="1599"/>
                <c:pt idx="53">
                  <c:v>10383</c:v>
                </c:pt>
                <c:pt idx="54">
                  <c:v>16311</c:v>
                </c:pt>
                <c:pt idx="55">
                  <c:v>25480</c:v>
                </c:pt>
                <c:pt idx="56">
                  <c:v>22620</c:v>
                </c:pt>
                <c:pt idx="57">
                  <c:v>16406</c:v>
                </c:pt>
                <c:pt idx="58">
                  <c:v>13051</c:v>
                </c:pt>
                <c:pt idx="59">
                  <c:v>18179</c:v>
                </c:pt>
                <c:pt idx="60">
                  <c:v>23590</c:v>
                </c:pt>
                <c:pt idx="61">
                  <c:v>26564</c:v>
                </c:pt>
                <c:pt idx="62">
                  <c:v>24648</c:v>
                </c:pt>
                <c:pt idx="63">
                  <c:v>17440</c:v>
                </c:pt>
                <c:pt idx="64">
                  <c:v>21045</c:v>
                </c:pt>
                <c:pt idx="65">
                  <c:v>19445</c:v>
                </c:pt>
                <c:pt idx="66">
                  <c:v>15205</c:v>
                </c:pt>
                <c:pt idx="67">
                  <c:v>21345</c:v>
                </c:pt>
                <c:pt idx="68">
                  <c:v>28168</c:v>
                </c:pt>
                <c:pt idx="69">
                  <c:v>33340</c:v>
                </c:pt>
                <c:pt idx="70">
                  <c:v>38106</c:v>
                </c:pt>
                <c:pt idx="71">
                  <c:v>43237</c:v>
                </c:pt>
                <c:pt idx="72">
                  <c:v>44477</c:v>
                </c:pt>
                <c:pt idx="73">
                  <c:v>37322</c:v>
                </c:pt>
                <c:pt idx="74">
                  <c:v>32289</c:v>
                </c:pt>
                <c:pt idx="75">
                  <c:v>21224</c:v>
                </c:pt>
                <c:pt idx="76">
                  <c:v>14491</c:v>
                </c:pt>
                <c:pt idx="77">
                  <c:v>13261</c:v>
                </c:pt>
                <c:pt idx="78">
                  <c:v>11117</c:v>
                </c:pt>
                <c:pt idx="79">
                  <c:v>12492</c:v>
                </c:pt>
                <c:pt idx="80">
                  <c:v>14123</c:v>
                </c:pt>
                <c:pt idx="81">
                  <c:v>14084</c:v>
                </c:pt>
                <c:pt idx="82">
                  <c:v>17551</c:v>
                </c:pt>
                <c:pt idx="83">
                  <c:v>20154</c:v>
                </c:pt>
                <c:pt idx="84">
                  <c:v>21857</c:v>
                </c:pt>
                <c:pt idx="85">
                  <c:v>18923</c:v>
                </c:pt>
                <c:pt idx="86">
                  <c:v>20650</c:v>
                </c:pt>
                <c:pt idx="87">
                  <c:v>23750</c:v>
                </c:pt>
                <c:pt idx="88">
                  <c:v>22147</c:v>
                </c:pt>
                <c:pt idx="89">
                  <c:v>20132</c:v>
                </c:pt>
                <c:pt idx="90">
                  <c:v>20818</c:v>
                </c:pt>
                <c:pt idx="91">
                  <c:v>21157</c:v>
                </c:pt>
                <c:pt idx="92">
                  <c:v>23362</c:v>
                </c:pt>
                <c:pt idx="93">
                  <c:v>24936</c:v>
                </c:pt>
                <c:pt idx="94">
                  <c:v>26328</c:v>
                </c:pt>
                <c:pt idx="95">
                  <c:v>29752</c:v>
                </c:pt>
                <c:pt idx="96">
                  <c:v>26820</c:v>
                </c:pt>
                <c:pt idx="97">
                  <c:v>27439</c:v>
                </c:pt>
                <c:pt idx="98">
                  <c:v>29625</c:v>
                </c:pt>
                <c:pt idx="99">
                  <c:v>29886</c:v>
                </c:pt>
                <c:pt idx="100">
                  <c:v>30220</c:v>
                </c:pt>
                <c:pt idx="101">
                  <c:v>28244</c:v>
                </c:pt>
                <c:pt idx="102">
                  <c:v>26787</c:v>
                </c:pt>
                <c:pt idx="103">
                  <c:v>23013</c:v>
                </c:pt>
                <c:pt idx="104">
                  <c:v>20541</c:v>
                </c:pt>
                <c:pt idx="105">
                  <c:v>15993</c:v>
                </c:pt>
                <c:pt idx="106">
                  <c:v>12082</c:v>
                </c:pt>
                <c:pt idx="107">
                  <c:v>10922</c:v>
                </c:pt>
                <c:pt idx="108">
                  <c:v>9751</c:v>
                </c:pt>
                <c:pt idx="109">
                  <c:v>9671</c:v>
                </c:pt>
                <c:pt idx="110">
                  <c:v>8095</c:v>
                </c:pt>
                <c:pt idx="111">
                  <c:v>3315</c:v>
                </c:pt>
                <c:pt idx="112">
                  <c:v>3393</c:v>
                </c:pt>
                <c:pt idx="113">
                  <c:v>3248</c:v>
                </c:pt>
                <c:pt idx="114">
                  <c:v>2784</c:v>
                </c:pt>
                <c:pt idx="115">
                  <c:v>2417</c:v>
                </c:pt>
                <c:pt idx="116">
                  <c:v>2312</c:v>
                </c:pt>
                <c:pt idx="117">
                  <c:v>2380</c:v>
                </c:pt>
                <c:pt idx="118">
                  <c:v>2381</c:v>
                </c:pt>
                <c:pt idx="119">
                  <c:v>2277</c:v>
                </c:pt>
                <c:pt idx="120">
                  <c:v>1975</c:v>
                </c:pt>
                <c:pt idx="121">
                  <c:v>2128</c:v>
                </c:pt>
                <c:pt idx="122">
                  <c:v>1852</c:v>
                </c:pt>
                <c:pt idx="123">
                  <c:v>1910</c:v>
                </c:pt>
                <c:pt idx="124">
                  <c:v>2169</c:v>
                </c:pt>
                <c:pt idx="125">
                  <c:v>2004</c:v>
                </c:pt>
                <c:pt idx="126">
                  <c:v>1721</c:v>
                </c:pt>
                <c:pt idx="127">
                  <c:v>1641</c:v>
                </c:pt>
                <c:pt idx="128">
                  <c:v>1471</c:v>
                </c:pt>
                <c:pt idx="129">
                  <c:v>1498</c:v>
                </c:pt>
                <c:pt idx="130">
                  <c:v>1452</c:v>
                </c:pt>
                <c:pt idx="131">
                  <c:v>1357</c:v>
                </c:pt>
                <c:pt idx="132">
                  <c:v>961</c:v>
                </c:pt>
                <c:pt idx="133">
                  <c:v>434</c:v>
                </c:pt>
                <c:pt idx="13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78880"/>
        <c:axId val="268380416"/>
      </c:areaChart>
      <c:dateAx>
        <c:axId val="268378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8380416"/>
        <c:crosses val="autoZero"/>
        <c:auto val="1"/>
        <c:lblOffset val="100"/>
        <c:baseTimeUnit val="months"/>
      </c:dateAx>
      <c:valAx>
        <c:axId val="268380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68378880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Cridet Data Mapping Algorithm</a:t>
            </a:r>
          </a:p>
        </c:rich>
      </c:tx>
      <c:layout/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N/A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Sheet2!$B$2:$B$1600</c:f>
              <c:numCache>
                <c:formatCode>General</c:formatCode>
                <c:ptCount val="1599"/>
                <c:pt idx="0">
                  <c:v>116679</c:v>
                </c:pt>
                <c:pt idx="1">
                  <c:v>101038</c:v>
                </c:pt>
                <c:pt idx="2">
                  <c:v>85924</c:v>
                </c:pt>
                <c:pt idx="3">
                  <c:v>85045</c:v>
                </c:pt>
                <c:pt idx="4">
                  <c:v>91876</c:v>
                </c:pt>
                <c:pt idx="5">
                  <c:v>83181</c:v>
                </c:pt>
                <c:pt idx="6">
                  <c:v>96000</c:v>
                </c:pt>
                <c:pt idx="7">
                  <c:v>94899</c:v>
                </c:pt>
                <c:pt idx="8">
                  <c:v>106784</c:v>
                </c:pt>
                <c:pt idx="9">
                  <c:v>107277</c:v>
                </c:pt>
                <c:pt idx="10">
                  <c:v>92041</c:v>
                </c:pt>
                <c:pt idx="11">
                  <c:v>83109</c:v>
                </c:pt>
                <c:pt idx="12">
                  <c:v>109560</c:v>
                </c:pt>
                <c:pt idx="13">
                  <c:v>90090</c:v>
                </c:pt>
                <c:pt idx="14">
                  <c:v>105785</c:v>
                </c:pt>
                <c:pt idx="15">
                  <c:v>107547</c:v>
                </c:pt>
                <c:pt idx="16">
                  <c:v>100318</c:v>
                </c:pt>
                <c:pt idx="17">
                  <c:v>111446</c:v>
                </c:pt>
                <c:pt idx="18">
                  <c:v>112135</c:v>
                </c:pt>
                <c:pt idx="19">
                  <c:v>100566</c:v>
                </c:pt>
                <c:pt idx="20">
                  <c:v>117065</c:v>
                </c:pt>
                <c:pt idx="21">
                  <c:v>136772</c:v>
                </c:pt>
                <c:pt idx="22">
                  <c:v>108346</c:v>
                </c:pt>
                <c:pt idx="23">
                  <c:v>118469</c:v>
                </c:pt>
                <c:pt idx="24">
                  <c:v>108670</c:v>
                </c:pt>
                <c:pt idx="25">
                  <c:v>90455</c:v>
                </c:pt>
                <c:pt idx="26">
                  <c:v>124215</c:v>
                </c:pt>
                <c:pt idx="27">
                  <c:v>88535</c:v>
                </c:pt>
                <c:pt idx="28">
                  <c:v>98952</c:v>
                </c:pt>
                <c:pt idx="29">
                  <c:v>110414</c:v>
                </c:pt>
                <c:pt idx="30">
                  <c:v>108177</c:v>
                </c:pt>
                <c:pt idx="31">
                  <c:v>62302</c:v>
                </c:pt>
                <c:pt idx="32">
                  <c:v>68339</c:v>
                </c:pt>
                <c:pt idx="33">
                  <c:v>66445</c:v>
                </c:pt>
                <c:pt idx="34">
                  <c:v>45734</c:v>
                </c:pt>
                <c:pt idx="35">
                  <c:v>43655</c:v>
                </c:pt>
                <c:pt idx="36">
                  <c:v>50259</c:v>
                </c:pt>
                <c:pt idx="37">
                  <c:v>45008</c:v>
                </c:pt>
                <c:pt idx="38">
                  <c:v>54314</c:v>
                </c:pt>
                <c:pt idx="39">
                  <c:v>90938</c:v>
                </c:pt>
                <c:pt idx="40">
                  <c:v>70127</c:v>
                </c:pt>
                <c:pt idx="41">
                  <c:v>67567</c:v>
                </c:pt>
                <c:pt idx="42">
                  <c:v>104095</c:v>
                </c:pt>
                <c:pt idx="43">
                  <c:v>71014</c:v>
                </c:pt>
                <c:pt idx="44">
                  <c:v>82357</c:v>
                </c:pt>
                <c:pt idx="45">
                  <c:v>70570</c:v>
                </c:pt>
                <c:pt idx="46">
                  <c:v>61209</c:v>
                </c:pt>
                <c:pt idx="47">
                  <c:v>54618</c:v>
                </c:pt>
                <c:pt idx="48">
                  <c:v>70439</c:v>
                </c:pt>
                <c:pt idx="49">
                  <c:v>51271</c:v>
                </c:pt>
                <c:pt idx="50">
                  <c:v>51586</c:v>
                </c:pt>
                <c:pt idx="51">
                  <c:v>56751</c:v>
                </c:pt>
                <c:pt idx="52">
                  <c:v>37231</c:v>
                </c:pt>
                <c:pt idx="53">
                  <c:v>46855</c:v>
                </c:pt>
                <c:pt idx="54">
                  <c:v>55813</c:v>
                </c:pt>
                <c:pt idx="55">
                  <c:v>50706</c:v>
                </c:pt>
                <c:pt idx="56">
                  <c:v>48810</c:v>
                </c:pt>
                <c:pt idx="57">
                  <c:v>42017</c:v>
                </c:pt>
                <c:pt idx="58">
                  <c:v>39705</c:v>
                </c:pt>
                <c:pt idx="59">
                  <c:v>35585</c:v>
                </c:pt>
                <c:pt idx="60">
                  <c:v>33399</c:v>
                </c:pt>
                <c:pt idx="61">
                  <c:v>40868</c:v>
                </c:pt>
                <c:pt idx="62">
                  <c:v>38825</c:v>
                </c:pt>
                <c:pt idx="63">
                  <c:v>29596</c:v>
                </c:pt>
                <c:pt idx="64">
                  <c:v>24320</c:v>
                </c:pt>
                <c:pt idx="65">
                  <c:v>26412</c:v>
                </c:pt>
                <c:pt idx="66">
                  <c:v>32058</c:v>
                </c:pt>
                <c:pt idx="67">
                  <c:v>25325</c:v>
                </c:pt>
                <c:pt idx="68">
                  <c:v>34306</c:v>
                </c:pt>
                <c:pt idx="69">
                  <c:v>35181</c:v>
                </c:pt>
                <c:pt idx="70">
                  <c:v>28354</c:v>
                </c:pt>
                <c:pt idx="71">
                  <c:v>22321</c:v>
                </c:pt>
                <c:pt idx="72">
                  <c:v>12661</c:v>
                </c:pt>
                <c:pt idx="73">
                  <c:v>26095</c:v>
                </c:pt>
                <c:pt idx="74">
                  <c:v>35310</c:v>
                </c:pt>
                <c:pt idx="75">
                  <c:v>26813</c:v>
                </c:pt>
                <c:pt idx="76">
                  <c:v>37089</c:v>
                </c:pt>
                <c:pt idx="77">
                  <c:v>26357</c:v>
                </c:pt>
                <c:pt idx="78">
                  <c:v>49421</c:v>
                </c:pt>
                <c:pt idx="79">
                  <c:v>37815</c:v>
                </c:pt>
                <c:pt idx="80">
                  <c:v>51040</c:v>
                </c:pt>
                <c:pt idx="81">
                  <c:v>34014</c:v>
                </c:pt>
                <c:pt idx="82">
                  <c:v>50866</c:v>
                </c:pt>
                <c:pt idx="83">
                  <c:v>70841</c:v>
                </c:pt>
                <c:pt idx="84">
                  <c:v>26902</c:v>
                </c:pt>
                <c:pt idx="85">
                  <c:v>42899</c:v>
                </c:pt>
                <c:pt idx="86">
                  <c:v>41255</c:v>
                </c:pt>
                <c:pt idx="87">
                  <c:v>48881</c:v>
                </c:pt>
                <c:pt idx="88">
                  <c:v>53226</c:v>
                </c:pt>
                <c:pt idx="89">
                  <c:v>49248</c:v>
                </c:pt>
                <c:pt idx="90">
                  <c:v>62348</c:v>
                </c:pt>
                <c:pt idx="91">
                  <c:v>52562</c:v>
                </c:pt>
                <c:pt idx="92">
                  <c:v>62201</c:v>
                </c:pt>
                <c:pt idx="93">
                  <c:v>44797</c:v>
                </c:pt>
                <c:pt idx="94">
                  <c:v>41608</c:v>
                </c:pt>
                <c:pt idx="95">
                  <c:v>50491</c:v>
                </c:pt>
                <c:pt idx="96">
                  <c:v>51152</c:v>
                </c:pt>
                <c:pt idx="97">
                  <c:v>41585</c:v>
                </c:pt>
                <c:pt idx="98">
                  <c:v>40661</c:v>
                </c:pt>
                <c:pt idx="99">
                  <c:v>31931</c:v>
                </c:pt>
                <c:pt idx="100">
                  <c:v>41535</c:v>
                </c:pt>
                <c:pt idx="101">
                  <c:v>44793</c:v>
                </c:pt>
                <c:pt idx="102">
                  <c:v>52858</c:v>
                </c:pt>
                <c:pt idx="103">
                  <c:v>55463</c:v>
                </c:pt>
                <c:pt idx="104">
                  <c:v>74711</c:v>
                </c:pt>
                <c:pt idx="105">
                  <c:v>65252</c:v>
                </c:pt>
                <c:pt idx="106">
                  <c:v>64996</c:v>
                </c:pt>
                <c:pt idx="107">
                  <c:v>60127</c:v>
                </c:pt>
                <c:pt idx="108">
                  <c:v>48738</c:v>
                </c:pt>
                <c:pt idx="109">
                  <c:v>49656</c:v>
                </c:pt>
                <c:pt idx="110">
                  <c:v>63470</c:v>
                </c:pt>
                <c:pt idx="111">
                  <c:v>43920</c:v>
                </c:pt>
                <c:pt idx="112">
                  <c:v>57744</c:v>
                </c:pt>
                <c:pt idx="113">
                  <c:v>63761</c:v>
                </c:pt>
                <c:pt idx="114">
                  <c:v>74200</c:v>
                </c:pt>
                <c:pt idx="115">
                  <c:v>77621</c:v>
                </c:pt>
                <c:pt idx="116">
                  <c:v>68006</c:v>
                </c:pt>
                <c:pt idx="117">
                  <c:v>75190</c:v>
                </c:pt>
                <c:pt idx="118">
                  <c:v>72819</c:v>
                </c:pt>
                <c:pt idx="119">
                  <c:v>61380</c:v>
                </c:pt>
                <c:pt idx="120">
                  <c:v>56308</c:v>
                </c:pt>
                <c:pt idx="121">
                  <c:v>38576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&lt; 2009-06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Sheet2!$C$2:$C$1600</c:f>
              <c:numCache>
                <c:formatCode>General</c:formatCode>
                <c:ptCount val="1599"/>
                <c:pt idx="0">
                  <c:v>19057</c:v>
                </c:pt>
                <c:pt idx="1">
                  <c:v>15165</c:v>
                </c:pt>
                <c:pt idx="2">
                  <c:v>13726</c:v>
                </c:pt>
                <c:pt idx="3">
                  <c:v>13317</c:v>
                </c:pt>
                <c:pt idx="4">
                  <c:v>13740</c:v>
                </c:pt>
                <c:pt idx="5">
                  <c:v>11485</c:v>
                </c:pt>
                <c:pt idx="6">
                  <c:v>11763</c:v>
                </c:pt>
                <c:pt idx="7">
                  <c:v>10532</c:v>
                </c:pt>
                <c:pt idx="8">
                  <c:v>11293</c:v>
                </c:pt>
                <c:pt idx="9">
                  <c:v>11420</c:v>
                </c:pt>
                <c:pt idx="10">
                  <c:v>11613</c:v>
                </c:pt>
                <c:pt idx="11">
                  <c:v>13547</c:v>
                </c:pt>
                <c:pt idx="12">
                  <c:v>18639</c:v>
                </c:pt>
                <c:pt idx="13">
                  <c:v>16054</c:v>
                </c:pt>
                <c:pt idx="14">
                  <c:v>23045</c:v>
                </c:pt>
                <c:pt idx="15">
                  <c:v>21585</c:v>
                </c:pt>
                <c:pt idx="16">
                  <c:v>20927</c:v>
                </c:pt>
                <c:pt idx="17">
                  <c:v>23119</c:v>
                </c:pt>
                <c:pt idx="18">
                  <c:v>20337</c:v>
                </c:pt>
                <c:pt idx="19">
                  <c:v>17646</c:v>
                </c:pt>
                <c:pt idx="20">
                  <c:v>17169</c:v>
                </c:pt>
                <c:pt idx="21">
                  <c:v>17527</c:v>
                </c:pt>
                <c:pt idx="22">
                  <c:v>17939</c:v>
                </c:pt>
                <c:pt idx="23">
                  <c:v>22061</c:v>
                </c:pt>
                <c:pt idx="24">
                  <c:v>23242</c:v>
                </c:pt>
                <c:pt idx="25">
                  <c:v>25971</c:v>
                </c:pt>
                <c:pt idx="26">
                  <c:v>41508</c:v>
                </c:pt>
                <c:pt idx="27">
                  <c:v>49873</c:v>
                </c:pt>
                <c:pt idx="28">
                  <c:v>44733</c:v>
                </c:pt>
                <c:pt idx="29">
                  <c:v>41194</c:v>
                </c:pt>
                <c:pt idx="30">
                  <c:v>30865</c:v>
                </c:pt>
                <c:pt idx="31">
                  <c:v>15169</c:v>
                </c:pt>
                <c:pt idx="32">
                  <c:v>12928</c:v>
                </c:pt>
                <c:pt idx="33">
                  <c:v>11279</c:v>
                </c:pt>
                <c:pt idx="34">
                  <c:v>9037</c:v>
                </c:pt>
                <c:pt idx="35">
                  <c:v>13338</c:v>
                </c:pt>
                <c:pt idx="36">
                  <c:v>12980</c:v>
                </c:pt>
                <c:pt idx="37">
                  <c:v>20693</c:v>
                </c:pt>
                <c:pt idx="38">
                  <c:v>60330</c:v>
                </c:pt>
                <c:pt idx="39">
                  <c:v>126468</c:v>
                </c:pt>
                <c:pt idx="40">
                  <c:v>91317</c:v>
                </c:pt>
                <c:pt idx="41">
                  <c:v>25662</c:v>
                </c:pt>
                <c:pt idx="42">
                  <c:v>7053</c:v>
                </c:pt>
                <c:pt idx="43">
                  <c:v>781</c:v>
                </c:pt>
                <c:pt idx="44">
                  <c:v>173</c:v>
                </c:pt>
                <c:pt idx="45">
                  <c:v>258</c:v>
                </c:pt>
                <c:pt idx="46">
                  <c:v>1059</c:v>
                </c:pt>
                <c:pt idx="47">
                  <c:v>77</c:v>
                </c:pt>
                <c:pt idx="48">
                  <c:v>336</c:v>
                </c:pt>
                <c:pt idx="49">
                  <c:v>360</c:v>
                </c:pt>
                <c:pt idx="50">
                  <c:v>77</c:v>
                </c:pt>
                <c:pt idx="51">
                  <c:v>679</c:v>
                </c:pt>
                <c:pt idx="52">
                  <c:v>113</c:v>
                </c:pt>
                <c:pt idx="53">
                  <c:v>25</c:v>
                </c:pt>
                <c:pt idx="54">
                  <c:v>4</c:v>
                </c:pt>
                <c:pt idx="55">
                  <c:v>1</c:v>
                </c:pt>
                <c:pt idx="56">
                  <c:v>1120</c:v>
                </c:pt>
                <c:pt idx="57">
                  <c:v>326</c:v>
                </c:pt>
                <c:pt idx="58">
                  <c:v>3</c:v>
                </c:pt>
                <c:pt idx="59">
                  <c:v>24</c:v>
                </c:pt>
                <c:pt idx="60">
                  <c:v>3</c:v>
                </c:pt>
                <c:pt idx="62">
                  <c:v>150</c:v>
                </c:pt>
                <c:pt idx="63">
                  <c:v>2646</c:v>
                </c:pt>
                <c:pt idx="64">
                  <c:v>10</c:v>
                </c:pt>
                <c:pt idx="71">
                  <c:v>16</c:v>
                </c:pt>
                <c:pt idx="77">
                  <c:v>28</c:v>
                </c:pt>
                <c:pt idx="83">
                  <c:v>1190</c:v>
                </c:pt>
                <c:pt idx="84">
                  <c:v>7</c:v>
                </c:pt>
                <c:pt idx="87">
                  <c:v>8</c:v>
                </c:pt>
                <c:pt idx="88">
                  <c:v>7</c:v>
                </c:pt>
                <c:pt idx="89">
                  <c:v>88</c:v>
                </c:pt>
                <c:pt idx="90">
                  <c:v>19</c:v>
                </c:pt>
                <c:pt idx="92">
                  <c:v>1</c:v>
                </c:pt>
                <c:pt idx="93">
                  <c:v>90</c:v>
                </c:pt>
                <c:pt idx="95">
                  <c:v>969</c:v>
                </c:pt>
                <c:pt idx="96">
                  <c:v>1125</c:v>
                </c:pt>
                <c:pt idx="99">
                  <c:v>16</c:v>
                </c:pt>
                <c:pt idx="105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9</c:v>
                </c:pt>
                <c:pt idx="111">
                  <c:v>3319</c:v>
                </c:pt>
                <c:pt idx="119">
                  <c:v>116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NON-HARP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Sheet2!$D$2:$D$1600</c:f>
              <c:numCache>
                <c:formatCode>General</c:formatCode>
                <c:ptCount val="1599"/>
                <c:pt idx="40">
                  <c:v>4758</c:v>
                </c:pt>
                <c:pt idx="41">
                  <c:v>51705</c:v>
                </c:pt>
                <c:pt idx="42">
                  <c:v>106391</c:v>
                </c:pt>
                <c:pt idx="43">
                  <c:v>60337</c:v>
                </c:pt>
                <c:pt idx="44">
                  <c:v>55906</c:v>
                </c:pt>
                <c:pt idx="45">
                  <c:v>31910</c:v>
                </c:pt>
                <c:pt idx="46">
                  <c:v>23119</c:v>
                </c:pt>
                <c:pt idx="47">
                  <c:v>22548</c:v>
                </c:pt>
                <c:pt idx="48">
                  <c:v>30548</c:v>
                </c:pt>
                <c:pt idx="49">
                  <c:v>24350</c:v>
                </c:pt>
                <c:pt idx="50">
                  <c:v>28003</c:v>
                </c:pt>
                <c:pt idx="51">
                  <c:v>25937</c:v>
                </c:pt>
                <c:pt idx="52">
                  <c:v>14416</c:v>
                </c:pt>
                <c:pt idx="53">
                  <c:v>15988</c:v>
                </c:pt>
                <c:pt idx="54">
                  <c:v>14269</c:v>
                </c:pt>
                <c:pt idx="55">
                  <c:v>13900</c:v>
                </c:pt>
                <c:pt idx="56">
                  <c:v>16488</c:v>
                </c:pt>
                <c:pt idx="57">
                  <c:v>24337</c:v>
                </c:pt>
                <c:pt idx="58">
                  <c:v>29103</c:v>
                </c:pt>
                <c:pt idx="59">
                  <c:v>28907</c:v>
                </c:pt>
                <c:pt idx="60">
                  <c:v>29330</c:v>
                </c:pt>
                <c:pt idx="61">
                  <c:v>36053</c:v>
                </c:pt>
                <c:pt idx="62">
                  <c:v>24920</c:v>
                </c:pt>
                <c:pt idx="63">
                  <c:v>11405</c:v>
                </c:pt>
                <c:pt idx="64">
                  <c:v>9549</c:v>
                </c:pt>
                <c:pt idx="65">
                  <c:v>7249</c:v>
                </c:pt>
                <c:pt idx="66">
                  <c:v>7079</c:v>
                </c:pt>
                <c:pt idx="67">
                  <c:v>5161</c:v>
                </c:pt>
                <c:pt idx="68">
                  <c:v>8995</c:v>
                </c:pt>
                <c:pt idx="69">
                  <c:v>9559</c:v>
                </c:pt>
                <c:pt idx="70">
                  <c:v>15321</c:v>
                </c:pt>
                <c:pt idx="71">
                  <c:v>16181</c:v>
                </c:pt>
                <c:pt idx="72">
                  <c:v>13058</c:v>
                </c:pt>
                <c:pt idx="73">
                  <c:v>21613</c:v>
                </c:pt>
                <c:pt idx="74">
                  <c:v>35057</c:v>
                </c:pt>
                <c:pt idx="75">
                  <c:v>28239</c:v>
                </c:pt>
                <c:pt idx="76">
                  <c:v>30739</c:v>
                </c:pt>
                <c:pt idx="77">
                  <c:v>17578</c:v>
                </c:pt>
                <c:pt idx="78">
                  <c:v>25831</c:v>
                </c:pt>
                <c:pt idx="79">
                  <c:v>18827</c:v>
                </c:pt>
                <c:pt idx="80">
                  <c:v>26774</c:v>
                </c:pt>
                <c:pt idx="81">
                  <c:v>25041</c:v>
                </c:pt>
                <c:pt idx="82">
                  <c:v>38833</c:v>
                </c:pt>
                <c:pt idx="83">
                  <c:v>49783</c:v>
                </c:pt>
                <c:pt idx="84">
                  <c:v>23978</c:v>
                </c:pt>
                <c:pt idx="85">
                  <c:v>39760</c:v>
                </c:pt>
                <c:pt idx="86">
                  <c:v>38300</c:v>
                </c:pt>
                <c:pt idx="87">
                  <c:v>48117</c:v>
                </c:pt>
                <c:pt idx="88">
                  <c:v>40468</c:v>
                </c:pt>
                <c:pt idx="89">
                  <c:v>26944</c:v>
                </c:pt>
                <c:pt idx="90">
                  <c:v>33375</c:v>
                </c:pt>
                <c:pt idx="91">
                  <c:v>26413</c:v>
                </c:pt>
                <c:pt idx="92">
                  <c:v>23108</c:v>
                </c:pt>
                <c:pt idx="93">
                  <c:v>12617</c:v>
                </c:pt>
                <c:pt idx="94">
                  <c:v>8614</c:v>
                </c:pt>
                <c:pt idx="95">
                  <c:v>7821</c:v>
                </c:pt>
                <c:pt idx="96">
                  <c:v>9232</c:v>
                </c:pt>
                <c:pt idx="97">
                  <c:v>8940</c:v>
                </c:pt>
                <c:pt idx="98">
                  <c:v>7816</c:v>
                </c:pt>
                <c:pt idx="99">
                  <c:v>2610</c:v>
                </c:pt>
                <c:pt idx="100">
                  <c:v>488</c:v>
                </c:pt>
                <c:pt idx="101">
                  <c:v>144</c:v>
                </c:pt>
                <c:pt idx="102">
                  <c:v>15</c:v>
                </c:pt>
                <c:pt idx="103">
                  <c:v>20</c:v>
                </c:pt>
                <c:pt idx="104">
                  <c:v>4942</c:v>
                </c:pt>
                <c:pt idx="105">
                  <c:v>1198</c:v>
                </c:pt>
                <c:pt idx="106">
                  <c:v>302</c:v>
                </c:pt>
                <c:pt idx="107">
                  <c:v>67</c:v>
                </c:pt>
                <c:pt idx="108">
                  <c:v>18</c:v>
                </c:pt>
                <c:pt idx="109">
                  <c:v>67</c:v>
                </c:pt>
                <c:pt idx="110">
                  <c:v>7528</c:v>
                </c:pt>
                <c:pt idx="111">
                  <c:v>34</c:v>
                </c:pt>
                <c:pt idx="112">
                  <c:v>1</c:v>
                </c:pt>
                <c:pt idx="113">
                  <c:v>211</c:v>
                </c:pt>
                <c:pt idx="114">
                  <c:v>2804</c:v>
                </c:pt>
                <c:pt idx="115">
                  <c:v>1279</c:v>
                </c:pt>
                <c:pt idx="117">
                  <c:v>11</c:v>
                </c:pt>
                <c:pt idx="118">
                  <c:v>531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HARP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Sheet2!$E$2:$E$1600</c:f>
              <c:numCache>
                <c:formatCode>General</c:formatCode>
                <c:ptCount val="1599"/>
                <c:pt idx="40">
                  <c:v>286</c:v>
                </c:pt>
                <c:pt idx="41">
                  <c:v>5842</c:v>
                </c:pt>
                <c:pt idx="42">
                  <c:v>16517</c:v>
                </c:pt>
                <c:pt idx="43">
                  <c:v>22075</c:v>
                </c:pt>
                <c:pt idx="44">
                  <c:v>25210</c:v>
                </c:pt>
                <c:pt idx="45">
                  <c:v>15667</c:v>
                </c:pt>
                <c:pt idx="46">
                  <c:v>12098</c:v>
                </c:pt>
                <c:pt idx="47">
                  <c:v>16580</c:v>
                </c:pt>
                <c:pt idx="48">
                  <c:v>25493</c:v>
                </c:pt>
                <c:pt idx="49">
                  <c:v>24649</c:v>
                </c:pt>
                <c:pt idx="50">
                  <c:v>26299</c:v>
                </c:pt>
                <c:pt idx="51">
                  <c:v>21183</c:v>
                </c:pt>
                <c:pt idx="52">
                  <c:v>19513</c:v>
                </c:pt>
                <c:pt idx="53">
                  <c:v>17575</c:v>
                </c:pt>
                <c:pt idx="54">
                  <c:v>19523</c:v>
                </c:pt>
                <c:pt idx="55">
                  <c:v>19158</c:v>
                </c:pt>
                <c:pt idx="56">
                  <c:v>20121</c:v>
                </c:pt>
                <c:pt idx="57">
                  <c:v>38354</c:v>
                </c:pt>
                <c:pt idx="58">
                  <c:v>36203</c:v>
                </c:pt>
                <c:pt idx="59">
                  <c:v>39308</c:v>
                </c:pt>
                <c:pt idx="60">
                  <c:v>45723</c:v>
                </c:pt>
                <c:pt idx="61">
                  <c:v>31180</c:v>
                </c:pt>
                <c:pt idx="62">
                  <c:v>36604</c:v>
                </c:pt>
                <c:pt idx="63">
                  <c:v>19980</c:v>
                </c:pt>
                <c:pt idx="64">
                  <c:v>18800</c:v>
                </c:pt>
                <c:pt idx="65">
                  <c:v>12820</c:v>
                </c:pt>
                <c:pt idx="66">
                  <c:v>12588</c:v>
                </c:pt>
                <c:pt idx="67">
                  <c:v>11579</c:v>
                </c:pt>
                <c:pt idx="68">
                  <c:v>13279</c:v>
                </c:pt>
                <c:pt idx="69">
                  <c:v>15550</c:v>
                </c:pt>
                <c:pt idx="70">
                  <c:v>16474</c:v>
                </c:pt>
                <c:pt idx="71">
                  <c:v>15358</c:v>
                </c:pt>
                <c:pt idx="72">
                  <c:v>17850</c:v>
                </c:pt>
                <c:pt idx="73">
                  <c:v>21469</c:v>
                </c:pt>
                <c:pt idx="74">
                  <c:v>19436</c:v>
                </c:pt>
                <c:pt idx="75">
                  <c:v>29010</c:v>
                </c:pt>
                <c:pt idx="76">
                  <c:v>18814</c:v>
                </c:pt>
                <c:pt idx="77">
                  <c:v>22353</c:v>
                </c:pt>
                <c:pt idx="78">
                  <c:v>23679</c:v>
                </c:pt>
                <c:pt idx="79">
                  <c:v>21930</c:v>
                </c:pt>
                <c:pt idx="80">
                  <c:v>25715</c:v>
                </c:pt>
                <c:pt idx="81">
                  <c:v>20098</c:v>
                </c:pt>
                <c:pt idx="82">
                  <c:v>23340</c:v>
                </c:pt>
                <c:pt idx="83">
                  <c:v>40576</c:v>
                </c:pt>
                <c:pt idx="84">
                  <c:v>16073</c:v>
                </c:pt>
                <c:pt idx="85">
                  <c:v>31891</c:v>
                </c:pt>
                <c:pt idx="86">
                  <c:v>28858</c:v>
                </c:pt>
                <c:pt idx="87">
                  <c:v>30621</c:v>
                </c:pt>
                <c:pt idx="88">
                  <c:v>33414</c:v>
                </c:pt>
                <c:pt idx="89">
                  <c:v>28554</c:v>
                </c:pt>
                <c:pt idx="90">
                  <c:v>30201</c:v>
                </c:pt>
                <c:pt idx="91">
                  <c:v>22463</c:v>
                </c:pt>
                <c:pt idx="92">
                  <c:v>18785</c:v>
                </c:pt>
                <c:pt idx="93">
                  <c:v>16394</c:v>
                </c:pt>
                <c:pt idx="94">
                  <c:v>13595</c:v>
                </c:pt>
                <c:pt idx="95">
                  <c:v>12144</c:v>
                </c:pt>
                <c:pt idx="96">
                  <c:v>8436</c:v>
                </c:pt>
                <c:pt idx="97">
                  <c:v>10673</c:v>
                </c:pt>
                <c:pt idx="98">
                  <c:v>9613</c:v>
                </c:pt>
                <c:pt idx="99">
                  <c:v>2000</c:v>
                </c:pt>
                <c:pt idx="100">
                  <c:v>203</c:v>
                </c:pt>
                <c:pt idx="101">
                  <c:v>50</c:v>
                </c:pt>
                <c:pt idx="102">
                  <c:v>13</c:v>
                </c:pt>
                <c:pt idx="103">
                  <c:v>10</c:v>
                </c:pt>
                <c:pt idx="104">
                  <c:v>25</c:v>
                </c:pt>
                <c:pt idx="105">
                  <c:v>11</c:v>
                </c:pt>
                <c:pt idx="106">
                  <c:v>33</c:v>
                </c:pt>
                <c:pt idx="107">
                  <c:v>15</c:v>
                </c:pt>
                <c:pt idx="108">
                  <c:v>1</c:v>
                </c:pt>
                <c:pt idx="109">
                  <c:v>17</c:v>
                </c:pt>
                <c:pt idx="110">
                  <c:v>26</c:v>
                </c:pt>
                <c:pt idx="112">
                  <c:v>1</c:v>
                </c:pt>
                <c:pt idx="114">
                  <c:v>2</c:v>
                </c:pt>
                <c:pt idx="119">
                  <c:v>63</c:v>
                </c:pt>
                <c:pt idx="120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Unknown</c:v>
                </c:pt>
              </c:strCache>
            </c:strRef>
          </c:tx>
          <c:cat>
            <c:numRef>
              <c:f>Sheet2!$A$2:$A$1600</c:f>
              <c:numCache>
                <c:formatCode>m/d/yyyy</c:formatCode>
                <c:ptCount val="1599"/>
                <c:pt idx="0">
                  <c:v>38687</c:v>
                </c:pt>
                <c:pt idx="1">
                  <c:v>38718</c:v>
                </c:pt>
                <c:pt idx="2">
                  <c:v>38749</c:v>
                </c:pt>
                <c:pt idx="3">
                  <c:v>38777</c:v>
                </c:pt>
                <c:pt idx="4">
                  <c:v>38808</c:v>
                </c:pt>
                <c:pt idx="5">
                  <c:v>38838</c:v>
                </c:pt>
                <c:pt idx="6">
                  <c:v>38869</c:v>
                </c:pt>
                <c:pt idx="7">
                  <c:v>38899</c:v>
                </c:pt>
                <c:pt idx="8">
                  <c:v>38930</c:v>
                </c:pt>
                <c:pt idx="9">
                  <c:v>38961</c:v>
                </c:pt>
                <c:pt idx="10">
                  <c:v>38991</c:v>
                </c:pt>
                <c:pt idx="11">
                  <c:v>39022</c:v>
                </c:pt>
                <c:pt idx="12">
                  <c:v>39052</c:v>
                </c:pt>
                <c:pt idx="13">
                  <c:v>39083</c:v>
                </c:pt>
                <c:pt idx="14">
                  <c:v>39114</c:v>
                </c:pt>
                <c:pt idx="15">
                  <c:v>39142</c:v>
                </c:pt>
                <c:pt idx="16">
                  <c:v>39173</c:v>
                </c:pt>
                <c:pt idx="17">
                  <c:v>39203</c:v>
                </c:pt>
                <c:pt idx="18">
                  <c:v>39234</c:v>
                </c:pt>
                <c:pt idx="19">
                  <c:v>39264</c:v>
                </c:pt>
                <c:pt idx="20">
                  <c:v>39295</c:v>
                </c:pt>
                <c:pt idx="21">
                  <c:v>39326</c:v>
                </c:pt>
                <c:pt idx="22">
                  <c:v>39356</c:v>
                </c:pt>
                <c:pt idx="23">
                  <c:v>39387</c:v>
                </c:pt>
                <c:pt idx="24">
                  <c:v>39417</c:v>
                </c:pt>
                <c:pt idx="25">
                  <c:v>39448</c:v>
                </c:pt>
                <c:pt idx="26">
                  <c:v>39479</c:v>
                </c:pt>
                <c:pt idx="27">
                  <c:v>39508</c:v>
                </c:pt>
                <c:pt idx="28">
                  <c:v>39539</c:v>
                </c:pt>
                <c:pt idx="29">
                  <c:v>39569</c:v>
                </c:pt>
                <c:pt idx="30">
                  <c:v>39600</c:v>
                </c:pt>
                <c:pt idx="31">
                  <c:v>39630</c:v>
                </c:pt>
                <c:pt idx="32">
                  <c:v>39661</c:v>
                </c:pt>
                <c:pt idx="33">
                  <c:v>39692</c:v>
                </c:pt>
                <c:pt idx="34">
                  <c:v>39722</c:v>
                </c:pt>
                <c:pt idx="35">
                  <c:v>39753</c:v>
                </c:pt>
                <c:pt idx="36">
                  <c:v>39783</c:v>
                </c:pt>
                <c:pt idx="37">
                  <c:v>39814</c:v>
                </c:pt>
                <c:pt idx="38">
                  <c:v>39845</c:v>
                </c:pt>
                <c:pt idx="39">
                  <c:v>39873</c:v>
                </c:pt>
                <c:pt idx="40">
                  <c:v>39904</c:v>
                </c:pt>
                <c:pt idx="41">
                  <c:v>39934</c:v>
                </c:pt>
                <c:pt idx="42">
                  <c:v>39965</c:v>
                </c:pt>
                <c:pt idx="43">
                  <c:v>39995</c:v>
                </c:pt>
                <c:pt idx="44">
                  <c:v>40026</c:v>
                </c:pt>
                <c:pt idx="45">
                  <c:v>40057</c:v>
                </c:pt>
                <c:pt idx="46">
                  <c:v>40087</c:v>
                </c:pt>
                <c:pt idx="47">
                  <c:v>40118</c:v>
                </c:pt>
                <c:pt idx="48">
                  <c:v>40148</c:v>
                </c:pt>
                <c:pt idx="49">
                  <c:v>40179</c:v>
                </c:pt>
                <c:pt idx="50">
                  <c:v>40210</c:v>
                </c:pt>
                <c:pt idx="51">
                  <c:v>40238</c:v>
                </c:pt>
                <c:pt idx="52">
                  <c:v>40269</c:v>
                </c:pt>
                <c:pt idx="53">
                  <c:v>40299</c:v>
                </c:pt>
                <c:pt idx="54">
                  <c:v>40330</c:v>
                </c:pt>
                <c:pt idx="55">
                  <c:v>40360</c:v>
                </c:pt>
                <c:pt idx="56">
                  <c:v>40391</c:v>
                </c:pt>
                <c:pt idx="57">
                  <c:v>40422</c:v>
                </c:pt>
                <c:pt idx="58">
                  <c:v>40452</c:v>
                </c:pt>
                <c:pt idx="59">
                  <c:v>40483</c:v>
                </c:pt>
                <c:pt idx="60">
                  <c:v>40513</c:v>
                </c:pt>
                <c:pt idx="61">
                  <c:v>40544</c:v>
                </c:pt>
                <c:pt idx="62">
                  <c:v>40575</c:v>
                </c:pt>
                <c:pt idx="63">
                  <c:v>40603</c:v>
                </c:pt>
                <c:pt idx="64">
                  <c:v>40634</c:v>
                </c:pt>
                <c:pt idx="65">
                  <c:v>40664</c:v>
                </c:pt>
                <c:pt idx="66">
                  <c:v>40695</c:v>
                </c:pt>
                <c:pt idx="67">
                  <c:v>40725</c:v>
                </c:pt>
                <c:pt idx="68">
                  <c:v>40756</c:v>
                </c:pt>
                <c:pt idx="69">
                  <c:v>40787</c:v>
                </c:pt>
                <c:pt idx="70">
                  <c:v>40817</c:v>
                </c:pt>
                <c:pt idx="71">
                  <c:v>40848</c:v>
                </c:pt>
                <c:pt idx="72">
                  <c:v>40878</c:v>
                </c:pt>
                <c:pt idx="73">
                  <c:v>40909</c:v>
                </c:pt>
                <c:pt idx="74">
                  <c:v>40940</c:v>
                </c:pt>
                <c:pt idx="75">
                  <c:v>40969</c:v>
                </c:pt>
                <c:pt idx="76">
                  <c:v>41000</c:v>
                </c:pt>
                <c:pt idx="77">
                  <c:v>41030</c:v>
                </c:pt>
                <c:pt idx="78">
                  <c:v>41061</c:v>
                </c:pt>
                <c:pt idx="79">
                  <c:v>41091</c:v>
                </c:pt>
                <c:pt idx="80">
                  <c:v>41122</c:v>
                </c:pt>
                <c:pt idx="81">
                  <c:v>41153</c:v>
                </c:pt>
                <c:pt idx="82">
                  <c:v>41183</c:v>
                </c:pt>
                <c:pt idx="83">
                  <c:v>41214</c:v>
                </c:pt>
                <c:pt idx="84">
                  <c:v>41244</c:v>
                </c:pt>
                <c:pt idx="85">
                  <c:v>41275</c:v>
                </c:pt>
                <c:pt idx="86">
                  <c:v>41306</c:v>
                </c:pt>
                <c:pt idx="87">
                  <c:v>41334</c:v>
                </c:pt>
                <c:pt idx="88">
                  <c:v>41365</c:v>
                </c:pt>
                <c:pt idx="89">
                  <c:v>41395</c:v>
                </c:pt>
                <c:pt idx="90">
                  <c:v>41426</c:v>
                </c:pt>
                <c:pt idx="91">
                  <c:v>41456</c:v>
                </c:pt>
                <c:pt idx="92">
                  <c:v>41487</c:v>
                </c:pt>
                <c:pt idx="93">
                  <c:v>41518</c:v>
                </c:pt>
                <c:pt idx="94">
                  <c:v>41548</c:v>
                </c:pt>
                <c:pt idx="95">
                  <c:v>41579</c:v>
                </c:pt>
                <c:pt idx="96">
                  <c:v>41609</c:v>
                </c:pt>
                <c:pt idx="97">
                  <c:v>41640</c:v>
                </c:pt>
                <c:pt idx="98">
                  <c:v>41671</c:v>
                </c:pt>
                <c:pt idx="99">
                  <c:v>41699</c:v>
                </c:pt>
                <c:pt idx="100">
                  <c:v>41730</c:v>
                </c:pt>
                <c:pt idx="101">
                  <c:v>41760</c:v>
                </c:pt>
                <c:pt idx="102">
                  <c:v>41791</c:v>
                </c:pt>
                <c:pt idx="103">
                  <c:v>41821</c:v>
                </c:pt>
                <c:pt idx="104">
                  <c:v>41852</c:v>
                </c:pt>
                <c:pt idx="105">
                  <c:v>41883</c:v>
                </c:pt>
                <c:pt idx="106">
                  <c:v>41913</c:v>
                </c:pt>
                <c:pt idx="107">
                  <c:v>41944</c:v>
                </c:pt>
                <c:pt idx="108">
                  <c:v>41974</c:v>
                </c:pt>
                <c:pt idx="109">
                  <c:v>42005</c:v>
                </c:pt>
                <c:pt idx="110">
                  <c:v>42036</c:v>
                </c:pt>
                <c:pt idx="111">
                  <c:v>42064</c:v>
                </c:pt>
                <c:pt idx="112">
                  <c:v>42095</c:v>
                </c:pt>
                <c:pt idx="113">
                  <c:v>42125</c:v>
                </c:pt>
                <c:pt idx="114">
                  <c:v>42156</c:v>
                </c:pt>
                <c:pt idx="115">
                  <c:v>42186</c:v>
                </c:pt>
                <c:pt idx="116">
                  <c:v>42217</c:v>
                </c:pt>
                <c:pt idx="117">
                  <c:v>42248</c:v>
                </c:pt>
                <c:pt idx="118">
                  <c:v>42278</c:v>
                </c:pt>
                <c:pt idx="119">
                  <c:v>42309</c:v>
                </c:pt>
                <c:pt idx="120">
                  <c:v>42339</c:v>
                </c:pt>
                <c:pt idx="121">
                  <c:v>42370</c:v>
                </c:pt>
              </c:numCache>
            </c:numRef>
          </c:cat>
          <c:val>
            <c:numRef>
              <c:f>Sheet2!$F$2:$F$1600</c:f>
              <c:numCache>
                <c:formatCode>General</c:formatCode>
                <c:ptCount val="1599"/>
                <c:pt idx="98">
                  <c:v>433</c:v>
                </c:pt>
                <c:pt idx="99">
                  <c:v>7802</c:v>
                </c:pt>
                <c:pt idx="100">
                  <c:v>13317</c:v>
                </c:pt>
                <c:pt idx="101">
                  <c:v>13013</c:v>
                </c:pt>
                <c:pt idx="102">
                  <c:v>14294</c:v>
                </c:pt>
                <c:pt idx="103">
                  <c:v>13253</c:v>
                </c:pt>
                <c:pt idx="104">
                  <c:v>15355</c:v>
                </c:pt>
                <c:pt idx="105">
                  <c:v>16781</c:v>
                </c:pt>
                <c:pt idx="106">
                  <c:v>18205</c:v>
                </c:pt>
                <c:pt idx="107">
                  <c:v>17771</c:v>
                </c:pt>
                <c:pt idx="108">
                  <c:v>20639</c:v>
                </c:pt>
                <c:pt idx="109">
                  <c:v>20018</c:v>
                </c:pt>
                <c:pt idx="110">
                  <c:v>26307</c:v>
                </c:pt>
                <c:pt idx="111">
                  <c:v>27603</c:v>
                </c:pt>
                <c:pt idx="112">
                  <c:v>38841</c:v>
                </c:pt>
                <c:pt idx="113">
                  <c:v>32819</c:v>
                </c:pt>
                <c:pt idx="114">
                  <c:v>29652</c:v>
                </c:pt>
                <c:pt idx="115">
                  <c:v>24711</c:v>
                </c:pt>
                <c:pt idx="116">
                  <c:v>17994</c:v>
                </c:pt>
                <c:pt idx="117">
                  <c:v>18141</c:v>
                </c:pt>
                <c:pt idx="118">
                  <c:v>17495</c:v>
                </c:pt>
                <c:pt idx="119">
                  <c:v>17242</c:v>
                </c:pt>
                <c:pt idx="120">
                  <c:v>17651</c:v>
                </c:pt>
                <c:pt idx="121">
                  <c:v>10736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424704"/>
        <c:axId val="268426240"/>
      </c:areaChart>
      <c:dateAx>
        <c:axId val="268424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8426240"/>
        <c:crosses val="autoZero"/>
        <c:auto val="1"/>
        <c:lblOffset val="100"/>
        <c:baseTimeUnit val="months"/>
      </c:dateAx>
      <c:valAx>
        <c:axId val="2684262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68424704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N/A   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Sheet2!$AM$2:$AM$136</c:f>
              <c:numCache>
                <c:formatCode>General</c:formatCode>
                <c:ptCount val="135"/>
                <c:pt idx="0">
                  <c:v>18274</c:v>
                </c:pt>
                <c:pt idx="1">
                  <c:v>17818</c:v>
                </c:pt>
                <c:pt idx="2">
                  <c:v>14430</c:v>
                </c:pt>
                <c:pt idx="3">
                  <c:v>16447</c:v>
                </c:pt>
                <c:pt idx="4">
                  <c:v>21208</c:v>
                </c:pt>
                <c:pt idx="5">
                  <c:v>20814</c:v>
                </c:pt>
                <c:pt idx="6">
                  <c:v>25422</c:v>
                </c:pt>
                <c:pt idx="7">
                  <c:v>32384</c:v>
                </c:pt>
                <c:pt idx="8">
                  <c:v>29845</c:v>
                </c:pt>
                <c:pt idx="9">
                  <c:v>29919</c:v>
                </c:pt>
                <c:pt idx="10">
                  <c:v>25968</c:v>
                </c:pt>
                <c:pt idx="11">
                  <c:v>23032</c:v>
                </c:pt>
                <c:pt idx="12">
                  <c:v>19087</c:v>
                </c:pt>
                <c:pt idx="13">
                  <c:v>17037</c:v>
                </c:pt>
                <c:pt idx="14">
                  <c:v>13255</c:v>
                </c:pt>
                <c:pt idx="15">
                  <c:v>15658</c:v>
                </c:pt>
                <c:pt idx="16">
                  <c:v>20502</c:v>
                </c:pt>
                <c:pt idx="17">
                  <c:v>19385</c:v>
                </c:pt>
                <c:pt idx="18">
                  <c:v>21324</c:v>
                </c:pt>
                <c:pt idx="19">
                  <c:v>21062</c:v>
                </c:pt>
                <c:pt idx="20">
                  <c:v>18244</c:v>
                </c:pt>
                <c:pt idx="21">
                  <c:v>21523</c:v>
                </c:pt>
                <c:pt idx="22">
                  <c:v>20834</c:v>
                </c:pt>
                <c:pt idx="23">
                  <c:v>21144</c:v>
                </c:pt>
                <c:pt idx="24">
                  <c:v>20779</c:v>
                </c:pt>
                <c:pt idx="25">
                  <c:v>21525</c:v>
                </c:pt>
                <c:pt idx="26">
                  <c:v>18020</c:v>
                </c:pt>
                <c:pt idx="27">
                  <c:v>18869</c:v>
                </c:pt>
                <c:pt idx="28">
                  <c:v>25321</c:v>
                </c:pt>
                <c:pt idx="29">
                  <c:v>27815</c:v>
                </c:pt>
                <c:pt idx="30">
                  <c:v>32290</c:v>
                </c:pt>
                <c:pt idx="31">
                  <c:v>29663</c:v>
                </c:pt>
                <c:pt idx="32">
                  <c:v>24698</c:v>
                </c:pt>
                <c:pt idx="33">
                  <c:v>24976</c:v>
                </c:pt>
                <c:pt idx="34">
                  <c:v>22959</c:v>
                </c:pt>
                <c:pt idx="35">
                  <c:v>25043</c:v>
                </c:pt>
                <c:pt idx="36">
                  <c:v>24510</c:v>
                </c:pt>
                <c:pt idx="37">
                  <c:v>23884</c:v>
                </c:pt>
                <c:pt idx="38">
                  <c:v>20975</c:v>
                </c:pt>
                <c:pt idx="39">
                  <c:v>22787</c:v>
                </c:pt>
                <c:pt idx="40">
                  <c:v>21383</c:v>
                </c:pt>
                <c:pt idx="41">
                  <c:v>22525</c:v>
                </c:pt>
                <c:pt idx="42">
                  <c:v>23075</c:v>
                </c:pt>
                <c:pt idx="43">
                  <c:v>19612</c:v>
                </c:pt>
                <c:pt idx="44">
                  <c:v>15980</c:v>
                </c:pt>
                <c:pt idx="45">
                  <c:v>14635</c:v>
                </c:pt>
                <c:pt idx="46">
                  <c:v>14115</c:v>
                </c:pt>
                <c:pt idx="47">
                  <c:v>15394</c:v>
                </c:pt>
                <c:pt idx="48">
                  <c:v>11771</c:v>
                </c:pt>
                <c:pt idx="49">
                  <c:v>15596</c:v>
                </c:pt>
                <c:pt idx="50">
                  <c:v>17183</c:v>
                </c:pt>
                <c:pt idx="51">
                  <c:v>19205</c:v>
                </c:pt>
                <c:pt idx="52">
                  <c:v>22244</c:v>
                </c:pt>
                <c:pt idx="53">
                  <c:v>27796</c:v>
                </c:pt>
                <c:pt idx="54">
                  <c:v>35162</c:v>
                </c:pt>
                <c:pt idx="55">
                  <c:v>33907</c:v>
                </c:pt>
                <c:pt idx="56">
                  <c:v>25673</c:v>
                </c:pt>
                <c:pt idx="57">
                  <c:v>25546</c:v>
                </c:pt>
                <c:pt idx="58">
                  <c:v>24426</c:v>
                </c:pt>
                <c:pt idx="59">
                  <c:v>26861</c:v>
                </c:pt>
                <c:pt idx="60">
                  <c:v>27023</c:v>
                </c:pt>
                <c:pt idx="61">
                  <c:v>24131</c:v>
                </c:pt>
                <c:pt idx="62">
                  <c:v>15542</c:v>
                </c:pt>
                <c:pt idx="63">
                  <c:v>15025</c:v>
                </c:pt>
                <c:pt idx="64">
                  <c:v>24751</c:v>
                </c:pt>
                <c:pt idx="65">
                  <c:v>26297</c:v>
                </c:pt>
                <c:pt idx="66">
                  <c:v>29344</c:v>
                </c:pt>
                <c:pt idx="67">
                  <c:v>36104</c:v>
                </c:pt>
                <c:pt idx="68">
                  <c:v>28611</c:v>
                </c:pt>
                <c:pt idx="69">
                  <c:v>34726</c:v>
                </c:pt>
                <c:pt idx="70">
                  <c:v>34796</c:v>
                </c:pt>
                <c:pt idx="71">
                  <c:v>32088</c:v>
                </c:pt>
                <c:pt idx="72">
                  <c:v>31798</c:v>
                </c:pt>
                <c:pt idx="73">
                  <c:v>32165</c:v>
                </c:pt>
                <c:pt idx="74">
                  <c:v>20587</c:v>
                </c:pt>
                <c:pt idx="75">
                  <c:v>22676</c:v>
                </c:pt>
                <c:pt idx="76">
                  <c:v>27054</c:v>
                </c:pt>
                <c:pt idx="77">
                  <c:v>26124</c:v>
                </c:pt>
                <c:pt idx="78">
                  <c:v>30974</c:v>
                </c:pt>
                <c:pt idx="79">
                  <c:v>35877</c:v>
                </c:pt>
                <c:pt idx="80">
                  <c:v>34579</c:v>
                </c:pt>
                <c:pt idx="81">
                  <c:v>40512</c:v>
                </c:pt>
                <c:pt idx="82">
                  <c:v>39519</c:v>
                </c:pt>
                <c:pt idx="83">
                  <c:v>45073</c:v>
                </c:pt>
                <c:pt idx="84">
                  <c:v>43789</c:v>
                </c:pt>
                <c:pt idx="85">
                  <c:v>45234</c:v>
                </c:pt>
                <c:pt idx="86">
                  <c:v>37294</c:v>
                </c:pt>
                <c:pt idx="87">
                  <c:v>43130</c:v>
                </c:pt>
                <c:pt idx="88">
                  <c:v>56078</c:v>
                </c:pt>
                <c:pt idx="89">
                  <c:v>54558</c:v>
                </c:pt>
                <c:pt idx="90">
                  <c:v>63132</c:v>
                </c:pt>
                <c:pt idx="91">
                  <c:v>71358</c:v>
                </c:pt>
                <c:pt idx="92">
                  <c:v>64773</c:v>
                </c:pt>
                <c:pt idx="93">
                  <c:v>66759</c:v>
                </c:pt>
                <c:pt idx="94">
                  <c:v>54797</c:v>
                </c:pt>
                <c:pt idx="95">
                  <c:v>58892</c:v>
                </c:pt>
                <c:pt idx="96">
                  <c:v>58734</c:v>
                </c:pt>
                <c:pt idx="97">
                  <c:v>56759</c:v>
                </c:pt>
                <c:pt idx="98">
                  <c:v>42223</c:v>
                </c:pt>
                <c:pt idx="99">
                  <c:v>39632</c:v>
                </c:pt>
                <c:pt idx="100">
                  <c:v>60513</c:v>
                </c:pt>
                <c:pt idx="101">
                  <c:v>70508</c:v>
                </c:pt>
                <c:pt idx="102">
                  <c:v>80327</c:v>
                </c:pt>
                <c:pt idx="103">
                  <c:v>86838</c:v>
                </c:pt>
                <c:pt idx="104">
                  <c:v>91301</c:v>
                </c:pt>
                <c:pt idx="105">
                  <c:v>91705</c:v>
                </c:pt>
                <c:pt idx="106">
                  <c:v>77750</c:v>
                </c:pt>
                <c:pt idx="107">
                  <c:v>71683</c:v>
                </c:pt>
                <c:pt idx="108">
                  <c:v>55718</c:v>
                </c:pt>
                <c:pt idx="109">
                  <c:v>56034</c:v>
                </c:pt>
                <c:pt idx="110">
                  <c:v>39691</c:v>
                </c:pt>
                <c:pt idx="111">
                  <c:v>40882</c:v>
                </c:pt>
                <c:pt idx="112">
                  <c:v>52579</c:v>
                </c:pt>
                <c:pt idx="113">
                  <c:v>60064</c:v>
                </c:pt>
                <c:pt idx="114">
                  <c:v>71732</c:v>
                </c:pt>
                <c:pt idx="115">
                  <c:v>78272</c:v>
                </c:pt>
                <c:pt idx="116">
                  <c:v>76943</c:v>
                </c:pt>
                <c:pt idx="117">
                  <c:v>72571</c:v>
                </c:pt>
                <c:pt idx="118">
                  <c:v>67442</c:v>
                </c:pt>
                <c:pt idx="119">
                  <c:v>70617</c:v>
                </c:pt>
                <c:pt idx="120">
                  <c:v>57379</c:v>
                </c:pt>
                <c:pt idx="121">
                  <c:v>65620</c:v>
                </c:pt>
                <c:pt idx="122">
                  <c:v>45536</c:v>
                </c:pt>
                <c:pt idx="123">
                  <c:v>47059</c:v>
                </c:pt>
                <c:pt idx="124">
                  <c:v>64171</c:v>
                </c:pt>
                <c:pt idx="125">
                  <c:v>67676</c:v>
                </c:pt>
                <c:pt idx="126">
                  <c:v>78212</c:v>
                </c:pt>
                <c:pt idx="127">
                  <c:v>93543</c:v>
                </c:pt>
                <c:pt idx="128">
                  <c:v>87144</c:v>
                </c:pt>
                <c:pt idx="129">
                  <c:v>78995</c:v>
                </c:pt>
                <c:pt idx="130">
                  <c:v>74401</c:v>
                </c:pt>
                <c:pt idx="131">
                  <c:v>66295</c:v>
                </c:pt>
                <c:pt idx="132">
                  <c:v>45494</c:v>
                </c:pt>
                <c:pt idx="133">
                  <c:v>23227</c:v>
                </c:pt>
                <c:pt idx="134">
                  <c:v>67</c:v>
                </c:pt>
              </c:numCache>
            </c:numRef>
          </c:val>
        </c:ser>
        <c:ser>
          <c:idx val="1"/>
          <c:order val="1"/>
          <c:tx>
            <c:strRef>
              <c:f>Sheet2!$AN$1</c:f>
              <c:strCache>
                <c:ptCount val="1"/>
                <c:pt idx="0">
                  <c:v>&lt; 2009-06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Sheet2!$AN$2:$AN$136</c:f>
              <c:numCache>
                <c:formatCode>General</c:formatCode>
                <c:ptCount val="135"/>
                <c:pt idx="0">
                  <c:v>19296</c:v>
                </c:pt>
                <c:pt idx="1">
                  <c:v>19367</c:v>
                </c:pt>
                <c:pt idx="2">
                  <c:v>16217</c:v>
                </c:pt>
                <c:pt idx="3">
                  <c:v>18282</c:v>
                </c:pt>
                <c:pt idx="4">
                  <c:v>22945</c:v>
                </c:pt>
                <c:pt idx="5">
                  <c:v>17249</c:v>
                </c:pt>
                <c:pt idx="6">
                  <c:v>20889</c:v>
                </c:pt>
                <c:pt idx="7">
                  <c:v>27493</c:v>
                </c:pt>
                <c:pt idx="8">
                  <c:v>31231</c:v>
                </c:pt>
                <c:pt idx="9">
                  <c:v>30344</c:v>
                </c:pt>
                <c:pt idx="10">
                  <c:v>27266</c:v>
                </c:pt>
                <c:pt idx="11">
                  <c:v>26896</c:v>
                </c:pt>
                <c:pt idx="12">
                  <c:v>20216</c:v>
                </c:pt>
                <c:pt idx="13">
                  <c:v>16824</c:v>
                </c:pt>
                <c:pt idx="14">
                  <c:v>14656</c:v>
                </c:pt>
                <c:pt idx="15">
                  <c:v>16622</c:v>
                </c:pt>
                <c:pt idx="16">
                  <c:v>19203</c:v>
                </c:pt>
                <c:pt idx="17">
                  <c:v>16151</c:v>
                </c:pt>
                <c:pt idx="18">
                  <c:v>15699</c:v>
                </c:pt>
                <c:pt idx="19">
                  <c:v>13990</c:v>
                </c:pt>
                <c:pt idx="20">
                  <c:v>12747</c:v>
                </c:pt>
                <c:pt idx="21">
                  <c:v>15647</c:v>
                </c:pt>
                <c:pt idx="22">
                  <c:v>16622</c:v>
                </c:pt>
                <c:pt idx="23">
                  <c:v>20654</c:v>
                </c:pt>
                <c:pt idx="24">
                  <c:v>19393</c:v>
                </c:pt>
                <c:pt idx="25">
                  <c:v>22776</c:v>
                </c:pt>
                <c:pt idx="26">
                  <c:v>22740</c:v>
                </c:pt>
                <c:pt idx="27">
                  <c:v>20586</c:v>
                </c:pt>
                <c:pt idx="28">
                  <c:v>25028</c:v>
                </c:pt>
                <c:pt idx="29">
                  <c:v>26551</c:v>
                </c:pt>
                <c:pt idx="30">
                  <c:v>26375</c:v>
                </c:pt>
                <c:pt idx="31">
                  <c:v>21015</c:v>
                </c:pt>
                <c:pt idx="32">
                  <c:v>16987</c:v>
                </c:pt>
                <c:pt idx="33">
                  <c:v>18729</c:v>
                </c:pt>
                <c:pt idx="34">
                  <c:v>20447</c:v>
                </c:pt>
                <c:pt idx="35">
                  <c:v>25996</c:v>
                </c:pt>
                <c:pt idx="36">
                  <c:v>25319</c:v>
                </c:pt>
                <c:pt idx="37">
                  <c:v>27711</c:v>
                </c:pt>
                <c:pt idx="38">
                  <c:v>31314</c:v>
                </c:pt>
                <c:pt idx="39">
                  <c:v>42764</c:v>
                </c:pt>
                <c:pt idx="40">
                  <c:v>31567</c:v>
                </c:pt>
                <c:pt idx="41">
                  <c:v>29505</c:v>
                </c:pt>
                <c:pt idx="42">
                  <c:v>22067</c:v>
                </c:pt>
                <c:pt idx="43">
                  <c:v>15491</c:v>
                </c:pt>
                <c:pt idx="44">
                  <c:v>10494</c:v>
                </c:pt>
                <c:pt idx="45">
                  <c:v>8915</c:v>
                </c:pt>
                <c:pt idx="46">
                  <c:v>9826</c:v>
                </c:pt>
                <c:pt idx="47">
                  <c:v>12743</c:v>
                </c:pt>
                <c:pt idx="48">
                  <c:v>9484</c:v>
                </c:pt>
                <c:pt idx="49">
                  <c:v>20177</c:v>
                </c:pt>
                <c:pt idx="50">
                  <c:v>66165</c:v>
                </c:pt>
                <c:pt idx="51">
                  <c:v>81476</c:v>
                </c:pt>
                <c:pt idx="52">
                  <c:v>84588</c:v>
                </c:pt>
              </c:numCache>
            </c:numRef>
          </c:val>
        </c:ser>
        <c:ser>
          <c:idx val="2"/>
          <c:order val="2"/>
          <c:tx>
            <c:strRef>
              <c:f>Sheet2!$AO$1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Sheet2!$AO$2:$AO$136</c:f>
              <c:numCache>
                <c:formatCode>General</c:formatCode>
                <c:ptCount val="135"/>
                <c:pt idx="53">
                  <c:v>81756</c:v>
                </c:pt>
                <c:pt idx="54">
                  <c:v>98694</c:v>
                </c:pt>
                <c:pt idx="55">
                  <c:v>79985</c:v>
                </c:pt>
                <c:pt idx="56">
                  <c:v>49944</c:v>
                </c:pt>
                <c:pt idx="57">
                  <c:v>32936</c:v>
                </c:pt>
                <c:pt idx="58">
                  <c:v>25969</c:v>
                </c:pt>
                <c:pt idx="59">
                  <c:v>26137</c:v>
                </c:pt>
                <c:pt idx="60">
                  <c:v>27335</c:v>
                </c:pt>
                <c:pt idx="61">
                  <c:v>31066</c:v>
                </c:pt>
                <c:pt idx="62">
                  <c:v>24996</c:v>
                </c:pt>
                <c:pt idx="63">
                  <c:v>16955</c:v>
                </c:pt>
                <c:pt idx="64">
                  <c:v>23261</c:v>
                </c:pt>
                <c:pt idx="65">
                  <c:v>19774</c:v>
                </c:pt>
                <c:pt idx="66">
                  <c:v>16373</c:v>
                </c:pt>
                <c:pt idx="67">
                  <c:v>22123</c:v>
                </c:pt>
                <c:pt idx="68">
                  <c:v>34966</c:v>
                </c:pt>
                <c:pt idx="69">
                  <c:v>54825</c:v>
                </c:pt>
                <c:pt idx="70">
                  <c:v>65313</c:v>
                </c:pt>
                <c:pt idx="71">
                  <c:v>68437</c:v>
                </c:pt>
                <c:pt idx="72">
                  <c:v>71391</c:v>
                </c:pt>
                <c:pt idx="73">
                  <c:v>61672</c:v>
                </c:pt>
                <c:pt idx="74">
                  <c:v>39380</c:v>
                </c:pt>
                <c:pt idx="75">
                  <c:v>28893</c:v>
                </c:pt>
                <c:pt idx="76">
                  <c:v>23356</c:v>
                </c:pt>
                <c:pt idx="77">
                  <c:v>16989</c:v>
                </c:pt>
                <c:pt idx="78">
                  <c:v>15387</c:v>
                </c:pt>
                <c:pt idx="79">
                  <c:v>16908</c:v>
                </c:pt>
                <c:pt idx="80">
                  <c:v>18583</c:v>
                </c:pt>
                <c:pt idx="81">
                  <c:v>25002</c:v>
                </c:pt>
                <c:pt idx="82">
                  <c:v>40035</c:v>
                </c:pt>
                <c:pt idx="83">
                  <c:v>62449</c:v>
                </c:pt>
                <c:pt idx="84">
                  <c:v>69339</c:v>
                </c:pt>
                <c:pt idx="85">
                  <c:v>68368</c:v>
                </c:pt>
                <c:pt idx="86">
                  <c:v>74896</c:v>
                </c:pt>
                <c:pt idx="87">
                  <c:v>87727</c:v>
                </c:pt>
                <c:pt idx="88">
                  <c:v>83635</c:v>
                </c:pt>
                <c:pt idx="89">
                  <c:v>66120</c:v>
                </c:pt>
                <c:pt idx="90">
                  <c:v>58704</c:v>
                </c:pt>
                <c:pt idx="91">
                  <c:v>68002</c:v>
                </c:pt>
                <c:pt idx="92">
                  <c:v>62940</c:v>
                </c:pt>
                <c:pt idx="93">
                  <c:v>77943</c:v>
                </c:pt>
                <c:pt idx="94">
                  <c:v>67527</c:v>
                </c:pt>
                <c:pt idx="95">
                  <c:v>83263</c:v>
                </c:pt>
                <c:pt idx="96">
                  <c:v>84096</c:v>
                </c:pt>
                <c:pt idx="97">
                  <c:v>83542</c:v>
                </c:pt>
                <c:pt idx="98">
                  <c:v>80177</c:v>
                </c:pt>
                <c:pt idx="99">
                  <c:v>62542</c:v>
                </c:pt>
                <c:pt idx="100">
                  <c:v>70534</c:v>
                </c:pt>
                <c:pt idx="101">
                  <c:v>65961</c:v>
                </c:pt>
                <c:pt idx="102">
                  <c:v>61838</c:v>
                </c:pt>
                <c:pt idx="103">
                  <c:v>54706</c:v>
                </c:pt>
                <c:pt idx="104">
                  <c:v>43768</c:v>
                </c:pt>
                <c:pt idx="105">
                  <c:v>30822</c:v>
                </c:pt>
                <c:pt idx="106">
                  <c:v>21446</c:v>
                </c:pt>
                <c:pt idx="107">
                  <c:v>19444</c:v>
                </c:pt>
                <c:pt idx="108">
                  <c:v>18437</c:v>
                </c:pt>
                <c:pt idx="109">
                  <c:v>17008</c:v>
                </c:pt>
                <c:pt idx="110">
                  <c:v>13934</c:v>
                </c:pt>
                <c:pt idx="111">
                  <c:v>12746</c:v>
                </c:pt>
                <c:pt idx="112">
                  <c:v>14488</c:v>
                </c:pt>
                <c:pt idx="113">
                  <c:v>14305</c:v>
                </c:pt>
                <c:pt idx="114">
                  <c:v>15182</c:v>
                </c:pt>
                <c:pt idx="115">
                  <c:v>17576</c:v>
                </c:pt>
                <c:pt idx="116">
                  <c:v>18183</c:v>
                </c:pt>
                <c:pt idx="117">
                  <c:v>39009</c:v>
                </c:pt>
                <c:pt idx="118">
                  <c:v>41903</c:v>
                </c:pt>
                <c:pt idx="119">
                  <c:v>43011</c:v>
                </c:pt>
                <c:pt idx="120">
                  <c:v>46727</c:v>
                </c:pt>
                <c:pt idx="121">
                  <c:v>54114</c:v>
                </c:pt>
                <c:pt idx="122">
                  <c:v>50538</c:v>
                </c:pt>
                <c:pt idx="123">
                  <c:v>70674</c:v>
                </c:pt>
                <c:pt idx="124">
                  <c:v>78177</c:v>
                </c:pt>
                <c:pt idx="125">
                  <c:v>60562</c:v>
                </c:pt>
                <c:pt idx="126">
                  <c:v>56416</c:v>
                </c:pt>
                <c:pt idx="127">
                  <c:v>55180</c:v>
                </c:pt>
                <c:pt idx="128">
                  <c:v>47513</c:v>
                </c:pt>
                <c:pt idx="129">
                  <c:v>44660</c:v>
                </c:pt>
                <c:pt idx="130">
                  <c:v>46143</c:v>
                </c:pt>
                <c:pt idx="131">
                  <c:v>46372</c:v>
                </c:pt>
                <c:pt idx="132">
                  <c:v>35833</c:v>
                </c:pt>
                <c:pt idx="133">
                  <c:v>17971</c:v>
                </c:pt>
                <c:pt idx="134">
                  <c:v>204</c:v>
                </c:pt>
              </c:numCache>
            </c:numRef>
          </c:val>
        </c:ser>
        <c:ser>
          <c:idx val="3"/>
          <c:order val="3"/>
          <c:tx>
            <c:strRef>
              <c:f>Sheet2!$AP$1</c:f>
              <c:strCache>
                <c:ptCount val="1"/>
                <c:pt idx="0">
                  <c:v>HARPed    </c:v>
                </c:pt>
              </c:strCache>
            </c:strRef>
          </c:tx>
          <c:cat>
            <c:numRef>
              <c:f>Sheet2!$AL$2:$AL$136</c:f>
              <c:numCache>
                <c:formatCode>m/d/yyyy</c:formatCode>
                <c:ptCount val="135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</c:numCache>
            </c:numRef>
          </c:cat>
          <c:val>
            <c:numRef>
              <c:f>Sheet2!$AP$2:$AP$136</c:f>
              <c:numCache>
                <c:formatCode>General</c:formatCode>
                <c:ptCount val="135"/>
                <c:pt idx="53">
                  <c:v>22119</c:v>
                </c:pt>
                <c:pt idx="54">
                  <c:v>39349</c:v>
                </c:pt>
                <c:pt idx="55">
                  <c:v>41471</c:v>
                </c:pt>
                <c:pt idx="56">
                  <c:v>30038</c:v>
                </c:pt>
                <c:pt idx="57">
                  <c:v>21784</c:v>
                </c:pt>
                <c:pt idx="58">
                  <c:v>18281</c:v>
                </c:pt>
                <c:pt idx="59">
                  <c:v>20048</c:v>
                </c:pt>
                <c:pt idx="60">
                  <c:v>22598</c:v>
                </c:pt>
                <c:pt idx="61">
                  <c:v>26006</c:v>
                </c:pt>
                <c:pt idx="62">
                  <c:v>24778</c:v>
                </c:pt>
                <c:pt idx="63">
                  <c:v>19537</c:v>
                </c:pt>
                <c:pt idx="64">
                  <c:v>23581</c:v>
                </c:pt>
                <c:pt idx="65">
                  <c:v>21651</c:v>
                </c:pt>
                <c:pt idx="66">
                  <c:v>17093</c:v>
                </c:pt>
                <c:pt idx="67">
                  <c:v>19377</c:v>
                </c:pt>
                <c:pt idx="68">
                  <c:v>25614</c:v>
                </c:pt>
                <c:pt idx="69">
                  <c:v>35899</c:v>
                </c:pt>
                <c:pt idx="70">
                  <c:v>39955</c:v>
                </c:pt>
                <c:pt idx="71">
                  <c:v>43745</c:v>
                </c:pt>
                <c:pt idx="72">
                  <c:v>44688</c:v>
                </c:pt>
                <c:pt idx="73">
                  <c:v>43163</c:v>
                </c:pt>
                <c:pt idx="74">
                  <c:v>37615</c:v>
                </c:pt>
                <c:pt idx="75">
                  <c:v>30023</c:v>
                </c:pt>
                <c:pt idx="76">
                  <c:v>30663</c:v>
                </c:pt>
                <c:pt idx="77">
                  <c:v>26665</c:v>
                </c:pt>
                <c:pt idx="78">
                  <c:v>24085</c:v>
                </c:pt>
                <c:pt idx="79">
                  <c:v>26981</c:v>
                </c:pt>
                <c:pt idx="80">
                  <c:v>26476</c:v>
                </c:pt>
                <c:pt idx="81">
                  <c:v>26683</c:v>
                </c:pt>
                <c:pt idx="82">
                  <c:v>28920</c:v>
                </c:pt>
                <c:pt idx="83">
                  <c:v>35167</c:v>
                </c:pt>
                <c:pt idx="84">
                  <c:v>36302</c:v>
                </c:pt>
                <c:pt idx="85">
                  <c:v>37421</c:v>
                </c:pt>
                <c:pt idx="86">
                  <c:v>41993</c:v>
                </c:pt>
                <c:pt idx="87">
                  <c:v>46599</c:v>
                </c:pt>
                <c:pt idx="88">
                  <c:v>44701</c:v>
                </c:pt>
                <c:pt idx="89">
                  <c:v>41557</c:v>
                </c:pt>
                <c:pt idx="90">
                  <c:v>42169</c:v>
                </c:pt>
                <c:pt idx="91">
                  <c:v>42658</c:v>
                </c:pt>
                <c:pt idx="92">
                  <c:v>60637</c:v>
                </c:pt>
                <c:pt idx="93">
                  <c:v>67250</c:v>
                </c:pt>
                <c:pt idx="94">
                  <c:v>63599</c:v>
                </c:pt>
                <c:pt idx="95">
                  <c:v>74296</c:v>
                </c:pt>
                <c:pt idx="96">
                  <c:v>70012</c:v>
                </c:pt>
                <c:pt idx="97">
                  <c:v>71858</c:v>
                </c:pt>
                <c:pt idx="98">
                  <c:v>73084</c:v>
                </c:pt>
                <c:pt idx="99">
                  <c:v>64077</c:v>
                </c:pt>
                <c:pt idx="100">
                  <c:v>66704</c:v>
                </c:pt>
                <c:pt idx="101">
                  <c:v>64185</c:v>
                </c:pt>
                <c:pt idx="102">
                  <c:v>62288</c:v>
                </c:pt>
                <c:pt idx="103">
                  <c:v>57439</c:v>
                </c:pt>
                <c:pt idx="104">
                  <c:v>49678</c:v>
                </c:pt>
                <c:pt idx="105">
                  <c:v>40554</c:v>
                </c:pt>
                <c:pt idx="106">
                  <c:v>33744</c:v>
                </c:pt>
                <c:pt idx="107">
                  <c:v>32773</c:v>
                </c:pt>
                <c:pt idx="108">
                  <c:v>28222</c:v>
                </c:pt>
                <c:pt idx="109">
                  <c:v>26633</c:v>
                </c:pt>
                <c:pt idx="110">
                  <c:v>22506</c:v>
                </c:pt>
                <c:pt idx="111">
                  <c:v>19121</c:v>
                </c:pt>
                <c:pt idx="112">
                  <c:v>20629</c:v>
                </c:pt>
                <c:pt idx="113">
                  <c:v>19641</c:v>
                </c:pt>
                <c:pt idx="114">
                  <c:v>19650</c:v>
                </c:pt>
                <c:pt idx="115">
                  <c:v>21026</c:v>
                </c:pt>
                <c:pt idx="116">
                  <c:v>22613</c:v>
                </c:pt>
                <c:pt idx="117">
                  <c:v>3822</c:v>
                </c:pt>
                <c:pt idx="118">
                  <c:v>3734</c:v>
                </c:pt>
                <c:pt idx="119">
                  <c:v>3478</c:v>
                </c:pt>
                <c:pt idx="120">
                  <c:v>2955</c:v>
                </c:pt>
                <c:pt idx="121">
                  <c:v>3183</c:v>
                </c:pt>
                <c:pt idx="122">
                  <c:v>2758</c:v>
                </c:pt>
                <c:pt idx="123">
                  <c:v>2890</c:v>
                </c:pt>
                <c:pt idx="124">
                  <c:v>3285</c:v>
                </c:pt>
                <c:pt idx="125">
                  <c:v>2905</c:v>
                </c:pt>
                <c:pt idx="126">
                  <c:v>2527</c:v>
                </c:pt>
                <c:pt idx="127">
                  <c:v>2529</c:v>
                </c:pt>
                <c:pt idx="128">
                  <c:v>2316</c:v>
                </c:pt>
                <c:pt idx="129">
                  <c:v>2363</c:v>
                </c:pt>
                <c:pt idx="130">
                  <c:v>2226</c:v>
                </c:pt>
                <c:pt idx="131">
                  <c:v>2112</c:v>
                </c:pt>
                <c:pt idx="132">
                  <c:v>1626</c:v>
                </c:pt>
                <c:pt idx="133">
                  <c:v>1089</c:v>
                </c:pt>
                <c:pt idx="13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70336"/>
        <c:axId val="280271872"/>
      </c:areaChart>
      <c:dateAx>
        <c:axId val="28027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0271872"/>
        <c:crosses val="autoZero"/>
        <c:auto val="1"/>
        <c:lblOffset val="100"/>
        <c:baseTimeUnit val="months"/>
      </c:dateAx>
      <c:valAx>
        <c:axId val="2802718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80270336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Specified refi-NCO (All Period)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Sheet3!$B$46:$B$49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NOMHA-REFI-NCO</c:v>
                </c:pt>
              </c:strCache>
            </c:strRef>
          </c:cat>
          <c:val>
            <c:numRef>
              <c:f>Sheet3!$C$46:$C$49</c:f>
              <c:numCache>
                <c:formatCode>_(* #,##0.00_);_(* \(#,##0.00\);_(* "-"??_);_(@_)</c:formatCode>
                <c:ptCount val="4"/>
                <c:pt idx="0">
                  <c:v>1412406</c:v>
                </c:pt>
                <c:pt idx="1">
                  <c:v>5701166</c:v>
                </c:pt>
                <c:pt idx="2">
                  <c:v>4306137</c:v>
                </c:pt>
                <c:pt idx="3">
                  <c:v>5961898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67708288"/>
        <c:axId val="267709824"/>
      </c:barChart>
      <c:catAx>
        <c:axId val="26770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267709824"/>
        <c:crosses val="autoZero"/>
        <c:auto val="1"/>
        <c:lblAlgn val="ctr"/>
        <c:lblOffset val="100"/>
        <c:noMultiLvlLbl val="0"/>
      </c:catAx>
      <c:valAx>
        <c:axId val="267709824"/>
        <c:scaling>
          <c:orientation val="minMax"/>
          <c:max val="12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67708288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(All Period)</a:t>
            </a:r>
            <a:endParaRPr lang="en-US" sz="12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Sheet3!$B$57:$B$60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</c:v>
                </c:pt>
                <c:pt idx="3">
                  <c:v>MISC-VERIFY</c:v>
                </c:pt>
              </c:strCache>
            </c:strRef>
          </c:cat>
          <c:val>
            <c:numRef>
              <c:f>Sheet3!$C$57:$C$60</c:f>
              <c:numCache>
                <c:formatCode>_(* #,##0.00_);_(* \(#,##0.00\);_(* "-"??_);_(@_)</c:formatCode>
                <c:ptCount val="4"/>
                <c:pt idx="0">
                  <c:v>1448911</c:v>
                </c:pt>
                <c:pt idx="1">
                  <c:v>5701166</c:v>
                </c:pt>
                <c:pt idx="2">
                  <c:v>10150562</c:v>
                </c:pt>
                <c:pt idx="3">
                  <c:v>80968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917312"/>
        <c:axId val="279918848"/>
      </c:barChart>
      <c:catAx>
        <c:axId val="279917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79918848"/>
        <c:crosses val="autoZero"/>
        <c:auto val="1"/>
        <c:lblAlgn val="ctr"/>
        <c:lblOffset val="100"/>
        <c:noMultiLvlLbl val="0"/>
      </c:catAx>
      <c:valAx>
        <c:axId val="279918848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79917312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Specified refi-NCO (2015)</a:t>
            </a:r>
            <a:endParaRPr lang="en-US" sz="12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Sheet3!$F$46:$F$49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NOMHA-REFI-CO</c:v>
                </c:pt>
                <c:pt idx="3">
                  <c:v>NOMHA-REFI</c:v>
                </c:pt>
              </c:strCache>
            </c:strRef>
          </c:cat>
          <c:val>
            <c:numRef>
              <c:f>Sheet3!$G$46:$G$49</c:f>
              <c:numCache>
                <c:formatCode>_(* #,##0.00_);_(* \(#,##0.00\);_(* "-"??_);_(@_)</c:formatCode>
                <c:ptCount val="4"/>
                <c:pt idx="0">
                  <c:v>45056</c:v>
                </c:pt>
                <c:pt idx="1">
                  <c:v>629706</c:v>
                </c:pt>
                <c:pt idx="2">
                  <c:v>295887</c:v>
                </c:pt>
                <c:pt idx="3">
                  <c:v>463837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9947136"/>
        <c:axId val="279948672"/>
      </c:barChart>
      <c:catAx>
        <c:axId val="279947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79948672"/>
        <c:crosses val="autoZero"/>
        <c:auto val="1"/>
        <c:lblAlgn val="ctr"/>
        <c:lblOffset val="100"/>
        <c:noMultiLvlLbl val="0"/>
      </c:catAx>
      <c:valAx>
        <c:axId val="279948672"/>
        <c:scaling>
          <c:orientation val="minMax"/>
          <c:max val="8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79947136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baseline="0">
                <a:effectLst/>
              </a:rPr>
              <a:t>Not Specified refi-NCO (2015)</a:t>
            </a:r>
            <a:endParaRPr lang="en-US" sz="12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Sheet3!$F$57:$F$60</c:f>
              <c:strCache>
                <c:ptCount val="4"/>
                <c:pt idx="0">
                  <c:v>MHA-ELIGIBLE</c:v>
                </c:pt>
                <c:pt idx="1">
                  <c:v>NOMHA-PURCHASE</c:v>
                </c:pt>
                <c:pt idx="2">
                  <c:v>NOMHA-REFI-NCO</c:v>
                </c:pt>
                <c:pt idx="3">
                  <c:v>MISC-VERIFY</c:v>
                </c:pt>
              </c:strCache>
            </c:strRef>
          </c:cat>
          <c:val>
            <c:numRef>
              <c:f>Sheet3!$G$57:$G$60</c:f>
              <c:numCache>
                <c:formatCode>_(* #,##0.00_);_(* \(#,##0.00\);_(* "-"??_);_(@_)</c:formatCode>
                <c:ptCount val="4"/>
                <c:pt idx="0">
                  <c:v>45105</c:v>
                </c:pt>
                <c:pt idx="1">
                  <c:v>629706</c:v>
                </c:pt>
                <c:pt idx="2">
                  <c:v>759675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563072"/>
        <c:axId val="280601728"/>
      </c:barChart>
      <c:catAx>
        <c:axId val="280563072"/>
        <c:scaling>
          <c:orientation val="minMax"/>
        </c:scaling>
        <c:delete val="0"/>
        <c:axPos val="b"/>
        <c:majorTickMark val="out"/>
        <c:minorTickMark val="none"/>
        <c:tickLblPos val="nextTo"/>
        <c:crossAx val="280601728"/>
        <c:crosses val="autoZero"/>
        <c:auto val="1"/>
        <c:lblAlgn val="ctr"/>
        <c:lblOffset val="100"/>
        <c:noMultiLvlLbl val="0"/>
      </c:catAx>
      <c:valAx>
        <c:axId val="280601728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80563072"/>
        <c:crosses val="autoZero"/>
        <c:crossBetween val="between"/>
        <c:dispUnits>
          <c:builtInUnit val="thousand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(All Period)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Sheet3!$B$68:$B$72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Sheet3!$C$68:$C$72</c:f>
              <c:numCache>
                <c:formatCode>_(* #,##0.00_);_(* \(#,##0.00\);_(* "-"??_);_(@_)</c:formatCode>
                <c:ptCount val="5"/>
                <c:pt idx="0">
                  <c:v>7769037</c:v>
                </c:pt>
                <c:pt idx="1">
                  <c:v>1071585</c:v>
                </c:pt>
                <c:pt idx="2">
                  <c:v>1506286</c:v>
                </c:pt>
                <c:pt idx="3">
                  <c:v>1261952</c:v>
                </c:pt>
                <c:pt idx="4">
                  <c:v>464782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80623360"/>
        <c:axId val="280625152"/>
      </c:barChart>
      <c:catAx>
        <c:axId val="280623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0625152"/>
        <c:crosses val="autoZero"/>
        <c:auto val="1"/>
        <c:lblAlgn val="ctr"/>
        <c:lblOffset val="100"/>
        <c:noMultiLvlLbl val="0"/>
      </c:catAx>
      <c:valAx>
        <c:axId val="280625152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80623360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</a:t>
            </a:r>
            <a:r>
              <a:rPr lang="en-US" sz="1200" baseline="0"/>
              <a:t> refi-NCO (All Period)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Sheet3!$F$68:$F$72</c:f>
              <c:strCache>
                <c:ptCount val="5"/>
                <c:pt idx="0">
                  <c:v>N/A</c:v>
                </c:pt>
                <c:pt idx="1">
                  <c:v>&lt; 2009-06</c:v>
                </c:pt>
                <c:pt idx="2">
                  <c:v>NON-HARPed</c:v>
                </c:pt>
                <c:pt idx="3">
                  <c:v>HARPed</c:v>
                </c:pt>
                <c:pt idx="4">
                  <c:v>Unknown</c:v>
                </c:pt>
              </c:strCache>
            </c:strRef>
          </c:cat>
          <c:val>
            <c:numRef>
              <c:f>Sheet3!$G$68:$G$72</c:f>
              <c:numCache>
                <c:formatCode>_(* #,##0.00_);_(* \(#,##0.00\);_(* "-"??_);_(@_)</c:formatCode>
                <c:ptCount val="5"/>
                <c:pt idx="0">
                  <c:v>4968713</c:v>
                </c:pt>
                <c:pt idx="1">
                  <c:v>2623503</c:v>
                </c:pt>
                <c:pt idx="2">
                  <c:v>2450387</c:v>
                </c:pt>
                <c:pt idx="3">
                  <c:v>1268450</c:v>
                </c:pt>
                <c:pt idx="4">
                  <c:v>762589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662784"/>
        <c:axId val="280664320"/>
      </c:barChart>
      <c:catAx>
        <c:axId val="280662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0664320"/>
        <c:crosses val="autoZero"/>
        <c:auto val="1"/>
        <c:lblAlgn val="ctr"/>
        <c:lblOffset val="100"/>
        <c:noMultiLvlLbl val="0"/>
      </c:catAx>
      <c:valAx>
        <c:axId val="280664320"/>
        <c:scaling>
          <c:orientation val="minMax"/>
          <c:max val="90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80662784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Sheet3!$B$77:$B$79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Sheet3!$C$77:$C$79</c:f>
              <c:numCache>
                <c:formatCode>_(* #,##0.00_);_(* \(#,##0.00\);_(* "-"??_);_(@_)</c:formatCode>
                <c:ptCount val="3"/>
                <c:pt idx="0">
                  <c:v>545032</c:v>
                </c:pt>
                <c:pt idx="1">
                  <c:v>254757</c:v>
                </c:pt>
                <c:pt idx="2">
                  <c:v>291937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80681856"/>
        <c:axId val="280695936"/>
      </c:barChart>
      <c:catAx>
        <c:axId val="280681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0695936"/>
        <c:crosses val="autoZero"/>
        <c:auto val="1"/>
        <c:lblAlgn val="ctr"/>
        <c:lblOffset val="100"/>
        <c:noMultiLvlLbl val="0"/>
      </c:catAx>
      <c:valAx>
        <c:axId val="280695936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80681856"/>
        <c:crosses val="autoZero"/>
        <c:crossBetween val="between"/>
        <c:dispUnits>
          <c:builtInUnit val="thousands"/>
          <c:dispUnitsLbl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Not Specified refi-NCO (2013)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Sheet3!$F$77:$F$79</c:f>
              <c:strCache>
                <c:ptCount val="3"/>
                <c:pt idx="0">
                  <c:v>N/A</c:v>
                </c:pt>
                <c:pt idx="1">
                  <c:v>NON-HARPed</c:v>
                </c:pt>
                <c:pt idx="2">
                  <c:v>HARPed</c:v>
                </c:pt>
              </c:strCache>
            </c:strRef>
          </c:cat>
          <c:val>
            <c:numRef>
              <c:f>Sheet3!$G$77:$G$79</c:f>
              <c:numCache>
                <c:formatCode>_(* #,##0.00_);_(* \(#,##0.00\);_(* "-"??_);_(@_)</c:formatCode>
                <c:ptCount val="3"/>
                <c:pt idx="0">
                  <c:v>387414</c:v>
                </c:pt>
                <c:pt idx="1">
                  <c:v>255263</c:v>
                </c:pt>
                <c:pt idx="2">
                  <c:v>449049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729472"/>
        <c:axId val="280731008"/>
      </c:barChart>
      <c:catAx>
        <c:axId val="280729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80731008"/>
        <c:crosses val="autoZero"/>
        <c:auto val="1"/>
        <c:lblAlgn val="ctr"/>
        <c:lblOffset val="100"/>
        <c:noMultiLvlLbl val="0"/>
      </c:catAx>
      <c:valAx>
        <c:axId val="280731008"/>
        <c:scaling>
          <c:orientation val="minMax"/>
          <c:max val="600000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280729472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Sheet5!$R$1:$R$1</c:f>
              <c:strCache>
                <c:ptCount val="1"/>
                <c:pt idx="0">
                  <c:v>New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Sheet5!$R$45:$R$99</c:f>
              <c:numCache>
                <c:formatCode>General</c:formatCode>
                <c:ptCount val="55"/>
                <c:pt idx="0">
                  <c:v>22075</c:v>
                </c:pt>
                <c:pt idx="1">
                  <c:v>25210</c:v>
                </c:pt>
                <c:pt idx="2">
                  <c:v>15667</c:v>
                </c:pt>
                <c:pt idx="3">
                  <c:v>12098</c:v>
                </c:pt>
                <c:pt idx="4">
                  <c:v>16580</c:v>
                </c:pt>
                <c:pt idx="5">
                  <c:v>25493</c:v>
                </c:pt>
                <c:pt idx="6">
                  <c:v>24649</c:v>
                </c:pt>
                <c:pt idx="7">
                  <c:v>26299</c:v>
                </c:pt>
                <c:pt idx="8">
                  <c:v>21183</c:v>
                </c:pt>
                <c:pt idx="9">
                  <c:v>19513</c:v>
                </c:pt>
                <c:pt idx="10">
                  <c:v>17575</c:v>
                </c:pt>
                <c:pt idx="11">
                  <c:v>19523</c:v>
                </c:pt>
                <c:pt idx="12">
                  <c:v>19158</c:v>
                </c:pt>
                <c:pt idx="13">
                  <c:v>20121</c:v>
                </c:pt>
                <c:pt idx="14">
                  <c:v>38354</c:v>
                </c:pt>
                <c:pt idx="15">
                  <c:v>36203</c:v>
                </c:pt>
                <c:pt idx="16">
                  <c:v>39308</c:v>
                </c:pt>
                <c:pt idx="17">
                  <c:v>45723</c:v>
                </c:pt>
                <c:pt idx="18">
                  <c:v>31180</c:v>
                </c:pt>
                <c:pt idx="19">
                  <c:v>36604</c:v>
                </c:pt>
                <c:pt idx="20">
                  <c:v>19980</c:v>
                </c:pt>
                <c:pt idx="21">
                  <c:v>18800</c:v>
                </c:pt>
                <c:pt idx="22">
                  <c:v>12820</c:v>
                </c:pt>
                <c:pt idx="23">
                  <c:v>12588</c:v>
                </c:pt>
                <c:pt idx="24">
                  <c:v>11579</c:v>
                </c:pt>
                <c:pt idx="25">
                  <c:v>13279</c:v>
                </c:pt>
                <c:pt idx="26">
                  <c:v>15550</c:v>
                </c:pt>
                <c:pt idx="27">
                  <c:v>16474</c:v>
                </c:pt>
                <c:pt idx="28">
                  <c:v>15358</c:v>
                </c:pt>
                <c:pt idx="29">
                  <c:v>17850</c:v>
                </c:pt>
                <c:pt idx="30">
                  <c:v>21469</c:v>
                </c:pt>
                <c:pt idx="31">
                  <c:v>19436</c:v>
                </c:pt>
                <c:pt idx="32">
                  <c:v>29010</c:v>
                </c:pt>
                <c:pt idx="33">
                  <c:v>18814</c:v>
                </c:pt>
                <c:pt idx="34">
                  <c:v>22353</c:v>
                </c:pt>
                <c:pt idx="35">
                  <c:v>23679</c:v>
                </c:pt>
                <c:pt idx="36">
                  <c:v>21930</c:v>
                </c:pt>
                <c:pt idx="37">
                  <c:v>25715</c:v>
                </c:pt>
                <c:pt idx="38">
                  <c:v>20098</c:v>
                </c:pt>
                <c:pt idx="39">
                  <c:v>23340</c:v>
                </c:pt>
                <c:pt idx="40">
                  <c:v>40576</c:v>
                </c:pt>
                <c:pt idx="41">
                  <c:v>16073</c:v>
                </c:pt>
                <c:pt idx="42">
                  <c:v>31891</c:v>
                </c:pt>
                <c:pt idx="43">
                  <c:v>28858</c:v>
                </c:pt>
                <c:pt idx="44">
                  <c:v>30621</c:v>
                </c:pt>
                <c:pt idx="45">
                  <c:v>33414</c:v>
                </c:pt>
                <c:pt idx="46">
                  <c:v>28554</c:v>
                </c:pt>
                <c:pt idx="47">
                  <c:v>30201</c:v>
                </c:pt>
                <c:pt idx="48">
                  <c:v>22463</c:v>
                </c:pt>
                <c:pt idx="49">
                  <c:v>18785</c:v>
                </c:pt>
                <c:pt idx="50">
                  <c:v>16394</c:v>
                </c:pt>
                <c:pt idx="51">
                  <c:v>13595</c:v>
                </c:pt>
                <c:pt idx="52">
                  <c:v>12144</c:v>
                </c:pt>
                <c:pt idx="53">
                  <c:v>8436</c:v>
                </c:pt>
                <c:pt idx="54">
                  <c:v>10673</c:v>
                </c:pt>
              </c:numCache>
            </c:numRef>
          </c:val>
        </c:ser>
        <c:ser>
          <c:idx val="1"/>
          <c:order val="1"/>
          <c:tx>
            <c:strRef>
              <c:f>Sheet5!$S$1:$S$1</c:f>
              <c:strCache>
                <c:ptCount val="1"/>
                <c:pt idx="0">
                  <c:v>Old</c:v>
                </c:pt>
              </c:strCache>
            </c:strRef>
          </c:tx>
          <c:invertIfNegative val="0"/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Sheet5!$S$45:$S$99</c:f>
              <c:numCache>
                <c:formatCode>General</c:formatCode>
                <c:ptCount val="55"/>
                <c:pt idx="0">
                  <c:v>14498</c:v>
                </c:pt>
                <c:pt idx="1">
                  <c:v>16086</c:v>
                </c:pt>
                <c:pt idx="2">
                  <c:v>8996</c:v>
                </c:pt>
                <c:pt idx="3">
                  <c:v>6341</c:v>
                </c:pt>
                <c:pt idx="4">
                  <c:v>8103</c:v>
                </c:pt>
                <c:pt idx="5">
                  <c:v>12795</c:v>
                </c:pt>
                <c:pt idx="6">
                  <c:v>12696</c:v>
                </c:pt>
                <c:pt idx="7">
                  <c:v>13514</c:v>
                </c:pt>
                <c:pt idx="8">
                  <c:v>11773</c:v>
                </c:pt>
                <c:pt idx="9">
                  <c:v>10346</c:v>
                </c:pt>
                <c:pt idx="10">
                  <c:v>9171</c:v>
                </c:pt>
                <c:pt idx="11">
                  <c:v>10433</c:v>
                </c:pt>
                <c:pt idx="12">
                  <c:v>9017</c:v>
                </c:pt>
                <c:pt idx="13">
                  <c:v>9218</c:v>
                </c:pt>
                <c:pt idx="14">
                  <c:v>16012</c:v>
                </c:pt>
                <c:pt idx="15">
                  <c:v>13956</c:v>
                </c:pt>
                <c:pt idx="16">
                  <c:v>16014</c:v>
                </c:pt>
                <c:pt idx="17">
                  <c:v>17737</c:v>
                </c:pt>
                <c:pt idx="18">
                  <c:v>14937</c:v>
                </c:pt>
                <c:pt idx="19">
                  <c:v>17490</c:v>
                </c:pt>
                <c:pt idx="20">
                  <c:v>10517</c:v>
                </c:pt>
                <c:pt idx="21">
                  <c:v>9118</c:v>
                </c:pt>
                <c:pt idx="22">
                  <c:v>5828</c:v>
                </c:pt>
                <c:pt idx="23">
                  <c:v>5870</c:v>
                </c:pt>
                <c:pt idx="24">
                  <c:v>6101</c:v>
                </c:pt>
                <c:pt idx="25">
                  <c:v>6179</c:v>
                </c:pt>
                <c:pt idx="26">
                  <c:v>7308</c:v>
                </c:pt>
                <c:pt idx="27">
                  <c:v>7216</c:v>
                </c:pt>
                <c:pt idx="28">
                  <c:v>6751</c:v>
                </c:pt>
                <c:pt idx="29">
                  <c:v>5539</c:v>
                </c:pt>
                <c:pt idx="30">
                  <c:v>12378</c:v>
                </c:pt>
                <c:pt idx="31">
                  <c:v>9871</c:v>
                </c:pt>
                <c:pt idx="32">
                  <c:v>16508</c:v>
                </c:pt>
                <c:pt idx="33">
                  <c:v>12108</c:v>
                </c:pt>
                <c:pt idx="34">
                  <c:v>12394</c:v>
                </c:pt>
                <c:pt idx="35">
                  <c:v>15626</c:v>
                </c:pt>
                <c:pt idx="36">
                  <c:v>14877</c:v>
                </c:pt>
                <c:pt idx="37">
                  <c:v>13702</c:v>
                </c:pt>
                <c:pt idx="38">
                  <c:v>11344</c:v>
                </c:pt>
                <c:pt idx="39">
                  <c:v>12699</c:v>
                </c:pt>
                <c:pt idx="40">
                  <c:v>21038</c:v>
                </c:pt>
                <c:pt idx="41">
                  <c:v>8801</c:v>
                </c:pt>
                <c:pt idx="42">
                  <c:v>15956</c:v>
                </c:pt>
                <c:pt idx="43">
                  <c:v>14922</c:v>
                </c:pt>
                <c:pt idx="44">
                  <c:v>16099</c:v>
                </c:pt>
                <c:pt idx="45">
                  <c:v>16803</c:v>
                </c:pt>
                <c:pt idx="46">
                  <c:v>15227</c:v>
                </c:pt>
                <c:pt idx="47">
                  <c:v>14816</c:v>
                </c:pt>
                <c:pt idx="48">
                  <c:v>11331</c:v>
                </c:pt>
                <c:pt idx="49">
                  <c:v>9920</c:v>
                </c:pt>
                <c:pt idx="50">
                  <c:v>8504</c:v>
                </c:pt>
                <c:pt idx="51">
                  <c:v>7408</c:v>
                </c:pt>
                <c:pt idx="52">
                  <c:v>6199</c:v>
                </c:pt>
                <c:pt idx="53">
                  <c:v>3859</c:v>
                </c:pt>
                <c:pt idx="54">
                  <c:v>5345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803968"/>
        <c:axId val="280809856"/>
      </c:barChart>
      <c:lineChart>
        <c:grouping val="standard"/>
        <c:varyColors val="0"/>
        <c:ser>
          <c:idx val="2"/>
          <c:order val="2"/>
          <c:tx>
            <c:strRef>
              <c:f>Sheet5!$T$1:$T$1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Sheet5!$Q$45:$Q$99</c:f>
              <c:numCache>
                <c:formatCode>m/d/yyyy</c:formatCode>
                <c:ptCount val="55"/>
                <c:pt idx="0">
                  <c:v>39995</c:v>
                </c:pt>
                <c:pt idx="1">
                  <c:v>40026</c:v>
                </c:pt>
                <c:pt idx="2">
                  <c:v>40057</c:v>
                </c:pt>
                <c:pt idx="3">
                  <c:v>40087</c:v>
                </c:pt>
                <c:pt idx="4">
                  <c:v>40118</c:v>
                </c:pt>
                <c:pt idx="5">
                  <c:v>40148</c:v>
                </c:pt>
                <c:pt idx="6">
                  <c:v>40179</c:v>
                </c:pt>
                <c:pt idx="7">
                  <c:v>40210</c:v>
                </c:pt>
                <c:pt idx="8">
                  <c:v>40238</c:v>
                </c:pt>
                <c:pt idx="9">
                  <c:v>40269</c:v>
                </c:pt>
                <c:pt idx="10">
                  <c:v>40299</c:v>
                </c:pt>
                <c:pt idx="11">
                  <c:v>40330</c:v>
                </c:pt>
                <c:pt idx="12">
                  <c:v>40360</c:v>
                </c:pt>
                <c:pt idx="13">
                  <c:v>40391</c:v>
                </c:pt>
                <c:pt idx="14">
                  <c:v>40422</c:v>
                </c:pt>
                <c:pt idx="15">
                  <c:v>40452</c:v>
                </c:pt>
                <c:pt idx="16">
                  <c:v>40483</c:v>
                </c:pt>
                <c:pt idx="17">
                  <c:v>40513</c:v>
                </c:pt>
                <c:pt idx="18">
                  <c:v>40544</c:v>
                </c:pt>
                <c:pt idx="19">
                  <c:v>40575</c:v>
                </c:pt>
                <c:pt idx="20">
                  <c:v>40603</c:v>
                </c:pt>
                <c:pt idx="21">
                  <c:v>40634</c:v>
                </c:pt>
                <c:pt idx="22">
                  <c:v>40664</c:v>
                </c:pt>
                <c:pt idx="23">
                  <c:v>40695</c:v>
                </c:pt>
                <c:pt idx="24">
                  <c:v>40725</c:v>
                </c:pt>
                <c:pt idx="25">
                  <c:v>40756</c:v>
                </c:pt>
                <c:pt idx="26">
                  <c:v>40787</c:v>
                </c:pt>
                <c:pt idx="27">
                  <c:v>40817</c:v>
                </c:pt>
                <c:pt idx="28">
                  <c:v>40848</c:v>
                </c:pt>
                <c:pt idx="29">
                  <c:v>40878</c:v>
                </c:pt>
                <c:pt idx="30">
                  <c:v>40909</c:v>
                </c:pt>
                <c:pt idx="31">
                  <c:v>40940</c:v>
                </c:pt>
                <c:pt idx="32">
                  <c:v>40969</c:v>
                </c:pt>
                <c:pt idx="33">
                  <c:v>41000</c:v>
                </c:pt>
                <c:pt idx="34">
                  <c:v>41030</c:v>
                </c:pt>
                <c:pt idx="35">
                  <c:v>41061</c:v>
                </c:pt>
                <c:pt idx="36">
                  <c:v>41091</c:v>
                </c:pt>
                <c:pt idx="37">
                  <c:v>41122</c:v>
                </c:pt>
                <c:pt idx="38">
                  <c:v>41153</c:v>
                </c:pt>
                <c:pt idx="39">
                  <c:v>41183</c:v>
                </c:pt>
                <c:pt idx="40">
                  <c:v>41214</c:v>
                </c:pt>
                <c:pt idx="41">
                  <c:v>41244</c:v>
                </c:pt>
                <c:pt idx="42">
                  <c:v>41275</c:v>
                </c:pt>
                <c:pt idx="43">
                  <c:v>41306</c:v>
                </c:pt>
                <c:pt idx="44">
                  <c:v>41334</c:v>
                </c:pt>
                <c:pt idx="45">
                  <c:v>41365</c:v>
                </c:pt>
                <c:pt idx="46">
                  <c:v>41395</c:v>
                </c:pt>
                <c:pt idx="47">
                  <c:v>41426</c:v>
                </c:pt>
                <c:pt idx="48">
                  <c:v>41456</c:v>
                </c:pt>
                <c:pt idx="49">
                  <c:v>41487</c:v>
                </c:pt>
                <c:pt idx="50">
                  <c:v>41518</c:v>
                </c:pt>
                <c:pt idx="51">
                  <c:v>41548</c:v>
                </c:pt>
                <c:pt idx="52">
                  <c:v>41579</c:v>
                </c:pt>
                <c:pt idx="53">
                  <c:v>41609</c:v>
                </c:pt>
                <c:pt idx="54">
                  <c:v>41640</c:v>
                </c:pt>
              </c:numCache>
            </c:numRef>
          </c:cat>
          <c:val>
            <c:numRef>
              <c:f>Sheet5!$T$45:$T$99</c:f>
              <c:numCache>
                <c:formatCode>0.00</c:formatCode>
                <c:ptCount val="55"/>
                <c:pt idx="0">
                  <c:v>1.5226238101807146</c:v>
                </c:pt>
                <c:pt idx="1">
                  <c:v>1.5672012930498571</c:v>
                </c:pt>
                <c:pt idx="2">
                  <c:v>1.7415518008003557</c:v>
                </c:pt>
                <c:pt idx="3">
                  <c:v>1.9079009619933764</c:v>
                </c:pt>
                <c:pt idx="4">
                  <c:v>2.0461557447858816</c:v>
                </c:pt>
                <c:pt idx="5">
                  <c:v>1.9924189136381398</c:v>
                </c:pt>
                <c:pt idx="6">
                  <c:v>1.9414776307498425</c:v>
                </c:pt>
                <c:pt idx="7">
                  <c:v>1.9460559419860886</c:v>
                </c:pt>
                <c:pt idx="8">
                  <c:v>1.7992865030153742</c:v>
                </c:pt>
                <c:pt idx="9">
                  <c:v>1.8860429151362845</c:v>
                </c:pt>
                <c:pt idx="10">
                  <c:v>1.9163668084178389</c:v>
                </c:pt>
                <c:pt idx="11">
                  <c:v>1.8712738426147799</c:v>
                </c:pt>
                <c:pt idx="12">
                  <c:v>2.1246534324054562</c:v>
                </c:pt>
                <c:pt idx="13">
                  <c:v>2.1827945324365374</c:v>
                </c:pt>
                <c:pt idx="14">
                  <c:v>2.3953285036222831</c:v>
                </c:pt>
                <c:pt idx="15">
                  <c:v>2.5940813986815705</c:v>
                </c:pt>
                <c:pt idx="16">
                  <c:v>2.454602223054827</c:v>
                </c:pt>
                <c:pt idx="17">
                  <c:v>2.5778316513502846</c:v>
                </c:pt>
                <c:pt idx="18">
                  <c:v>2.0874338890004687</c:v>
                </c:pt>
                <c:pt idx="19">
                  <c:v>2.0928530588907948</c:v>
                </c:pt>
                <c:pt idx="20">
                  <c:v>1.8997813064562137</c:v>
                </c:pt>
                <c:pt idx="21">
                  <c:v>2.0618556701030926</c:v>
                </c:pt>
                <c:pt idx="22">
                  <c:v>2.1997254632807137</c:v>
                </c:pt>
                <c:pt idx="23">
                  <c:v>2.1444633730834752</c:v>
                </c:pt>
                <c:pt idx="24">
                  <c:v>1.8978855925258153</c:v>
                </c:pt>
                <c:pt idx="25">
                  <c:v>2.1490532448616282</c:v>
                </c:pt>
                <c:pt idx="26">
                  <c:v>2.1278051450465245</c:v>
                </c:pt>
                <c:pt idx="27">
                  <c:v>2.2829822616407984</c:v>
                </c:pt>
                <c:pt idx="28">
                  <c:v>2.2749222337431489</c:v>
                </c:pt>
                <c:pt idx="29">
                  <c:v>3.2226033580068605</c:v>
                </c:pt>
                <c:pt idx="30">
                  <c:v>1.7344482145742446</c:v>
                </c:pt>
                <c:pt idx="31">
                  <c:v>1.9690001013068585</c:v>
                </c:pt>
                <c:pt idx="32">
                  <c:v>1.757329779500848</c:v>
                </c:pt>
                <c:pt idx="33">
                  <c:v>1.5538486950776347</c:v>
                </c:pt>
                <c:pt idx="34">
                  <c:v>1.8035339680490561</c:v>
                </c:pt>
                <c:pt idx="35">
                  <c:v>1.5153590170229105</c:v>
                </c:pt>
                <c:pt idx="36">
                  <c:v>1.4740875176446864</c:v>
                </c:pt>
                <c:pt idx="37">
                  <c:v>1.8767333236023938</c:v>
                </c:pt>
                <c:pt idx="38">
                  <c:v>1.7716854724964739</c:v>
                </c:pt>
                <c:pt idx="39">
                  <c:v>1.8379399952752185</c:v>
                </c:pt>
                <c:pt idx="40">
                  <c:v>1.9287004468105333</c:v>
                </c:pt>
                <c:pt idx="41">
                  <c:v>1.8262697420747642</c:v>
                </c:pt>
                <c:pt idx="42">
                  <c:v>1.9986838806718477</c:v>
                </c:pt>
                <c:pt idx="43">
                  <c:v>1.9339230666130545</c:v>
                </c:pt>
                <c:pt idx="44">
                  <c:v>1.9020436051928691</c:v>
                </c:pt>
                <c:pt idx="45">
                  <c:v>1.9885734690233887</c:v>
                </c:pt>
                <c:pt idx="46">
                  <c:v>1.8752216457608195</c:v>
                </c:pt>
                <c:pt idx="47">
                  <c:v>2.0384044276457884</c:v>
                </c:pt>
                <c:pt idx="48">
                  <c:v>1.9824375606742564</c:v>
                </c:pt>
                <c:pt idx="49">
                  <c:v>1.893649193548387</c:v>
                </c:pt>
                <c:pt idx="50">
                  <c:v>1.9277986829727187</c:v>
                </c:pt>
                <c:pt idx="51">
                  <c:v>1.8351781857451404</c:v>
                </c:pt>
                <c:pt idx="52">
                  <c:v>1.9590256492982738</c:v>
                </c:pt>
                <c:pt idx="53">
                  <c:v>2.1860585643949211</c:v>
                </c:pt>
                <c:pt idx="54">
                  <c:v>1.996819457436857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818048"/>
        <c:axId val="280812160"/>
      </c:lineChart>
      <c:dateAx>
        <c:axId val="280803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0809856"/>
        <c:crosses val="autoZero"/>
        <c:auto val="1"/>
        <c:lblOffset val="100"/>
        <c:baseTimeUnit val="months"/>
      </c:dateAx>
      <c:valAx>
        <c:axId val="280809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Loan 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0803968"/>
        <c:crosses val="autoZero"/>
        <c:crossBetween val="between"/>
        <c:dispUnits>
          <c:builtInUnit val="thousands"/>
          <c:dispUnitsLbl>
            <c:layout/>
          </c:dispUnitsLbl>
        </c:dispUnits>
      </c:valAx>
      <c:valAx>
        <c:axId val="2808121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280818048"/>
        <c:crosses val="max"/>
        <c:crossBetween val="between"/>
      </c:valAx>
      <c:dateAx>
        <c:axId val="2808180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80812160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'&gt;80 LTV'!$AE$5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LTV'!$AE$59:$AE$116</c:f>
              <c:numCache>
                <c:formatCode>General</c:formatCode>
                <c:ptCount val="58"/>
                <c:pt idx="0">
                  <c:v>5241</c:v>
                </c:pt>
                <c:pt idx="1">
                  <c:v>10999</c:v>
                </c:pt>
                <c:pt idx="2">
                  <c:v>17240</c:v>
                </c:pt>
                <c:pt idx="3">
                  <c:v>15625</c:v>
                </c:pt>
                <c:pt idx="4">
                  <c:v>10307</c:v>
                </c:pt>
                <c:pt idx="5">
                  <c:v>7916</c:v>
                </c:pt>
                <c:pt idx="6">
                  <c:v>10797</c:v>
                </c:pt>
                <c:pt idx="7">
                  <c:v>14023</c:v>
                </c:pt>
                <c:pt idx="8">
                  <c:v>16981</c:v>
                </c:pt>
                <c:pt idx="9">
                  <c:v>15865</c:v>
                </c:pt>
                <c:pt idx="10">
                  <c:v>12471</c:v>
                </c:pt>
                <c:pt idx="11">
                  <c:v>15106</c:v>
                </c:pt>
                <c:pt idx="12">
                  <c:v>13999</c:v>
                </c:pt>
                <c:pt idx="13">
                  <c:v>10738</c:v>
                </c:pt>
                <c:pt idx="14">
                  <c:v>13788</c:v>
                </c:pt>
                <c:pt idx="15">
                  <c:v>17097</c:v>
                </c:pt>
                <c:pt idx="16">
                  <c:v>19801</c:v>
                </c:pt>
                <c:pt idx="17">
                  <c:v>21283</c:v>
                </c:pt>
                <c:pt idx="18">
                  <c:v>23970</c:v>
                </c:pt>
                <c:pt idx="19">
                  <c:v>26744</c:v>
                </c:pt>
                <c:pt idx="20">
                  <c:v>25576</c:v>
                </c:pt>
                <c:pt idx="21">
                  <c:v>23483</c:v>
                </c:pt>
                <c:pt idx="22">
                  <c:v>17904</c:v>
                </c:pt>
                <c:pt idx="23">
                  <c:v>13374</c:v>
                </c:pt>
                <c:pt idx="24">
                  <c:v>12054</c:v>
                </c:pt>
                <c:pt idx="25">
                  <c:v>10483</c:v>
                </c:pt>
                <c:pt idx="26">
                  <c:v>11570</c:v>
                </c:pt>
                <c:pt idx="27">
                  <c:v>12293</c:v>
                </c:pt>
                <c:pt idx="28">
                  <c:v>13197</c:v>
                </c:pt>
                <c:pt idx="29">
                  <c:v>15246</c:v>
                </c:pt>
                <c:pt idx="30">
                  <c:v>17511</c:v>
                </c:pt>
                <c:pt idx="31">
                  <c:v>17965</c:v>
                </c:pt>
                <c:pt idx="32">
                  <c:v>17000</c:v>
                </c:pt>
                <c:pt idx="33">
                  <c:v>21322</c:v>
                </c:pt>
                <c:pt idx="34">
                  <c:v>31372</c:v>
                </c:pt>
                <c:pt idx="35">
                  <c:v>36518</c:v>
                </c:pt>
                <c:pt idx="36">
                  <c:v>42915</c:v>
                </c:pt>
                <c:pt idx="37">
                  <c:v>45971</c:v>
                </c:pt>
                <c:pt idx="38">
                  <c:v>43691</c:v>
                </c:pt>
                <c:pt idx="39">
                  <c:v>40793</c:v>
                </c:pt>
                <c:pt idx="40">
                  <c:v>40118</c:v>
                </c:pt>
                <c:pt idx="41">
                  <c:v>35669</c:v>
                </c:pt>
                <c:pt idx="42">
                  <c:v>41177</c:v>
                </c:pt>
                <c:pt idx="43">
                  <c:v>34074</c:v>
                </c:pt>
                <c:pt idx="44">
                  <c:v>34581</c:v>
                </c:pt>
                <c:pt idx="45">
                  <c:v>37309</c:v>
                </c:pt>
                <c:pt idx="46">
                  <c:v>38148</c:v>
                </c:pt>
                <c:pt idx="47">
                  <c:v>38694</c:v>
                </c:pt>
                <c:pt idx="48">
                  <c:v>36066</c:v>
                </c:pt>
                <c:pt idx="49">
                  <c:v>32031</c:v>
                </c:pt>
                <c:pt idx="50">
                  <c:v>28050</c:v>
                </c:pt>
                <c:pt idx="51">
                  <c:v>26408</c:v>
                </c:pt>
                <c:pt idx="52">
                  <c:v>21270</c:v>
                </c:pt>
                <c:pt idx="53">
                  <c:v>15568</c:v>
                </c:pt>
                <c:pt idx="54">
                  <c:v>13435</c:v>
                </c:pt>
                <c:pt idx="55">
                  <c:v>11391</c:v>
                </c:pt>
                <c:pt idx="56">
                  <c:v>11123</c:v>
                </c:pt>
                <c:pt idx="57">
                  <c:v>9232</c:v>
                </c:pt>
              </c:numCache>
            </c:numRef>
          </c:val>
        </c:ser>
        <c:ser>
          <c:idx val="1"/>
          <c:order val="1"/>
          <c:tx>
            <c:strRef>
              <c:f>'&gt;80 LTV'!$AF$5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LTV'!$AF$59:$AF$116</c:f>
              <c:numCache>
                <c:formatCode>General</c:formatCode>
                <c:ptCount val="58"/>
                <c:pt idx="0">
                  <c:v>3989</c:v>
                </c:pt>
                <c:pt idx="1">
                  <c:v>9624</c:v>
                </c:pt>
                <c:pt idx="2">
                  <c:v>15492</c:v>
                </c:pt>
                <c:pt idx="3">
                  <c:v>14090</c:v>
                </c:pt>
                <c:pt idx="4">
                  <c:v>9201</c:v>
                </c:pt>
                <c:pt idx="5">
                  <c:v>6917</c:v>
                </c:pt>
                <c:pt idx="6">
                  <c:v>9301</c:v>
                </c:pt>
                <c:pt idx="7">
                  <c:v>11962</c:v>
                </c:pt>
                <c:pt idx="8">
                  <c:v>14238</c:v>
                </c:pt>
                <c:pt idx="9">
                  <c:v>13429</c:v>
                </c:pt>
                <c:pt idx="10">
                  <c:v>10378</c:v>
                </c:pt>
                <c:pt idx="11">
                  <c:v>12269</c:v>
                </c:pt>
                <c:pt idx="12">
                  <c:v>11418</c:v>
                </c:pt>
                <c:pt idx="13">
                  <c:v>8920</c:v>
                </c:pt>
                <c:pt idx="14">
                  <c:v>11465</c:v>
                </c:pt>
                <c:pt idx="15">
                  <c:v>14145</c:v>
                </c:pt>
                <c:pt idx="16">
                  <c:v>16225</c:v>
                </c:pt>
                <c:pt idx="17">
                  <c:v>17136</c:v>
                </c:pt>
                <c:pt idx="18">
                  <c:v>19481</c:v>
                </c:pt>
                <c:pt idx="19">
                  <c:v>21472</c:v>
                </c:pt>
                <c:pt idx="20">
                  <c:v>20596</c:v>
                </c:pt>
                <c:pt idx="21">
                  <c:v>19129</c:v>
                </c:pt>
                <c:pt idx="22">
                  <c:v>14334</c:v>
                </c:pt>
                <c:pt idx="23">
                  <c:v>10378</c:v>
                </c:pt>
                <c:pt idx="24">
                  <c:v>9254</c:v>
                </c:pt>
                <c:pt idx="25">
                  <c:v>8125</c:v>
                </c:pt>
                <c:pt idx="26">
                  <c:v>8682</c:v>
                </c:pt>
                <c:pt idx="27">
                  <c:v>9175</c:v>
                </c:pt>
                <c:pt idx="28">
                  <c:v>9463</c:v>
                </c:pt>
                <c:pt idx="29">
                  <c:v>10505</c:v>
                </c:pt>
                <c:pt idx="30">
                  <c:v>12243</c:v>
                </c:pt>
                <c:pt idx="31">
                  <c:v>12815</c:v>
                </c:pt>
                <c:pt idx="32">
                  <c:v>12292</c:v>
                </c:pt>
                <c:pt idx="33">
                  <c:v>16201</c:v>
                </c:pt>
                <c:pt idx="34">
                  <c:v>23479</c:v>
                </c:pt>
                <c:pt idx="35">
                  <c:v>26624</c:v>
                </c:pt>
                <c:pt idx="36">
                  <c:v>32318</c:v>
                </c:pt>
                <c:pt idx="37">
                  <c:v>34641</c:v>
                </c:pt>
                <c:pt idx="38">
                  <c:v>31882</c:v>
                </c:pt>
                <c:pt idx="39">
                  <c:v>30538</c:v>
                </c:pt>
                <c:pt idx="40">
                  <c:v>30467</c:v>
                </c:pt>
                <c:pt idx="41">
                  <c:v>26984</c:v>
                </c:pt>
                <c:pt idx="42">
                  <c:v>31254</c:v>
                </c:pt>
                <c:pt idx="43">
                  <c:v>26414</c:v>
                </c:pt>
                <c:pt idx="44">
                  <c:v>26723</c:v>
                </c:pt>
                <c:pt idx="45">
                  <c:v>29060</c:v>
                </c:pt>
                <c:pt idx="46">
                  <c:v>29562</c:v>
                </c:pt>
                <c:pt idx="47">
                  <c:v>29526</c:v>
                </c:pt>
                <c:pt idx="48">
                  <c:v>27067</c:v>
                </c:pt>
                <c:pt idx="49">
                  <c:v>23805</c:v>
                </c:pt>
                <c:pt idx="50">
                  <c:v>20234</c:v>
                </c:pt>
                <c:pt idx="51">
                  <c:v>18538</c:v>
                </c:pt>
                <c:pt idx="52">
                  <c:v>14776</c:v>
                </c:pt>
                <c:pt idx="53">
                  <c:v>10645</c:v>
                </c:pt>
                <c:pt idx="54">
                  <c:v>9145</c:v>
                </c:pt>
                <c:pt idx="55">
                  <c:v>7887</c:v>
                </c:pt>
                <c:pt idx="56">
                  <c:v>7706</c:v>
                </c:pt>
                <c:pt idx="57">
                  <c:v>6401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649984"/>
        <c:axId val="248696832"/>
      </c:barChart>
      <c:lineChart>
        <c:grouping val="standard"/>
        <c:varyColors val="0"/>
        <c:ser>
          <c:idx val="2"/>
          <c:order val="2"/>
          <c:tx>
            <c:strRef>
              <c:f>'&gt;80 LTV'!$AG$5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'&gt;80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'&gt;80 LTV'!$AG$59:$AG$116</c:f>
              <c:numCache>
                <c:formatCode>General</c:formatCode>
                <c:ptCount val="58"/>
                <c:pt idx="0">
                  <c:v>0.76111429116580809</c:v>
                </c:pt>
                <c:pt idx="1">
                  <c:v>0.87498863533048454</c:v>
                </c:pt>
                <c:pt idx="2">
                  <c:v>0.89860788863109053</c:v>
                </c:pt>
                <c:pt idx="3">
                  <c:v>0.90176000000000001</c:v>
                </c:pt>
                <c:pt idx="4">
                  <c:v>0.89269428543708162</c:v>
                </c:pt>
                <c:pt idx="5">
                  <c:v>0.87379989893885801</c:v>
                </c:pt>
                <c:pt idx="6">
                  <c:v>0.86144299342409925</c:v>
                </c:pt>
                <c:pt idx="7">
                  <c:v>0.85302716964986092</c:v>
                </c:pt>
                <c:pt idx="8">
                  <c:v>0.83846652140627764</c:v>
                </c:pt>
                <c:pt idx="9">
                  <c:v>0.84645445950204856</c:v>
                </c:pt>
                <c:pt idx="10">
                  <c:v>0.83217063587523055</c:v>
                </c:pt>
                <c:pt idx="11">
                  <c:v>0.81219383026611947</c:v>
                </c:pt>
                <c:pt idx="12">
                  <c:v>0.81562968783484535</c:v>
                </c:pt>
                <c:pt idx="13">
                  <c:v>0.83069472899981378</c:v>
                </c:pt>
                <c:pt idx="14">
                  <c:v>0.83152016246011029</c:v>
                </c:pt>
                <c:pt idx="15">
                  <c:v>0.82733812949640284</c:v>
                </c:pt>
                <c:pt idx="16">
                  <c:v>0.81940306045149236</c:v>
                </c:pt>
                <c:pt idx="17">
                  <c:v>0.80514964995536342</c:v>
                </c:pt>
                <c:pt idx="18">
                  <c:v>0.81272423863162291</c:v>
                </c:pt>
                <c:pt idx="19">
                  <c:v>0.80287167215076283</c:v>
                </c:pt>
                <c:pt idx="20">
                  <c:v>0.80528620581795429</c:v>
                </c:pt>
                <c:pt idx="21">
                  <c:v>0.81458927734957198</c:v>
                </c:pt>
                <c:pt idx="22">
                  <c:v>0.80060321715817695</c:v>
                </c:pt>
                <c:pt idx="23">
                  <c:v>0.77598325108419319</c:v>
                </c:pt>
                <c:pt idx="24">
                  <c:v>0.76771196283391407</c:v>
                </c:pt>
                <c:pt idx="25">
                  <c:v>0.77506438996470473</c:v>
                </c:pt>
                <c:pt idx="26">
                  <c:v>0.75038893690579089</c:v>
                </c:pt>
                <c:pt idx="27">
                  <c:v>0.74635971691206382</c:v>
                </c:pt>
                <c:pt idx="28">
                  <c:v>0.71705690687277412</c:v>
                </c:pt>
                <c:pt idx="29">
                  <c:v>0.689033189033189</c:v>
                </c:pt>
                <c:pt idx="30">
                  <c:v>0.69916052766832282</c:v>
                </c:pt>
                <c:pt idx="31">
                  <c:v>0.71333147787364315</c:v>
                </c:pt>
                <c:pt idx="32">
                  <c:v>0.72305882352941175</c:v>
                </c:pt>
                <c:pt idx="33">
                  <c:v>0.75982553231404182</c:v>
                </c:pt>
                <c:pt idx="34">
                  <c:v>0.74840622210888685</c:v>
                </c:pt>
                <c:pt idx="35">
                  <c:v>0.72906511857166334</c:v>
                </c:pt>
                <c:pt idx="36">
                  <c:v>0.75307002213678198</c:v>
                </c:pt>
                <c:pt idx="37">
                  <c:v>0.75354027539100732</c:v>
                </c:pt>
                <c:pt idx="38">
                  <c:v>0.72971550204847679</c:v>
                </c:pt>
                <c:pt idx="39">
                  <c:v>0.74860882994631428</c:v>
                </c:pt>
                <c:pt idx="40">
                  <c:v>0.75943466773019597</c:v>
                </c:pt>
                <c:pt idx="41">
                  <c:v>0.75651125627295412</c:v>
                </c:pt>
                <c:pt idx="42">
                  <c:v>0.75901595550914347</c:v>
                </c:pt>
                <c:pt idx="43">
                  <c:v>0.77519516346774664</c:v>
                </c:pt>
                <c:pt idx="44">
                  <c:v>0.77276539139990164</c:v>
                </c:pt>
                <c:pt idx="45">
                  <c:v>0.77890053338336596</c:v>
                </c:pt>
                <c:pt idx="46">
                  <c:v>0.77492922302610889</c:v>
                </c:pt>
                <c:pt idx="47">
                  <c:v>0.76306404093657931</c:v>
                </c:pt>
                <c:pt idx="48">
                  <c:v>0.75048522153829089</c:v>
                </c:pt>
                <c:pt idx="49">
                  <c:v>0.74318628828322564</c:v>
                </c:pt>
                <c:pt idx="50">
                  <c:v>0.72135472370766485</c:v>
                </c:pt>
                <c:pt idx="51">
                  <c:v>0.70198424719781882</c:v>
                </c:pt>
                <c:pt idx="52">
                  <c:v>0.69468735307945462</c:v>
                </c:pt>
                <c:pt idx="53">
                  <c:v>0.68377440904419318</c:v>
                </c:pt>
                <c:pt idx="54">
                  <c:v>0.68068477856345366</c:v>
                </c:pt>
                <c:pt idx="55">
                  <c:v>0.69238872794311301</c:v>
                </c:pt>
                <c:pt idx="56">
                  <c:v>0.6927987053852378</c:v>
                </c:pt>
                <c:pt idx="57">
                  <c:v>0.69334922010398614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43264"/>
        <c:axId val="373862400"/>
      </c:lineChart>
      <c:dateAx>
        <c:axId val="248649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48696832"/>
        <c:crosses val="autoZero"/>
        <c:auto val="1"/>
        <c:lblOffset val="100"/>
        <c:baseTimeUnit val="months"/>
      </c:dateAx>
      <c:valAx>
        <c:axId val="24869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649984"/>
        <c:crosses val="autoZero"/>
        <c:crossBetween val="between"/>
      </c:valAx>
      <c:valAx>
        <c:axId val="373862400"/>
        <c:scaling>
          <c:orientation val="minMax"/>
          <c:min val="0.60000000000000009"/>
        </c:scaling>
        <c:delete val="0"/>
        <c:axPos val="r"/>
        <c:numFmt formatCode="General" sourceLinked="1"/>
        <c:majorTickMark val="out"/>
        <c:minorTickMark val="none"/>
        <c:tickLblPos val="nextTo"/>
        <c:crossAx val="325243264"/>
        <c:crosses val="max"/>
        <c:crossBetween val="between"/>
      </c:valAx>
      <c:dateAx>
        <c:axId val="3252432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73862400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'&lt;80 LTV'!#REF!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numRef>
              <c:f>'&lt;80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'&lt;80 LTV'!$AE$5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'&lt;80 LTV'!$AD$59:$AD$116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LTV'!$AE$59:$AE$116</c:f>
              <c:numCache>
                <c:formatCode>General</c:formatCode>
                <c:ptCount val="58"/>
                <c:pt idx="0">
                  <c:v>5953</c:v>
                </c:pt>
                <c:pt idx="1">
                  <c:v>6493</c:v>
                </c:pt>
                <c:pt idx="2">
                  <c:v>9314</c:v>
                </c:pt>
                <c:pt idx="3">
                  <c:v>7894</c:v>
                </c:pt>
                <c:pt idx="4">
                  <c:v>6811</c:v>
                </c:pt>
                <c:pt idx="5">
                  <c:v>5916</c:v>
                </c:pt>
                <c:pt idx="6">
                  <c:v>8736</c:v>
                </c:pt>
                <c:pt idx="7">
                  <c:v>11591</c:v>
                </c:pt>
                <c:pt idx="8">
                  <c:v>12430</c:v>
                </c:pt>
                <c:pt idx="9">
                  <c:v>11337</c:v>
                </c:pt>
                <c:pt idx="10">
                  <c:v>7398</c:v>
                </c:pt>
                <c:pt idx="11">
                  <c:v>9296</c:v>
                </c:pt>
                <c:pt idx="12">
                  <c:v>8659</c:v>
                </c:pt>
                <c:pt idx="13">
                  <c:v>6860</c:v>
                </c:pt>
                <c:pt idx="14">
                  <c:v>10578</c:v>
                </c:pt>
                <c:pt idx="15">
                  <c:v>14744</c:v>
                </c:pt>
                <c:pt idx="16">
                  <c:v>17921</c:v>
                </c:pt>
                <c:pt idx="17">
                  <c:v>21714</c:v>
                </c:pt>
                <c:pt idx="18">
                  <c:v>24778</c:v>
                </c:pt>
                <c:pt idx="19">
                  <c:v>24580</c:v>
                </c:pt>
                <c:pt idx="20">
                  <c:v>18794</c:v>
                </c:pt>
                <c:pt idx="21">
                  <c:v>16236</c:v>
                </c:pt>
                <c:pt idx="22">
                  <c:v>10056</c:v>
                </c:pt>
                <c:pt idx="23">
                  <c:v>6737</c:v>
                </c:pt>
                <c:pt idx="24">
                  <c:v>6499</c:v>
                </c:pt>
                <c:pt idx="25">
                  <c:v>5248</c:v>
                </c:pt>
                <c:pt idx="26">
                  <c:v>5884</c:v>
                </c:pt>
                <c:pt idx="27">
                  <c:v>7068</c:v>
                </c:pt>
                <c:pt idx="28">
                  <c:v>6816</c:v>
                </c:pt>
                <c:pt idx="29">
                  <c:v>9135</c:v>
                </c:pt>
                <c:pt idx="30">
                  <c:v>10292</c:v>
                </c:pt>
                <c:pt idx="31">
                  <c:v>11417</c:v>
                </c:pt>
                <c:pt idx="32">
                  <c:v>9269</c:v>
                </c:pt>
                <c:pt idx="33">
                  <c:v>8922</c:v>
                </c:pt>
                <c:pt idx="34">
                  <c:v>8853</c:v>
                </c:pt>
                <c:pt idx="35">
                  <c:v>8315</c:v>
                </c:pt>
                <c:pt idx="36">
                  <c:v>7196</c:v>
                </c:pt>
                <c:pt idx="37">
                  <c:v>7036</c:v>
                </c:pt>
                <c:pt idx="38">
                  <c:v>7422</c:v>
                </c:pt>
                <c:pt idx="39">
                  <c:v>9405</c:v>
                </c:pt>
                <c:pt idx="40">
                  <c:v>10321</c:v>
                </c:pt>
                <c:pt idx="41">
                  <c:v>12488</c:v>
                </c:pt>
                <c:pt idx="42">
                  <c:v>12942</c:v>
                </c:pt>
                <c:pt idx="43">
                  <c:v>12016</c:v>
                </c:pt>
                <c:pt idx="44">
                  <c:v>12440</c:v>
                </c:pt>
                <c:pt idx="45">
                  <c:v>13546</c:v>
                </c:pt>
                <c:pt idx="46">
                  <c:v>13745</c:v>
                </c:pt>
                <c:pt idx="47">
                  <c:v>13727</c:v>
                </c:pt>
                <c:pt idx="48">
                  <c:v>12708</c:v>
                </c:pt>
                <c:pt idx="49">
                  <c:v>12523</c:v>
                </c:pt>
                <c:pt idx="50">
                  <c:v>10664</c:v>
                </c:pt>
                <c:pt idx="51">
                  <c:v>9167</c:v>
                </c:pt>
                <c:pt idx="52">
                  <c:v>6830</c:v>
                </c:pt>
                <c:pt idx="53">
                  <c:v>5333</c:v>
                </c:pt>
                <c:pt idx="54">
                  <c:v>5032</c:v>
                </c:pt>
                <c:pt idx="55">
                  <c:v>4513</c:v>
                </c:pt>
                <c:pt idx="56">
                  <c:v>4501</c:v>
                </c:pt>
                <c:pt idx="57">
                  <c:v>3808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882176"/>
        <c:axId val="342883712"/>
      </c:barChart>
      <c:dateAx>
        <c:axId val="342882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2883712"/>
        <c:crosses val="autoZero"/>
        <c:auto val="1"/>
        <c:lblOffset val="100"/>
        <c:baseTimeUnit val="months"/>
      </c:dateAx>
      <c:valAx>
        <c:axId val="34288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88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'&lt;80 LTV'!$AH$5</c:f>
              <c:strCache>
                <c:ptCount val="1"/>
                <c:pt idx="0">
                  <c:v>Ratio HARP/Refi</c:v>
                </c:pt>
              </c:strCache>
            </c:strRef>
          </c:tx>
          <c:marker>
            <c:symbol val="none"/>
          </c:marker>
          <c:trendline>
            <c:spPr>
              <a:ln w="22225">
                <a:solidFill>
                  <a:srgbClr val="C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'&lt;80 LTV'!$AG$59:$AG$116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'&lt;80 LTV'!$AH$59:$AH$116</c:f>
              <c:numCache>
                <c:formatCode>0%</c:formatCode>
                <c:ptCount val="58"/>
                <c:pt idx="0">
                  <c:v>3.5867495722170004E-2</c:v>
                </c:pt>
                <c:pt idx="1">
                  <c:v>3.790426152948044E-2</c:v>
                </c:pt>
                <c:pt idx="2">
                  <c:v>6.1672316982731221E-2</c:v>
                </c:pt>
                <c:pt idx="3">
                  <c:v>7.3438023294756821E-2</c:v>
                </c:pt>
                <c:pt idx="4">
                  <c:v>0.10139037751577945</c:v>
                </c:pt>
                <c:pt idx="5">
                  <c:v>9.9508847473592135E-2</c:v>
                </c:pt>
                <c:pt idx="6">
                  <c:v>0.1171830985915493</c:v>
                </c:pt>
                <c:pt idx="7">
                  <c:v>0.14222958463709431</c:v>
                </c:pt>
                <c:pt idx="8">
                  <c:v>0.13966135211963909</c:v>
                </c:pt>
                <c:pt idx="9">
                  <c:v>0.14319094652284842</c:v>
                </c:pt>
                <c:pt idx="10">
                  <c:v>0.12261336515513127</c:v>
                </c:pt>
                <c:pt idx="11">
                  <c:v>0.13867382710524354</c:v>
                </c:pt>
                <c:pt idx="12">
                  <c:v>0.14573025009256454</c:v>
                </c:pt>
                <c:pt idx="13">
                  <c:v>0.1367541813687379</c:v>
                </c:pt>
                <c:pt idx="14">
                  <c:v>0.17068172650262203</c:v>
                </c:pt>
                <c:pt idx="15">
                  <c:v>0.18152717244096428</c:v>
                </c:pt>
                <c:pt idx="16">
                  <c:v>0.16244119539896487</c:v>
                </c:pt>
                <c:pt idx="17">
                  <c:v>0.1730847408989821</c:v>
                </c:pt>
                <c:pt idx="18">
                  <c:v>0.17929088277858177</c:v>
                </c:pt>
                <c:pt idx="19">
                  <c:v>0.18725621647976598</c:v>
                </c:pt>
                <c:pt idx="20">
                  <c:v>0.16538190777895106</c:v>
                </c:pt>
                <c:pt idx="21">
                  <c:v>0.18349494812504238</c:v>
                </c:pt>
                <c:pt idx="22">
                  <c:v>0.1758503103960829</c:v>
                </c:pt>
                <c:pt idx="23">
                  <c:v>0.13708134944858177</c:v>
                </c:pt>
                <c:pt idx="24">
                  <c:v>0.15627103972299702</c:v>
                </c:pt>
                <c:pt idx="25">
                  <c:v>0.15095642168847978</c:v>
                </c:pt>
                <c:pt idx="26">
                  <c:v>0.13489534377220935</c:v>
                </c:pt>
                <c:pt idx="27">
                  <c:v>0.144286122565631</c:v>
                </c:pt>
                <c:pt idx="28">
                  <c:v>0.12597959485435459</c:v>
                </c:pt>
                <c:pt idx="29">
                  <c:v>0.10552885726167922</c:v>
                </c:pt>
                <c:pt idx="30">
                  <c:v>0.10755677246078442</c:v>
                </c:pt>
                <c:pt idx="31">
                  <c:v>0.12746170678336979</c:v>
                </c:pt>
                <c:pt idx="32">
                  <c:v>0.10674267288535728</c:v>
                </c:pt>
                <c:pt idx="33">
                  <c:v>0.11400022999373906</c:v>
                </c:pt>
                <c:pt idx="34">
                  <c:v>0.10913596074902304</c:v>
                </c:pt>
                <c:pt idx="35">
                  <c:v>0.10279900106322479</c:v>
                </c:pt>
                <c:pt idx="36">
                  <c:v>0.1050449608781969</c:v>
                </c:pt>
                <c:pt idx="37">
                  <c:v>0.10985510866849862</c:v>
                </c:pt>
                <c:pt idx="38">
                  <c:v>0.11381166331866345</c:v>
                </c:pt>
                <c:pt idx="39">
                  <c:v>0.12026854219948849</c:v>
                </c:pt>
                <c:pt idx="40">
                  <c:v>0.10633080925153247</c:v>
                </c:pt>
                <c:pt idx="41">
                  <c:v>0.11193474656030117</c:v>
                </c:pt>
                <c:pt idx="42">
                  <c:v>0.11460501031639909</c:v>
                </c:pt>
                <c:pt idx="43">
                  <c:v>0.12030316076130596</c:v>
                </c:pt>
                <c:pt idx="44">
                  <c:v>0.11375378341060179</c:v>
                </c:pt>
                <c:pt idx="45">
                  <c:v>0.11354568315171835</c:v>
                </c:pt>
                <c:pt idx="46">
                  <c:v>0.12163178620415026</c:v>
                </c:pt>
                <c:pt idx="47">
                  <c:v>0.13234797867314571</c:v>
                </c:pt>
                <c:pt idx="48">
                  <c:v>0.13361792507386416</c:v>
                </c:pt>
                <c:pt idx="49">
                  <c:v>0.12219945355191257</c:v>
                </c:pt>
                <c:pt idx="50">
                  <c:v>0.12528931445691124</c:v>
                </c:pt>
                <c:pt idx="51">
                  <c:v>0.1370377014380961</c:v>
                </c:pt>
                <c:pt idx="52">
                  <c:v>0.14270789803593814</c:v>
                </c:pt>
                <c:pt idx="53">
                  <c:v>0.14586182375143592</c:v>
                </c:pt>
                <c:pt idx="54">
                  <c:v>0.14363600034253418</c:v>
                </c:pt>
                <c:pt idx="55">
                  <c:v>0.12865980557060183</c:v>
                </c:pt>
                <c:pt idx="56">
                  <c:v>0.12727272727272726</c:v>
                </c:pt>
                <c:pt idx="57">
                  <c:v>0.14410050707636418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017792"/>
        <c:axId val="370019328"/>
      </c:lineChart>
      <c:dateAx>
        <c:axId val="37001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0019328"/>
        <c:crosses val="autoZero"/>
        <c:auto val="1"/>
        <c:lblOffset val="100"/>
        <c:baseTimeUnit val="months"/>
      </c:dateAx>
      <c:valAx>
        <c:axId val="3700193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001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LTV filter'!$AE$5</c:f>
              <c:strCache>
                <c:ptCount val="1"/>
                <c:pt idx="0">
                  <c:v>HARP-I</c:v>
                </c:pt>
              </c:strCache>
            </c:strRef>
          </c:tx>
          <c:invertIfNegative val="0"/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filter'!$AE$59:$AE$116</c:f>
              <c:numCache>
                <c:formatCode>General</c:formatCode>
                <c:ptCount val="58"/>
                <c:pt idx="0">
                  <c:v>5241</c:v>
                </c:pt>
                <c:pt idx="1">
                  <c:v>10999</c:v>
                </c:pt>
                <c:pt idx="2">
                  <c:v>17240</c:v>
                </c:pt>
                <c:pt idx="3">
                  <c:v>15625</c:v>
                </c:pt>
                <c:pt idx="4">
                  <c:v>10307</c:v>
                </c:pt>
                <c:pt idx="5">
                  <c:v>7916</c:v>
                </c:pt>
                <c:pt idx="6">
                  <c:v>10797</c:v>
                </c:pt>
                <c:pt idx="7">
                  <c:v>14023</c:v>
                </c:pt>
                <c:pt idx="8">
                  <c:v>16981</c:v>
                </c:pt>
                <c:pt idx="9">
                  <c:v>15865</c:v>
                </c:pt>
                <c:pt idx="10">
                  <c:v>12471</c:v>
                </c:pt>
                <c:pt idx="11">
                  <c:v>15106</c:v>
                </c:pt>
                <c:pt idx="12">
                  <c:v>13999</c:v>
                </c:pt>
                <c:pt idx="13">
                  <c:v>10738</c:v>
                </c:pt>
                <c:pt idx="14">
                  <c:v>13788</c:v>
                </c:pt>
                <c:pt idx="15">
                  <c:v>17097</c:v>
                </c:pt>
                <c:pt idx="16">
                  <c:v>19801</c:v>
                </c:pt>
                <c:pt idx="17">
                  <c:v>21283</c:v>
                </c:pt>
                <c:pt idx="18">
                  <c:v>23970</c:v>
                </c:pt>
                <c:pt idx="19">
                  <c:v>26744</c:v>
                </c:pt>
                <c:pt idx="20">
                  <c:v>25576</c:v>
                </c:pt>
                <c:pt idx="21">
                  <c:v>23483</c:v>
                </c:pt>
                <c:pt idx="22">
                  <c:v>17904</c:v>
                </c:pt>
                <c:pt idx="23">
                  <c:v>13374</c:v>
                </c:pt>
                <c:pt idx="24">
                  <c:v>12054</c:v>
                </c:pt>
                <c:pt idx="25">
                  <c:v>10483</c:v>
                </c:pt>
                <c:pt idx="26">
                  <c:v>11570</c:v>
                </c:pt>
                <c:pt idx="27">
                  <c:v>12293</c:v>
                </c:pt>
                <c:pt idx="28">
                  <c:v>13197</c:v>
                </c:pt>
                <c:pt idx="29">
                  <c:v>15246</c:v>
                </c:pt>
                <c:pt idx="30">
                  <c:v>17511</c:v>
                </c:pt>
                <c:pt idx="31">
                  <c:v>17965</c:v>
                </c:pt>
                <c:pt idx="32">
                  <c:v>17000</c:v>
                </c:pt>
                <c:pt idx="33">
                  <c:v>21322</c:v>
                </c:pt>
                <c:pt idx="34">
                  <c:v>31372</c:v>
                </c:pt>
                <c:pt idx="35">
                  <c:v>36518</c:v>
                </c:pt>
                <c:pt idx="36">
                  <c:v>42915</c:v>
                </c:pt>
                <c:pt idx="37">
                  <c:v>45971</c:v>
                </c:pt>
                <c:pt idx="38">
                  <c:v>43691</c:v>
                </c:pt>
                <c:pt idx="39">
                  <c:v>40793</c:v>
                </c:pt>
                <c:pt idx="40">
                  <c:v>40118</c:v>
                </c:pt>
                <c:pt idx="41">
                  <c:v>35669</c:v>
                </c:pt>
                <c:pt idx="42">
                  <c:v>41177</c:v>
                </c:pt>
                <c:pt idx="43">
                  <c:v>34074</c:v>
                </c:pt>
                <c:pt idx="44">
                  <c:v>34581</c:v>
                </c:pt>
                <c:pt idx="45">
                  <c:v>37309</c:v>
                </c:pt>
                <c:pt idx="46">
                  <c:v>38148</c:v>
                </c:pt>
                <c:pt idx="47">
                  <c:v>38694</c:v>
                </c:pt>
                <c:pt idx="48">
                  <c:v>36066</c:v>
                </c:pt>
                <c:pt idx="49">
                  <c:v>32031</c:v>
                </c:pt>
                <c:pt idx="50">
                  <c:v>28050</c:v>
                </c:pt>
                <c:pt idx="51">
                  <c:v>26408</c:v>
                </c:pt>
                <c:pt idx="52">
                  <c:v>21270</c:v>
                </c:pt>
                <c:pt idx="53">
                  <c:v>15568</c:v>
                </c:pt>
                <c:pt idx="54">
                  <c:v>13435</c:v>
                </c:pt>
                <c:pt idx="55">
                  <c:v>11391</c:v>
                </c:pt>
                <c:pt idx="56">
                  <c:v>11123</c:v>
                </c:pt>
                <c:pt idx="57">
                  <c:v>9232</c:v>
                </c:pt>
              </c:numCache>
            </c:numRef>
          </c:val>
        </c:ser>
        <c:ser>
          <c:idx val="1"/>
          <c:order val="1"/>
          <c:tx>
            <c:strRef>
              <c:f>'no LTV filter'!$AF$5</c:f>
              <c:strCache>
                <c:ptCount val="1"/>
                <c:pt idx="0">
                  <c:v>HARP-II</c:v>
                </c:pt>
              </c:strCache>
            </c:strRef>
          </c:tx>
          <c:invertIfNegative val="0"/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filter'!$AF$59:$AF$116</c:f>
              <c:numCache>
                <c:formatCode>General</c:formatCode>
                <c:ptCount val="58"/>
                <c:pt idx="0">
                  <c:v>10790</c:v>
                </c:pt>
                <c:pt idx="1">
                  <c:v>16758</c:v>
                </c:pt>
                <c:pt idx="2">
                  <c:v>25620</c:v>
                </c:pt>
                <c:pt idx="3">
                  <c:v>22688</c:v>
                </c:pt>
                <c:pt idx="4">
                  <c:v>16479</c:v>
                </c:pt>
                <c:pt idx="5">
                  <c:v>13189</c:v>
                </c:pt>
                <c:pt idx="6">
                  <c:v>18596</c:v>
                </c:pt>
                <c:pt idx="7">
                  <c:v>24193</c:v>
                </c:pt>
                <c:pt idx="8">
                  <c:v>27350</c:v>
                </c:pt>
                <c:pt idx="9">
                  <c:v>25447</c:v>
                </c:pt>
                <c:pt idx="10">
                  <c:v>18219</c:v>
                </c:pt>
                <c:pt idx="11">
                  <c:v>22090</c:v>
                </c:pt>
                <c:pt idx="12">
                  <c:v>20516</c:v>
                </c:pt>
                <c:pt idx="13">
                  <c:v>16163</c:v>
                </c:pt>
                <c:pt idx="14">
                  <c:v>22576</c:v>
                </c:pt>
                <c:pt idx="15">
                  <c:v>29614</c:v>
                </c:pt>
                <c:pt idx="16">
                  <c:v>35065</c:v>
                </c:pt>
                <c:pt idx="17">
                  <c:v>39875</c:v>
                </c:pt>
                <c:pt idx="18">
                  <c:v>45297</c:v>
                </c:pt>
                <c:pt idx="19">
                  <c:v>47142</c:v>
                </c:pt>
                <c:pt idx="20">
                  <c:v>40362</c:v>
                </c:pt>
                <c:pt idx="21">
                  <c:v>36120</c:v>
                </c:pt>
                <c:pt idx="22">
                  <c:v>24843</c:v>
                </c:pt>
                <c:pt idx="23">
                  <c:v>17450</c:v>
                </c:pt>
                <c:pt idx="24">
                  <c:v>16099</c:v>
                </c:pt>
                <c:pt idx="25">
                  <c:v>13670</c:v>
                </c:pt>
                <c:pt idx="26">
                  <c:v>14894</c:v>
                </c:pt>
                <c:pt idx="27">
                  <c:v>16583</c:v>
                </c:pt>
                <c:pt idx="28">
                  <c:v>16642</c:v>
                </c:pt>
                <c:pt idx="29">
                  <c:v>20053</c:v>
                </c:pt>
                <c:pt idx="30">
                  <c:v>23033</c:v>
                </c:pt>
                <c:pt idx="31">
                  <c:v>24747</c:v>
                </c:pt>
                <c:pt idx="32">
                  <c:v>22030</c:v>
                </c:pt>
                <c:pt idx="33">
                  <c:v>25627</c:v>
                </c:pt>
                <c:pt idx="34">
                  <c:v>32853</c:v>
                </c:pt>
                <c:pt idx="35">
                  <c:v>35404</c:v>
                </c:pt>
                <c:pt idx="36">
                  <c:v>39938</c:v>
                </c:pt>
                <c:pt idx="37">
                  <c:v>42088</c:v>
                </c:pt>
                <c:pt idx="38">
                  <c:v>39698</c:v>
                </c:pt>
                <c:pt idx="39">
                  <c:v>40424</c:v>
                </c:pt>
                <c:pt idx="40">
                  <c:v>41309</c:v>
                </c:pt>
                <c:pt idx="41">
                  <c:v>40014</c:v>
                </c:pt>
                <c:pt idx="42">
                  <c:v>44818</c:v>
                </c:pt>
                <c:pt idx="43">
                  <c:v>38993</c:v>
                </c:pt>
                <c:pt idx="44">
                  <c:v>39751</c:v>
                </c:pt>
                <c:pt idx="45">
                  <c:v>43204</c:v>
                </c:pt>
                <c:pt idx="46">
                  <c:v>43907</c:v>
                </c:pt>
                <c:pt idx="47">
                  <c:v>43909</c:v>
                </c:pt>
                <c:pt idx="48">
                  <c:v>40410</c:v>
                </c:pt>
                <c:pt idx="49">
                  <c:v>36908</c:v>
                </c:pt>
                <c:pt idx="50">
                  <c:v>31392</c:v>
                </c:pt>
                <c:pt idx="51">
                  <c:v>28178</c:v>
                </c:pt>
                <c:pt idx="52">
                  <c:v>21968</c:v>
                </c:pt>
                <c:pt idx="53">
                  <c:v>16212</c:v>
                </c:pt>
                <c:pt idx="54">
                  <c:v>14456</c:v>
                </c:pt>
                <c:pt idx="55">
                  <c:v>12652</c:v>
                </c:pt>
                <c:pt idx="56">
                  <c:v>12421</c:v>
                </c:pt>
                <c:pt idx="57">
                  <c:v>10411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919808"/>
        <c:axId val="300946176"/>
      </c:barChart>
      <c:lineChart>
        <c:grouping val="standard"/>
        <c:varyColors val="0"/>
        <c:ser>
          <c:idx val="2"/>
          <c:order val="2"/>
          <c:tx>
            <c:strRef>
              <c:f>'no LTV filter'!$AG$5</c:f>
              <c:strCache>
                <c:ptCount val="1"/>
                <c:pt idx="0">
                  <c:v>Ratio II/I</c:v>
                </c:pt>
              </c:strCache>
            </c:strRef>
          </c:tx>
          <c:marker>
            <c:symbol val="none"/>
          </c:marker>
          <c:trendline>
            <c:trendlineType val="linear"/>
            <c:dispRSqr val="0"/>
            <c:dispEq val="0"/>
          </c:trendline>
          <c:cat>
            <c:numRef>
              <c:f>'no LTV filter'!$AD$59:$AD$116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'no LTV filter'!$AG$59:$AG$116</c:f>
              <c:numCache>
                <c:formatCode>General</c:formatCode>
                <c:ptCount val="58"/>
                <c:pt idx="0">
                  <c:v>2.0587674107994656</c:v>
                </c:pt>
                <c:pt idx="1">
                  <c:v>1.5235930539139921</c:v>
                </c:pt>
                <c:pt idx="2">
                  <c:v>1.4860788863109049</c:v>
                </c:pt>
                <c:pt idx="3">
                  <c:v>1.452032</c:v>
                </c:pt>
                <c:pt idx="4">
                  <c:v>1.5988163384107887</c:v>
                </c:pt>
                <c:pt idx="5">
                  <c:v>1.6661192521475492</c:v>
                </c:pt>
                <c:pt idx="6">
                  <c:v>1.7223302769287765</c:v>
                </c:pt>
                <c:pt idx="7">
                  <c:v>1.7252371104613848</c:v>
                </c:pt>
                <c:pt idx="8">
                  <c:v>1.6106236381838526</c:v>
                </c:pt>
                <c:pt idx="9">
                  <c:v>1.6039710053577056</c:v>
                </c:pt>
                <c:pt idx="10">
                  <c:v>1.4609093095982679</c:v>
                </c:pt>
                <c:pt idx="11">
                  <c:v>1.4623328478750166</c:v>
                </c:pt>
                <c:pt idx="12">
                  <c:v>1.4655332523751696</c:v>
                </c:pt>
                <c:pt idx="13">
                  <c:v>1.5052151238591918</c:v>
                </c:pt>
                <c:pt idx="14">
                  <c:v>1.6373658253553816</c:v>
                </c:pt>
                <c:pt idx="15">
                  <c:v>1.7321167456278879</c:v>
                </c:pt>
                <c:pt idx="16">
                  <c:v>1.7708701580728246</c:v>
                </c:pt>
                <c:pt idx="17">
                  <c:v>1.8735610581215054</c:v>
                </c:pt>
                <c:pt idx="18">
                  <c:v>1.8897371714643305</c:v>
                </c:pt>
                <c:pt idx="19">
                  <c:v>1.7627131319174394</c:v>
                </c:pt>
                <c:pt idx="20">
                  <c:v>1.5781201126055677</c:v>
                </c:pt>
                <c:pt idx="21">
                  <c:v>1.5381339692543543</c:v>
                </c:pt>
                <c:pt idx="22">
                  <c:v>1.3875670241286864</c:v>
                </c:pt>
                <c:pt idx="23">
                  <c:v>1.3047704501271122</c:v>
                </c:pt>
                <c:pt idx="24">
                  <c:v>1.3355732536917206</c:v>
                </c:pt>
                <c:pt idx="25">
                  <c:v>1.304016025946771</c:v>
                </c:pt>
                <c:pt idx="26">
                  <c:v>1.287294727744166</c:v>
                </c:pt>
                <c:pt idx="27">
                  <c:v>1.3489790937932156</c:v>
                </c:pt>
                <c:pt idx="28">
                  <c:v>1.2610441767068272</c:v>
                </c:pt>
                <c:pt idx="29">
                  <c:v>1.3152958152958152</c:v>
                </c:pt>
                <c:pt idx="30">
                  <c:v>1.3153446405116784</c:v>
                </c:pt>
                <c:pt idx="31">
                  <c:v>1.3775118285555246</c:v>
                </c:pt>
                <c:pt idx="32">
                  <c:v>1.2958823529411765</c:v>
                </c:pt>
                <c:pt idx="33">
                  <c:v>1.2019041365725542</c:v>
                </c:pt>
                <c:pt idx="34">
                  <c:v>1.0472077011347698</c:v>
                </c:pt>
                <c:pt idx="35">
                  <c:v>0.96949449586505287</c:v>
                </c:pt>
                <c:pt idx="36">
                  <c:v>0.9306303157404171</c:v>
                </c:pt>
                <c:pt idx="37">
                  <c:v>0.91553370603206374</c:v>
                </c:pt>
                <c:pt idx="38">
                  <c:v>0.90860818017440659</c:v>
                </c:pt>
                <c:pt idx="39">
                  <c:v>0.9909543303998235</c:v>
                </c:pt>
                <c:pt idx="40">
                  <c:v>1.0296874221047909</c:v>
                </c:pt>
                <c:pt idx="41">
                  <c:v>1.1218144607362135</c:v>
                </c:pt>
                <c:pt idx="42">
                  <c:v>1.0884231488452292</c:v>
                </c:pt>
                <c:pt idx="43">
                  <c:v>1.1443622703527616</c:v>
                </c:pt>
                <c:pt idx="44">
                  <c:v>1.1495040629247275</c:v>
                </c:pt>
                <c:pt idx="45">
                  <c:v>1.1580047709667909</c:v>
                </c:pt>
                <c:pt idx="46">
                  <c:v>1.1509646639404425</c:v>
                </c:pt>
                <c:pt idx="47">
                  <c:v>1.1347754173773712</c:v>
                </c:pt>
                <c:pt idx="48">
                  <c:v>1.1204458492763267</c:v>
                </c:pt>
                <c:pt idx="49">
                  <c:v>1.1522587493365801</c:v>
                </c:pt>
                <c:pt idx="50">
                  <c:v>1.119144385026738</c:v>
                </c:pt>
                <c:pt idx="51">
                  <c:v>1.0670251438957892</c:v>
                </c:pt>
                <c:pt idx="52">
                  <c:v>1.0328161730136343</c:v>
                </c:pt>
                <c:pt idx="53">
                  <c:v>1.0413669064748201</c:v>
                </c:pt>
                <c:pt idx="54">
                  <c:v>1.0759955340528471</c:v>
                </c:pt>
                <c:pt idx="55">
                  <c:v>1.1107014309542622</c:v>
                </c:pt>
                <c:pt idx="56">
                  <c:v>1.1166951362042614</c:v>
                </c:pt>
                <c:pt idx="57">
                  <c:v>1.127707972270364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965888"/>
        <c:axId val="300947712"/>
      </c:lineChart>
      <c:dateAx>
        <c:axId val="300919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0946176"/>
        <c:crosses val="autoZero"/>
        <c:auto val="1"/>
        <c:lblOffset val="100"/>
        <c:baseTimeUnit val="months"/>
      </c:dateAx>
      <c:valAx>
        <c:axId val="30094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0919808"/>
        <c:crosses val="autoZero"/>
        <c:crossBetween val="between"/>
      </c:valAx>
      <c:valAx>
        <c:axId val="300947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00965888"/>
        <c:crosses val="max"/>
        <c:crossBetween val="between"/>
      </c:valAx>
      <c:dateAx>
        <c:axId val="3009658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094771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261936</xdr:colOff>
      <xdr:row>21</xdr:row>
      <xdr:rowOff>128587</xdr:rowOff>
    </xdr:from>
    <xdr:to>
      <xdr:col>20</xdr:col>
      <xdr:colOff>495299</xdr:colOff>
      <xdr:row>36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38</xdr:row>
      <xdr:rowOff>9525</xdr:rowOff>
    </xdr:from>
    <xdr:to>
      <xdr:col>20</xdr:col>
      <xdr:colOff>409574</xdr:colOff>
      <xdr:row>55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161924</xdr:colOff>
      <xdr:row>2</xdr:row>
      <xdr:rowOff>133350</xdr:rowOff>
    </xdr:from>
    <xdr:to>
      <xdr:col>20</xdr:col>
      <xdr:colOff>533399</xdr:colOff>
      <xdr:row>19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285750</xdr:colOff>
      <xdr:row>58</xdr:row>
      <xdr:rowOff>9525</xdr:rowOff>
    </xdr:from>
    <xdr:to>
      <xdr:col>20</xdr:col>
      <xdr:colOff>419100</xdr:colOff>
      <xdr:row>72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39</xdr:row>
      <xdr:rowOff>76200</xdr:rowOff>
    </xdr:from>
    <xdr:to>
      <xdr:col>18</xdr:col>
      <xdr:colOff>342900</xdr:colOff>
      <xdr:row>53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228600</xdr:colOff>
      <xdr:row>39</xdr:row>
      <xdr:rowOff>76200</xdr:rowOff>
    </xdr:from>
    <xdr:to>
      <xdr:col>26</xdr:col>
      <xdr:colOff>533400</xdr:colOff>
      <xdr:row>53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47625</xdr:colOff>
      <xdr:row>55</xdr:row>
      <xdr:rowOff>0</xdr:rowOff>
    </xdr:from>
    <xdr:to>
      <xdr:col>18</xdr:col>
      <xdr:colOff>352425</xdr:colOff>
      <xdr:row>69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238125</xdr:colOff>
      <xdr:row>55</xdr:row>
      <xdr:rowOff>0</xdr:rowOff>
    </xdr:from>
    <xdr:to>
      <xdr:col>26</xdr:col>
      <xdr:colOff>542925</xdr:colOff>
      <xdr:row>69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74</xdr:row>
      <xdr:rowOff>0</xdr:rowOff>
    </xdr:from>
    <xdr:to>
      <xdr:col>18</xdr:col>
      <xdr:colOff>304800</xdr:colOff>
      <xdr:row>88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190500</xdr:colOff>
      <xdr:row>74</xdr:row>
      <xdr:rowOff>0</xdr:rowOff>
    </xdr:from>
    <xdr:to>
      <xdr:col>26</xdr:col>
      <xdr:colOff>495300</xdr:colOff>
      <xdr:row>88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18</xdr:col>
      <xdr:colOff>304800</xdr:colOff>
      <xdr:row>104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190500</xdr:colOff>
      <xdr:row>90</xdr:row>
      <xdr:rowOff>0</xdr:rowOff>
    </xdr:from>
    <xdr:to>
      <xdr:col>26</xdr:col>
      <xdr:colOff>495300</xdr:colOff>
      <xdr:row>104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123824</xdr:colOff>
      <xdr:row>9</xdr:row>
      <xdr:rowOff>47624</xdr:rowOff>
    </xdr:from>
    <xdr:to>
      <xdr:col>38</xdr:col>
      <xdr:colOff>190500</xdr:colOff>
      <xdr:row>39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366711</xdr:colOff>
      <xdr:row>8</xdr:row>
      <xdr:rowOff>90486</xdr:rowOff>
    </xdr:from>
    <xdr:to>
      <xdr:col>29</xdr:col>
      <xdr:colOff>342899</xdr:colOff>
      <xdr:row>27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33</xdr:row>
      <xdr:rowOff>14287</xdr:rowOff>
    </xdr:from>
    <xdr:to>
      <xdr:col>29</xdr:col>
      <xdr:colOff>361950</xdr:colOff>
      <xdr:row>47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185736</xdr:colOff>
      <xdr:row>20</xdr:row>
      <xdr:rowOff>33336</xdr:rowOff>
    </xdr:from>
    <xdr:to>
      <xdr:col>29</xdr:col>
      <xdr:colOff>161924</xdr:colOff>
      <xdr:row>38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384.439472453705" createdVersion="4" refreshedVersion="4" minRefreshableVersion="3" recordCount="3229">
  <cacheSource type="worksheet">
    <worksheetSource ref="A1:C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" maxValue="136772"/>
    </cacheField>
    <cacheField name="HARPStatus" numFmtId="0">
      <sharedItems containsBlank="1" count="6">
        <s v="&lt; 2009-06"/>
        <s v="N/A"/>
        <s v="NON-HARP"/>
        <s v="HARP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384.454007870372" createdVersion="4" refreshedVersion="4" minRefreshableVersion="3" recordCount="368">
  <cacheSource type="worksheet">
    <worksheetSource ref="U1:W1048576" sheet="Sheet1"/>
  </cacheSource>
  <cacheFields count="3">
    <cacheField name="poolIssueDate" numFmtId="0">
      <sharedItems containsNonDate="0" containsDate="1" containsString="0" containsBlank="1" minDate="2005-12-01T00:00:00" maxDate="2016-01-02T00:00:00" count="123"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m/>
      </sharedItems>
    </cacheField>
    <cacheField name="count()" numFmtId="0">
      <sharedItems containsString="0" containsBlank="1" containsNumber="1" containsInteger="1" minValue="177" maxValue="187401"/>
    </cacheField>
    <cacheField name="MHAStatus" numFmtId="0">
      <sharedItems containsBlank="1" count="4">
        <s v="MHA-ELIGIBLE"/>
        <s v="NOMHA-REFI"/>
        <s v="NOMHA-PURCHA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388.736453587961" createdVersion="4" refreshedVersion="4" minRefreshableVersion="3" recordCount="352">
  <cacheSource type="worksheet">
    <worksheetSource ref="AI1:AK353" sheet="Sheet1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25488"/>
    </cacheField>
    <cacheField name="CombinedHARPStatus" numFmtId="0">
      <sharedItems count="4">
        <s v="N/A       "/>
        <s v="&lt; 2009-06 "/>
        <s v="HARPed    "/>
        <s v="NON-HAR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389.527334027778" createdVersion="4" refreshedVersion="4" minRefreshableVersion="3" recordCount="368">
  <cacheSource type="worksheet">
    <worksheetSource ref="AW1:AY1048576" sheet="Sheet1"/>
  </cacheSource>
  <cacheFields count="3">
    <cacheField name="pmtdate" numFmtId="0">
      <sharedItems containsNonDate="0" containsDate="1" containsString="0" containsBlank="1" minDate="2005-01-01T00:00:00" maxDate="2016-03-02T00:00:00" count="136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m/>
      </sharedItems>
    </cacheField>
    <cacheField name="count()" numFmtId="0">
      <sharedItems containsString="0" containsBlank="1" containsNumber="1" containsInteger="1" minValue="12" maxValue="98694"/>
    </cacheField>
    <cacheField name="CombinedHARPStatus" numFmtId="0">
      <sharedItems containsBlank="1" count="5">
        <s v="&lt; 2009-06 "/>
        <s v="N/A       "/>
        <s v="NON-HARPed"/>
        <s v="HARPed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398.629037962965" createdVersion="4" refreshedVersion="4" minRefreshableVersion="3" recordCount="328">
  <cacheSource type="worksheet">
    <worksheetSource name="CurrentMtgRatesDataTable82529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36" maxValue="43628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398.629686574073" createdVersion="4" refreshedVersion="4" minRefreshableVersion="3" recordCount="499">
  <cacheSource type="worksheet">
    <worksheetSource name="CurrentMtgRatesDataTable825294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45971"/>
    </cacheField>
    <cacheField name="MHAStatus" numFmtId="0">
      <sharedItems count="4">
        <s v="NOMHA-PURCHASE"/>
        <s v="NOMHA-REFI"/>
        <s v="MHA-ELIGIBLE"/>
        <s v="MISC-VERIF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398.65332164352" createdVersion="4" refreshedVersion="4" minRefreshableVersion="3" recordCount="329">
  <cacheSource type="worksheet">
    <worksheetSource name="CurrentMtgRatesDataTable825297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03615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398.653349421293" createdVersion="4" refreshedVersion="4" minRefreshableVersion="3" recordCount="375">
  <cacheSource type="worksheet">
    <worksheetSource name="CurrentMtgRatesDataTable8252948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173044"/>
    </cacheField>
    <cacheField name="MHAStatus" numFmtId="0">
      <sharedItems count="3">
        <s v="NOMHA-PURCHASE"/>
        <s v="NOMHA-REFI"/>
        <s v="MISC-VERIF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398.654504513892" createdVersion="4" refreshedVersion="4" minRefreshableVersion="3" recordCount="329">
  <cacheSource type="worksheet">
    <worksheetSource name="CurrentMtgRatesDataTable825295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6" maxValue="160817"/>
    </cacheField>
    <cacheField name="HARPStatus" numFmtId="0">
      <sharedItems count="5">
        <s v="N/A"/>
        <s v="&lt; 2009-06"/>
        <s v="NON-HARP"/>
        <s v="HARP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398.654529050924" createdVersion="4" refreshedVersion="4" minRefreshableVersion="3" recordCount="512">
  <cacheSource type="worksheet">
    <worksheetSource name="CurrentMtgRatesDataTable8252946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count()" numFmtId="0">
      <sharedItems containsSemiMixedTypes="0" containsString="0" containsNumber="1" containsInteger="1" minValue="1" maxValue="206057"/>
    </cacheField>
    <cacheField name="MHAStatus" numFmtId="0">
      <sharedItems count="4">
        <s v="NOMHA-PURCHASE"/>
        <s v="NOMHA-REFI"/>
        <s v="MHA-ELIGIBLE"/>
        <s v="MISC-VERIF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29">
  <r>
    <x v="0"/>
    <n v="19057"/>
    <x v="0"/>
  </r>
  <r>
    <x v="0"/>
    <n v="116679"/>
    <x v="1"/>
  </r>
  <r>
    <x v="1"/>
    <n v="15165"/>
    <x v="0"/>
  </r>
  <r>
    <x v="1"/>
    <n v="101038"/>
    <x v="1"/>
  </r>
  <r>
    <x v="2"/>
    <n v="13726"/>
    <x v="0"/>
  </r>
  <r>
    <x v="2"/>
    <n v="85924"/>
    <x v="1"/>
  </r>
  <r>
    <x v="3"/>
    <n v="13317"/>
    <x v="0"/>
  </r>
  <r>
    <x v="3"/>
    <n v="85045"/>
    <x v="1"/>
  </r>
  <r>
    <x v="4"/>
    <n v="13740"/>
    <x v="0"/>
  </r>
  <r>
    <x v="4"/>
    <n v="91876"/>
    <x v="1"/>
  </r>
  <r>
    <x v="5"/>
    <n v="11485"/>
    <x v="0"/>
  </r>
  <r>
    <x v="5"/>
    <n v="83181"/>
    <x v="1"/>
  </r>
  <r>
    <x v="6"/>
    <n v="11763"/>
    <x v="0"/>
  </r>
  <r>
    <x v="6"/>
    <n v="96000"/>
    <x v="1"/>
  </r>
  <r>
    <x v="7"/>
    <n v="10532"/>
    <x v="0"/>
  </r>
  <r>
    <x v="7"/>
    <n v="94899"/>
    <x v="1"/>
  </r>
  <r>
    <x v="8"/>
    <n v="11293"/>
    <x v="0"/>
  </r>
  <r>
    <x v="8"/>
    <n v="106784"/>
    <x v="1"/>
  </r>
  <r>
    <x v="9"/>
    <n v="11420"/>
    <x v="0"/>
  </r>
  <r>
    <x v="9"/>
    <n v="107277"/>
    <x v="1"/>
  </r>
  <r>
    <x v="10"/>
    <n v="11613"/>
    <x v="0"/>
  </r>
  <r>
    <x v="10"/>
    <n v="92041"/>
    <x v="1"/>
  </r>
  <r>
    <x v="11"/>
    <n v="83109"/>
    <x v="1"/>
  </r>
  <r>
    <x v="11"/>
    <n v="13547"/>
    <x v="0"/>
  </r>
  <r>
    <x v="12"/>
    <n v="109560"/>
    <x v="1"/>
  </r>
  <r>
    <x v="12"/>
    <n v="18639"/>
    <x v="0"/>
  </r>
  <r>
    <x v="13"/>
    <n v="16054"/>
    <x v="0"/>
  </r>
  <r>
    <x v="13"/>
    <n v="90090"/>
    <x v="1"/>
  </r>
  <r>
    <x v="14"/>
    <n v="105785"/>
    <x v="1"/>
  </r>
  <r>
    <x v="14"/>
    <n v="23045"/>
    <x v="0"/>
  </r>
  <r>
    <x v="15"/>
    <n v="107547"/>
    <x v="1"/>
  </r>
  <r>
    <x v="15"/>
    <n v="21585"/>
    <x v="0"/>
  </r>
  <r>
    <x v="16"/>
    <n v="100318"/>
    <x v="1"/>
  </r>
  <r>
    <x v="16"/>
    <n v="20927"/>
    <x v="0"/>
  </r>
  <r>
    <x v="17"/>
    <n v="23119"/>
    <x v="0"/>
  </r>
  <r>
    <x v="17"/>
    <n v="111446"/>
    <x v="1"/>
  </r>
  <r>
    <x v="18"/>
    <n v="20337"/>
    <x v="0"/>
  </r>
  <r>
    <x v="18"/>
    <n v="112135"/>
    <x v="1"/>
  </r>
  <r>
    <x v="19"/>
    <n v="17646"/>
    <x v="0"/>
  </r>
  <r>
    <x v="19"/>
    <n v="100566"/>
    <x v="1"/>
  </r>
  <r>
    <x v="20"/>
    <n v="17169"/>
    <x v="0"/>
  </r>
  <r>
    <x v="20"/>
    <n v="117065"/>
    <x v="1"/>
  </r>
  <r>
    <x v="21"/>
    <n v="17527"/>
    <x v="0"/>
  </r>
  <r>
    <x v="21"/>
    <n v="136772"/>
    <x v="1"/>
  </r>
  <r>
    <x v="22"/>
    <n v="17939"/>
    <x v="0"/>
  </r>
  <r>
    <x v="22"/>
    <n v="108346"/>
    <x v="1"/>
  </r>
  <r>
    <x v="23"/>
    <n v="22061"/>
    <x v="0"/>
  </r>
  <r>
    <x v="23"/>
    <n v="118469"/>
    <x v="1"/>
  </r>
  <r>
    <x v="24"/>
    <n v="23242"/>
    <x v="0"/>
  </r>
  <r>
    <x v="24"/>
    <n v="108670"/>
    <x v="1"/>
  </r>
  <r>
    <x v="25"/>
    <n v="25971"/>
    <x v="0"/>
  </r>
  <r>
    <x v="25"/>
    <n v="90455"/>
    <x v="1"/>
  </r>
  <r>
    <x v="26"/>
    <n v="41508"/>
    <x v="0"/>
  </r>
  <r>
    <x v="26"/>
    <n v="124215"/>
    <x v="1"/>
  </r>
  <r>
    <x v="27"/>
    <n v="49873"/>
    <x v="0"/>
  </r>
  <r>
    <x v="27"/>
    <n v="88535"/>
    <x v="1"/>
  </r>
  <r>
    <x v="28"/>
    <n v="98952"/>
    <x v="1"/>
  </r>
  <r>
    <x v="28"/>
    <n v="44733"/>
    <x v="0"/>
  </r>
  <r>
    <x v="29"/>
    <n v="110414"/>
    <x v="1"/>
  </r>
  <r>
    <x v="29"/>
    <n v="41194"/>
    <x v="0"/>
  </r>
  <r>
    <x v="30"/>
    <n v="30865"/>
    <x v="0"/>
  </r>
  <r>
    <x v="30"/>
    <n v="108177"/>
    <x v="1"/>
  </r>
  <r>
    <x v="31"/>
    <n v="62302"/>
    <x v="1"/>
  </r>
  <r>
    <x v="31"/>
    <n v="15169"/>
    <x v="0"/>
  </r>
  <r>
    <x v="32"/>
    <n v="68339"/>
    <x v="1"/>
  </r>
  <r>
    <x v="32"/>
    <n v="12928"/>
    <x v="0"/>
  </r>
  <r>
    <x v="33"/>
    <n v="66445"/>
    <x v="1"/>
  </r>
  <r>
    <x v="33"/>
    <n v="11279"/>
    <x v="0"/>
  </r>
  <r>
    <x v="34"/>
    <n v="9037"/>
    <x v="0"/>
  </r>
  <r>
    <x v="34"/>
    <n v="45734"/>
    <x v="1"/>
  </r>
  <r>
    <x v="35"/>
    <n v="13338"/>
    <x v="0"/>
  </r>
  <r>
    <x v="35"/>
    <n v="43655"/>
    <x v="1"/>
  </r>
  <r>
    <x v="36"/>
    <n v="12980"/>
    <x v="0"/>
  </r>
  <r>
    <x v="36"/>
    <n v="50259"/>
    <x v="1"/>
  </r>
  <r>
    <x v="37"/>
    <n v="20693"/>
    <x v="0"/>
  </r>
  <r>
    <x v="37"/>
    <n v="45008"/>
    <x v="1"/>
  </r>
  <r>
    <x v="38"/>
    <n v="60330"/>
    <x v="0"/>
  </r>
  <r>
    <x v="38"/>
    <n v="54314"/>
    <x v="1"/>
  </r>
  <r>
    <x v="39"/>
    <n v="126468"/>
    <x v="0"/>
  </r>
  <r>
    <x v="39"/>
    <n v="90938"/>
    <x v="1"/>
  </r>
  <r>
    <x v="40"/>
    <n v="91317"/>
    <x v="0"/>
  </r>
  <r>
    <x v="40"/>
    <n v="4758"/>
    <x v="2"/>
  </r>
  <r>
    <x v="40"/>
    <n v="286"/>
    <x v="3"/>
  </r>
  <r>
    <x v="40"/>
    <n v="70127"/>
    <x v="1"/>
  </r>
  <r>
    <x v="41"/>
    <n v="25662"/>
    <x v="0"/>
  </r>
  <r>
    <x v="41"/>
    <n v="51705"/>
    <x v="2"/>
  </r>
  <r>
    <x v="41"/>
    <n v="5842"/>
    <x v="3"/>
  </r>
  <r>
    <x v="41"/>
    <n v="67567"/>
    <x v="1"/>
  </r>
  <r>
    <x v="42"/>
    <n v="7053"/>
    <x v="0"/>
  </r>
  <r>
    <x v="42"/>
    <n v="106391"/>
    <x v="2"/>
  </r>
  <r>
    <x v="42"/>
    <n v="16517"/>
    <x v="3"/>
  </r>
  <r>
    <x v="42"/>
    <n v="104095"/>
    <x v="1"/>
  </r>
  <r>
    <x v="43"/>
    <n v="781"/>
    <x v="0"/>
  </r>
  <r>
    <x v="43"/>
    <n v="60337"/>
    <x v="2"/>
  </r>
  <r>
    <x v="43"/>
    <n v="22075"/>
    <x v="3"/>
  </r>
  <r>
    <x v="43"/>
    <n v="71014"/>
    <x v="1"/>
  </r>
  <r>
    <x v="44"/>
    <n v="173"/>
    <x v="0"/>
  </r>
  <r>
    <x v="44"/>
    <n v="55906"/>
    <x v="2"/>
  </r>
  <r>
    <x v="44"/>
    <n v="25210"/>
    <x v="3"/>
  </r>
  <r>
    <x v="44"/>
    <n v="82357"/>
    <x v="1"/>
  </r>
  <r>
    <x v="45"/>
    <n v="258"/>
    <x v="0"/>
  </r>
  <r>
    <x v="45"/>
    <n v="31910"/>
    <x v="2"/>
  </r>
  <r>
    <x v="45"/>
    <n v="15667"/>
    <x v="3"/>
  </r>
  <r>
    <x v="45"/>
    <n v="70570"/>
    <x v="1"/>
  </r>
  <r>
    <x v="46"/>
    <n v="1059"/>
    <x v="0"/>
  </r>
  <r>
    <x v="46"/>
    <n v="23119"/>
    <x v="2"/>
  </r>
  <r>
    <x v="46"/>
    <n v="12098"/>
    <x v="3"/>
  </r>
  <r>
    <x v="46"/>
    <n v="61209"/>
    <x v="1"/>
  </r>
  <r>
    <x v="47"/>
    <n v="77"/>
    <x v="0"/>
  </r>
  <r>
    <x v="47"/>
    <n v="22548"/>
    <x v="2"/>
  </r>
  <r>
    <x v="47"/>
    <n v="16580"/>
    <x v="3"/>
  </r>
  <r>
    <x v="47"/>
    <n v="54618"/>
    <x v="1"/>
  </r>
  <r>
    <x v="48"/>
    <n v="336"/>
    <x v="0"/>
  </r>
  <r>
    <x v="48"/>
    <n v="30548"/>
    <x v="2"/>
  </r>
  <r>
    <x v="48"/>
    <n v="25493"/>
    <x v="3"/>
  </r>
  <r>
    <x v="48"/>
    <n v="70439"/>
    <x v="1"/>
  </r>
  <r>
    <x v="49"/>
    <n v="360"/>
    <x v="0"/>
  </r>
  <r>
    <x v="49"/>
    <n v="24350"/>
    <x v="2"/>
  </r>
  <r>
    <x v="49"/>
    <n v="24649"/>
    <x v="3"/>
  </r>
  <r>
    <x v="49"/>
    <n v="51271"/>
    <x v="1"/>
  </r>
  <r>
    <x v="50"/>
    <n v="77"/>
    <x v="0"/>
  </r>
  <r>
    <x v="50"/>
    <n v="28003"/>
    <x v="2"/>
  </r>
  <r>
    <x v="50"/>
    <n v="26299"/>
    <x v="3"/>
  </r>
  <r>
    <x v="50"/>
    <n v="51586"/>
    <x v="1"/>
  </r>
  <r>
    <x v="51"/>
    <n v="679"/>
    <x v="0"/>
  </r>
  <r>
    <x v="51"/>
    <n v="25937"/>
    <x v="2"/>
  </r>
  <r>
    <x v="51"/>
    <n v="21183"/>
    <x v="3"/>
  </r>
  <r>
    <x v="51"/>
    <n v="56751"/>
    <x v="1"/>
  </r>
  <r>
    <x v="52"/>
    <n v="113"/>
    <x v="0"/>
  </r>
  <r>
    <x v="52"/>
    <n v="14416"/>
    <x v="2"/>
  </r>
  <r>
    <x v="52"/>
    <n v="19513"/>
    <x v="3"/>
  </r>
  <r>
    <x v="52"/>
    <n v="37231"/>
    <x v="1"/>
  </r>
  <r>
    <x v="53"/>
    <n v="25"/>
    <x v="0"/>
  </r>
  <r>
    <x v="53"/>
    <n v="15988"/>
    <x v="2"/>
  </r>
  <r>
    <x v="53"/>
    <n v="17575"/>
    <x v="3"/>
  </r>
  <r>
    <x v="53"/>
    <n v="46855"/>
    <x v="1"/>
  </r>
  <r>
    <x v="54"/>
    <n v="4"/>
    <x v="0"/>
  </r>
  <r>
    <x v="54"/>
    <n v="14269"/>
    <x v="2"/>
  </r>
  <r>
    <x v="54"/>
    <n v="19523"/>
    <x v="3"/>
  </r>
  <r>
    <x v="54"/>
    <n v="55813"/>
    <x v="1"/>
  </r>
  <r>
    <x v="55"/>
    <n v="1"/>
    <x v="0"/>
  </r>
  <r>
    <x v="55"/>
    <n v="13900"/>
    <x v="2"/>
  </r>
  <r>
    <x v="55"/>
    <n v="19158"/>
    <x v="3"/>
  </r>
  <r>
    <x v="55"/>
    <n v="50706"/>
    <x v="1"/>
  </r>
  <r>
    <x v="56"/>
    <n v="1120"/>
    <x v="0"/>
  </r>
  <r>
    <x v="56"/>
    <n v="16488"/>
    <x v="2"/>
  </r>
  <r>
    <x v="56"/>
    <n v="20121"/>
    <x v="3"/>
  </r>
  <r>
    <x v="56"/>
    <n v="48810"/>
    <x v="1"/>
  </r>
  <r>
    <x v="57"/>
    <n v="326"/>
    <x v="0"/>
  </r>
  <r>
    <x v="57"/>
    <n v="24337"/>
    <x v="2"/>
  </r>
  <r>
    <x v="57"/>
    <n v="38354"/>
    <x v="3"/>
  </r>
  <r>
    <x v="57"/>
    <n v="42017"/>
    <x v="1"/>
  </r>
  <r>
    <x v="58"/>
    <n v="3"/>
    <x v="0"/>
  </r>
  <r>
    <x v="58"/>
    <n v="29103"/>
    <x v="2"/>
  </r>
  <r>
    <x v="58"/>
    <n v="36203"/>
    <x v="3"/>
  </r>
  <r>
    <x v="58"/>
    <n v="39705"/>
    <x v="1"/>
  </r>
  <r>
    <x v="59"/>
    <n v="24"/>
    <x v="0"/>
  </r>
  <r>
    <x v="59"/>
    <n v="28907"/>
    <x v="2"/>
  </r>
  <r>
    <x v="59"/>
    <n v="39308"/>
    <x v="3"/>
  </r>
  <r>
    <x v="59"/>
    <n v="35585"/>
    <x v="1"/>
  </r>
  <r>
    <x v="60"/>
    <n v="3"/>
    <x v="0"/>
  </r>
  <r>
    <x v="60"/>
    <n v="29330"/>
    <x v="2"/>
  </r>
  <r>
    <x v="60"/>
    <n v="45723"/>
    <x v="3"/>
  </r>
  <r>
    <x v="60"/>
    <n v="33399"/>
    <x v="1"/>
  </r>
  <r>
    <x v="61"/>
    <n v="36053"/>
    <x v="2"/>
  </r>
  <r>
    <x v="61"/>
    <n v="31180"/>
    <x v="3"/>
  </r>
  <r>
    <x v="61"/>
    <n v="40868"/>
    <x v="1"/>
  </r>
  <r>
    <x v="62"/>
    <n v="150"/>
    <x v="0"/>
  </r>
  <r>
    <x v="62"/>
    <n v="24920"/>
    <x v="2"/>
  </r>
  <r>
    <x v="62"/>
    <n v="36604"/>
    <x v="3"/>
  </r>
  <r>
    <x v="62"/>
    <n v="38825"/>
    <x v="1"/>
  </r>
  <r>
    <x v="63"/>
    <n v="2646"/>
    <x v="0"/>
  </r>
  <r>
    <x v="63"/>
    <n v="11405"/>
    <x v="2"/>
  </r>
  <r>
    <x v="63"/>
    <n v="19980"/>
    <x v="3"/>
  </r>
  <r>
    <x v="63"/>
    <n v="29596"/>
    <x v="1"/>
  </r>
  <r>
    <x v="64"/>
    <n v="10"/>
    <x v="0"/>
  </r>
  <r>
    <x v="64"/>
    <n v="9549"/>
    <x v="2"/>
  </r>
  <r>
    <x v="64"/>
    <n v="18800"/>
    <x v="3"/>
  </r>
  <r>
    <x v="64"/>
    <n v="24320"/>
    <x v="1"/>
  </r>
  <r>
    <x v="65"/>
    <n v="7249"/>
    <x v="2"/>
  </r>
  <r>
    <x v="65"/>
    <n v="12820"/>
    <x v="3"/>
  </r>
  <r>
    <x v="65"/>
    <n v="26412"/>
    <x v="1"/>
  </r>
  <r>
    <x v="66"/>
    <n v="7079"/>
    <x v="2"/>
  </r>
  <r>
    <x v="66"/>
    <n v="12588"/>
    <x v="3"/>
  </r>
  <r>
    <x v="66"/>
    <n v="32058"/>
    <x v="1"/>
  </r>
  <r>
    <x v="67"/>
    <n v="5161"/>
    <x v="2"/>
  </r>
  <r>
    <x v="67"/>
    <n v="11579"/>
    <x v="3"/>
  </r>
  <r>
    <x v="67"/>
    <n v="25325"/>
    <x v="1"/>
  </r>
  <r>
    <x v="68"/>
    <n v="8995"/>
    <x v="2"/>
  </r>
  <r>
    <x v="68"/>
    <n v="13279"/>
    <x v="3"/>
  </r>
  <r>
    <x v="68"/>
    <n v="34306"/>
    <x v="1"/>
  </r>
  <r>
    <x v="69"/>
    <n v="9559"/>
    <x v="2"/>
  </r>
  <r>
    <x v="69"/>
    <n v="15550"/>
    <x v="3"/>
  </r>
  <r>
    <x v="69"/>
    <n v="35181"/>
    <x v="1"/>
  </r>
  <r>
    <x v="70"/>
    <n v="15321"/>
    <x v="2"/>
  </r>
  <r>
    <x v="70"/>
    <n v="16474"/>
    <x v="3"/>
  </r>
  <r>
    <x v="70"/>
    <n v="28354"/>
    <x v="1"/>
  </r>
  <r>
    <x v="71"/>
    <n v="16"/>
    <x v="0"/>
  </r>
  <r>
    <x v="71"/>
    <n v="16181"/>
    <x v="2"/>
  </r>
  <r>
    <x v="71"/>
    <n v="15358"/>
    <x v="3"/>
  </r>
  <r>
    <x v="71"/>
    <n v="22321"/>
    <x v="1"/>
  </r>
  <r>
    <x v="72"/>
    <n v="13058"/>
    <x v="2"/>
  </r>
  <r>
    <x v="72"/>
    <n v="17850"/>
    <x v="3"/>
  </r>
  <r>
    <x v="72"/>
    <n v="12661"/>
    <x v="1"/>
  </r>
  <r>
    <x v="73"/>
    <n v="21613"/>
    <x v="2"/>
  </r>
  <r>
    <x v="73"/>
    <n v="21469"/>
    <x v="3"/>
  </r>
  <r>
    <x v="73"/>
    <n v="26095"/>
    <x v="1"/>
  </r>
  <r>
    <x v="74"/>
    <n v="35057"/>
    <x v="2"/>
  </r>
  <r>
    <x v="74"/>
    <n v="19436"/>
    <x v="3"/>
  </r>
  <r>
    <x v="74"/>
    <n v="35310"/>
    <x v="1"/>
  </r>
  <r>
    <x v="75"/>
    <n v="28239"/>
    <x v="2"/>
  </r>
  <r>
    <x v="75"/>
    <n v="29010"/>
    <x v="3"/>
  </r>
  <r>
    <x v="75"/>
    <n v="26813"/>
    <x v="1"/>
  </r>
  <r>
    <x v="76"/>
    <n v="30739"/>
    <x v="2"/>
  </r>
  <r>
    <x v="76"/>
    <n v="18814"/>
    <x v="3"/>
  </r>
  <r>
    <x v="76"/>
    <n v="37089"/>
    <x v="1"/>
  </r>
  <r>
    <x v="77"/>
    <n v="28"/>
    <x v="0"/>
  </r>
  <r>
    <x v="77"/>
    <n v="17578"/>
    <x v="2"/>
  </r>
  <r>
    <x v="77"/>
    <n v="22353"/>
    <x v="3"/>
  </r>
  <r>
    <x v="77"/>
    <n v="26357"/>
    <x v="1"/>
  </r>
  <r>
    <x v="78"/>
    <n v="25831"/>
    <x v="2"/>
  </r>
  <r>
    <x v="78"/>
    <n v="23679"/>
    <x v="3"/>
  </r>
  <r>
    <x v="78"/>
    <n v="49421"/>
    <x v="1"/>
  </r>
  <r>
    <x v="79"/>
    <n v="18827"/>
    <x v="2"/>
  </r>
  <r>
    <x v="79"/>
    <n v="21930"/>
    <x v="3"/>
  </r>
  <r>
    <x v="79"/>
    <n v="37815"/>
    <x v="1"/>
  </r>
  <r>
    <x v="80"/>
    <n v="26774"/>
    <x v="2"/>
  </r>
  <r>
    <x v="80"/>
    <n v="25715"/>
    <x v="3"/>
  </r>
  <r>
    <x v="80"/>
    <n v="51040"/>
    <x v="1"/>
  </r>
  <r>
    <x v="81"/>
    <n v="25041"/>
    <x v="2"/>
  </r>
  <r>
    <x v="81"/>
    <n v="20098"/>
    <x v="3"/>
  </r>
  <r>
    <x v="81"/>
    <n v="34014"/>
    <x v="1"/>
  </r>
  <r>
    <x v="82"/>
    <n v="38833"/>
    <x v="2"/>
  </r>
  <r>
    <x v="82"/>
    <n v="23340"/>
    <x v="3"/>
  </r>
  <r>
    <x v="82"/>
    <n v="50866"/>
    <x v="1"/>
  </r>
  <r>
    <x v="83"/>
    <n v="1190"/>
    <x v="0"/>
  </r>
  <r>
    <x v="83"/>
    <n v="49783"/>
    <x v="2"/>
  </r>
  <r>
    <x v="83"/>
    <n v="40576"/>
    <x v="3"/>
  </r>
  <r>
    <x v="83"/>
    <n v="70841"/>
    <x v="1"/>
  </r>
  <r>
    <x v="84"/>
    <n v="7"/>
    <x v="0"/>
  </r>
  <r>
    <x v="84"/>
    <n v="23978"/>
    <x v="2"/>
  </r>
  <r>
    <x v="84"/>
    <n v="16073"/>
    <x v="3"/>
  </r>
  <r>
    <x v="84"/>
    <n v="26902"/>
    <x v="1"/>
  </r>
  <r>
    <x v="85"/>
    <n v="39760"/>
    <x v="2"/>
  </r>
  <r>
    <x v="85"/>
    <n v="31891"/>
    <x v="3"/>
  </r>
  <r>
    <x v="85"/>
    <n v="42899"/>
    <x v="1"/>
  </r>
  <r>
    <x v="86"/>
    <n v="38300"/>
    <x v="2"/>
  </r>
  <r>
    <x v="86"/>
    <n v="28858"/>
    <x v="3"/>
  </r>
  <r>
    <x v="86"/>
    <n v="41255"/>
    <x v="1"/>
  </r>
  <r>
    <x v="87"/>
    <n v="8"/>
    <x v="0"/>
  </r>
  <r>
    <x v="87"/>
    <n v="48117"/>
    <x v="2"/>
  </r>
  <r>
    <x v="87"/>
    <n v="30621"/>
    <x v="3"/>
  </r>
  <r>
    <x v="87"/>
    <n v="48881"/>
    <x v="1"/>
  </r>
  <r>
    <x v="88"/>
    <n v="7"/>
    <x v="0"/>
  </r>
  <r>
    <x v="88"/>
    <n v="40468"/>
    <x v="2"/>
  </r>
  <r>
    <x v="88"/>
    <n v="33414"/>
    <x v="3"/>
  </r>
  <r>
    <x v="88"/>
    <n v="53226"/>
    <x v="1"/>
  </r>
  <r>
    <x v="89"/>
    <n v="88"/>
    <x v="0"/>
  </r>
  <r>
    <x v="89"/>
    <n v="26944"/>
    <x v="2"/>
  </r>
  <r>
    <x v="89"/>
    <n v="28554"/>
    <x v="3"/>
  </r>
  <r>
    <x v="89"/>
    <n v="49248"/>
    <x v="1"/>
  </r>
  <r>
    <x v="90"/>
    <n v="19"/>
    <x v="0"/>
  </r>
  <r>
    <x v="90"/>
    <n v="33375"/>
    <x v="2"/>
  </r>
  <r>
    <x v="90"/>
    <n v="30201"/>
    <x v="3"/>
  </r>
  <r>
    <x v="90"/>
    <n v="62348"/>
    <x v="1"/>
  </r>
  <r>
    <x v="91"/>
    <n v="26413"/>
    <x v="2"/>
  </r>
  <r>
    <x v="91"/>
    <n v="22463"/>
    <x v="3"/>
  </r>
  <r>
    <x v="91"/>
    <n v="52562"/>
    <x v="1"/>
  </r>
  <r>
    <x v="92"/>
    <n v="1"/>
    <x v="0"/>
  </r>
  <r>
    <x v="92"/>
    <n v="23108"/>
    <x v="2"/>
  </r>
  <r>
    <x v="92"/>
    <n v="18785"/>
    <x v="3"/>
  </r>
  <r>
    <x v="92"/>
    <n v="62201"/>
    <x v="1"/>
  </r>
  <r>
    <x v="93"/>
    <n v="90"/>
    <x v="0"/>
  </r>
  <r>
    <x v="93"/>
    <n v="12617"/>
    <x v="2"/>
  </r>
  <r>
    <x v="93"/>
    <n v="16394"/>
    <x v="3"/>
  </r>
  <r>
    <x v="93"/>
    <n v="44797"/>
    <x v="1"/>
  </r>
  <r>
    <x v="94"/>
    <n v="8614"/>
    <x v="2"/>
  </r>
  <r>
    <x v="94"/>
    <n v="13595"/>
    <x v="3"/>
  </r>
  <r>
    <x v="94"/>
    <n v="41608"/>
    <x v="1"/>
  </r>
  <r>
    <x v="95"/>
    <n v="969"/>
    <x v="0"/>
  </r>
  <r>
    <x v="95"/>
    <n v="7821"/>
    <x v="2"/>
  </r>
  <r>
    <x v="95"/>
    <n v="12144"/>
    <x v="3"/>
  </r>
  <r>
    <x v="95"/>
    <n v="50491"/>
    <x v="1"/>
  </r>
  <r>
    <x v="96"/>
    <n v="1125"/>
    <x v="0"/>
  </r>
  <r>
    <x v="96"/>
    <n v="9232"/>
    <x v="2"/>
  </r>
  <r>
    <x v="96"/>
    <n v="8436"/>
    <x v="3"/>
  </r>
  <r>
    <x v="96"/>
    <n v="51152"/>
    <x v="1"/>
  </r>
  <r>
    <x v="97"/>
    <n v="8940"/>
    <x v="2"/>
  </r>
  <r>
    <x v="97"/>
    <n v="10673"/>
    <x v="3"/>
  </r>
  <r>
    <x v="97"/>
    <n v="41585"/>
    <x v="1"/>
  </r>
  <r>
    <x v="98"/>
    <n v="7816"/>
    <x v="2"/>
  </r>
  <r>
    <x v="98"/>
    <n v="9613"/>
    <x v="3"/>
  </r>
  <r>
    <x v="98"/>
    <n v="433"/>
    <x v="4"/>
  </r>
  <r>
    <x v="98"/>
    <n v="40661"/>
    <x v="1"/>
  </r>
  <r>
    <x v="99"/>
    <n v="16"/>
    <x v="0"/>
  </r>
  <r>
    <x v="99"/>
    <n v="2610"/>
    <x v="2"/>
  </r>
  <r>
    <x v="99"/>
    <n v="2000"/>
    <x v="3"/>
  </r>
  <r>
    <x v="99"/>
    <n v="7802"/>
    <x v="4"/>
  </r>
  <r>
    <x v="99"/>
    <n v="31931"/>
    <x v="1"/>
  </r>
  <r>
    <x v="100"/>
    <n v="488"/>
    <x v="2"/>
  </r>
  <r>
    <x v="100"/>
    <n v="203"/>
    <x v="3"/>
  </r>
  <r>
    <x v="100"/>
    <n v="13317"/>
    <x v="4"/>
  </r>
  <r>
    <x v="100"/>
    <n v="41535"/>
    <x v="1"/>
  </r>
  <r>
    <x v="101"/>
    <n v="144"/>
    <x v="2"/>
  </r>
  <r>
    <x v="101"/>
    <n v="50"/>
    <x v="3"/>
  </r>
  <r>
    <x v="101"/>
    <n v="13013"/>
    <x v="4"/>
  </r>
  <r>
    <x v="101"/>
    <n v="44793"/>
    <x v="1"/>
  </r>
  <r>
    <x v="102"/>
    <n v="15"/>
    <x v="2"/>
  </r>
  <r>
    <x v="102"/>
    <n v="13"/>
    <x v="3"/>
  </r>
  <r>
    <x v="102"/>
    <n v="14294"/>
    <x v="4"/>
  </r>
  <r>
    <x v="102"/>
    <n v="52858"/>
    <x v="1"/>
  </r>
  <r>
    <x v="103"/>
    <n v="20"/>
    <x v="2"/>
  </r>
  <r>
    <x v="103"/>
    <n v="10"/>
    <x v="3"/>
  </r>
  <r>
    <x v="103"/>
    <n v="13253"/>
    <x v="4"/>
  </r>
  <r>
    <x v="103"/>
    <n v="55463"/>
    <x v="1"/>
  </r>
  <r>
    <x v="104"/>
    <n v="4942"/>
    <x v="2"/>
  </r>
  <r>
    <x v="104"/>
    <n v="25"/>
    <x v="3"/>
  </r>
  <r>
    <x v="104"/>
    <n v="15355"/>
    <x v="4"/>
  </r>
  <r>
    <x v="104"/>
    <n v="74711"/>
    <x v="1"/>
  </r>
  <r>
    <x v="105"/>
    <n v="1"/>
    <x v="0"/>
  </r>
  <r>
    <x v="105"/>
    <n v="1198"/>
    <x v="2"/>
  </r>
  <r>
    <x v="105"/>
    <n v="11"/>
    <x v="3"/>
  </r>
  <r>
    <x v="105"/>
    <n v="16781"/>
    <x v="4"/>
  </r>
  <r>
    <x v="105"/>
    <n v="65252"/>
    <x v="1"/>
  </r>
  <r>
    <x v="106"/>
    <n v="302"/>
    <x v="2"/>
  </r>
  <r>
    <x v="106"/>
    <n v="33"/>
    <x v="3"/>
  </r>
  <r>
    <x v="106"/>
    <n v="18205"/>
    <x v="4"/>
  </r>
  <r>
    <x v="106"/>
    <n v="64996"/>
    <x v="1"/>
  </r>
  <r>
    <x v="107"/>
    <n v="3"/>
    <x v="0"/>
  </r>
  <r>
    <x v="107"/>
    <n v="67"/>
    <x v="2"/>
  </r>
  <r>
    <x v="107"/>
    <n v="15"/>
    <x v="3"/>
  </r>
  <r>
    <x v="107"/>
    <n v="17771"/>
    <x v="4"/>
  </r>
  <r>
    <x v="107"/>
    <n v="60127"/>
    <x v="1"/>
  </r>
  <r>
    <x v="108"/>
    <n v="1"/>
    <x v="0"/>
  </r>
  <r>
    <x v="108"/>
    <n v="18"/>
    <x v="2"/>
  </r>
  <r>
    <x v="108"/>
    <n v="1"/>
    <x v="3"/>
  </r>
  <r>
    <x v="108"/>
    <n v="20639"/>
    <x v="4"/>
  </r>
  <r>
    <x v="108"/>
    <n v="48738"/>
    <x v="1"/>
  </r>
  <r>
    <x v="109"/>
    <n v="1"/>
    <x v="0"/>
  </r>
  <r>
    <x v="109"/>
    <n v="67"/>
    <x v="2"/>
  </r>
  <r>
    <x v="109"/>
    <n v="17"/>
    <x v="3"/>
  </r>
  <r>
    <x v="109"/>
    <n v="20018"/>
    <x v="4"/>
  </r>
  <r>
    <x v="109"/>
    <n v="49656"/>
    <x v="1"/>
  </r>
  <r>
    <x v="110"/>
    <n v="9"/>
    <x v="0"/>
  </r>
  <r>
    <x v="110"/>
    <n v="7528"/>
    <x v="2"/>
  </r>
  <r>
    <x v="110"/>
    <n v="26"/>
    <x v="3"/>
  </r>
  <r>
    <x v="110"/>
    <n v="26307"/>
    <x v="4"/>
  </r>
  <r>
    <x v="110"/>
    <n v="63470"/>
    <x v="1"/>
  </r>
  <r>
    <x v="111"/>
    <n v="3319"/>
    <x v="0"/>
  </r>
  <r>
    <x v="111"/>
    <n v="34"/>
    <x v="2"/>
  </r>
  <r>
    <x v="111"/>
    <n v="27603"/>
    <x v="4"/>
  </r>
  <r>
    <x v="111"/>
    <n v="43920"/>
    <x v="1"/>
  </r>
  <r>
    <x v="112"/>
    <n v="1"/>
    <x v="2"/>
  </r>
  <r>
    <x v="112"/>
    <n v="1"/>
    <x v="3"/>
  </r>
  <r>
    <x v="112"/>
    <n v="38841"/>
    <x v="4"/>
  </r>
  <r>
    <x v="112"/>
    <n v="57744"/>
    <x v="1"/>
  </r>
  <r>
    <x v="113"/>
    <n v="211"/>
    <x v="2"/>
  </r>
  <r>
    <x v="113"/>
    <n v="32819"/>
    <x v="4"/>
  </r>
  <r>
    <x v="113"/>
    <n v="63761"/>
    <x v="1"/>
  </r>
  <r>
    <x v="114"/>
    <n v="2804"/>
    <x v="2"/>
  </r>
  <r>
    <x v="114"/>
    <n v="2"/>
    <x v="3"/>
  </r>
  <r>
    <x v="114"/>
    <n v="29652"/>
    <x v="4"/>
  </r>
  <r>
    <x v="114"/>
    <n v="74200"/>
    <x v="1"/>
  </r>
  <r>
    <x v="115"/>
    <n v="1279"/>
    <x v="2"/>
  </r>
  <r>
    <x v="115"/>
    <n v="24711"/>
    <x v="4"/>
  </r>
  <r>
    <x v="115"/>
    <n v="77621"/>
    <x v="1"/>
  </r>
  <r>
    <x v="116"/>
    <n v="17994"/>
    <x v="4"/>
  </r>
  <r>
    <x v="116"/>
    <n v="68006"/>
    <x v="1"/>
  </r>
  <r>
    <x v="117"/>
    <n v="11"/>
    <x v="2"/>
  </r>
  <r>
    <x v="117"/>
    <n v="18141"/>
    <x v="4"/>
  </r>
  <r>
    <x v="117"/>
    <n v="75190"/>
    <x v="1"/>
  </r>
  <r>
    <x v="118"/>
    <n v="531"/>
    <x v="2"/>
  </r>
  <r>
    <x v="118"/>
    <n v="17495"/>
    <x v="4"/>
  </r>
  <r>
    <x v="118"/>
    <n v="72819"/>
    <x v="1"/>
  </r>
  <r>
    <x v="119"/>
    <n v="17242"/>
    <x v="4"/>
  </r>
  <r>
    <x v="119"/>
    <n v="63"/>
    <x v="3"/>
  </r>
  <r>
    <x v="119"/>
    <n v="116"/>
    <x v="0"/>
  </r>
  <r>
    <x v="119"/>
    <n v="61380"/>
    <x v="1"/>
  </r>
  <r>
    <x v="120"/>
    <n v="56308"/>
    <x v="1"/>
  </r>
  <r>
    <x v="120"/>
    <n v="17651"/>
    <x v="4"/>
  </r>
  <r>
    <x v="120"/>
    <n v="5"/>
    <x v="3"/>
  </r>
  <r>
    <x v="121"/>
    <n v="38576"/>
    <x v="1"/>
  </r>
  <r>
    <x v="121"/>
    <n v="10736"/>
    <x v="4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  <r>
    <x v="122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8">
  <r>
    <x v="0"/>
    <n v="1771"/>
    <x v="0"/>
  </r>
  <r>
    <x v="0"/>
    <n v="64164"/>
    <x v="1"/>
  </r>
  <r>
    <x v="0"/>
    <n v="69801"/>
    <x v="2"/>
  </r>
  <r>
    <x v="1"/>
    <n v="58448"/>
    <x v="1"/>
  </r>
  <r>
    <x v="1"/>
    <n v="56048"/>
    <x v="2"/>
  </r>
  <r>
    <x v="1"/>
    <n v="1707"/>
    <x v="0"/>
  </r>
  <r>
    <x v="2"/>
    <n v="49549"/>
    <x v="1"/>
  </r>
  <r>
    <x v="2"/>
    <n v="48505"/>
    <x v="2"/>
  </r>
  <r>
    <x v="2"/>
    <n v="1596"/>
    <x v="0"/>
  </r>
  <r>
    <x v="3"/>
    <n v="50913"/>
    <x v="1"/>
  </r>
  <r>
    <x v="3"/>
    <n v="45628"/>
    <x v="2"/>
  </r>
  <r>
    <x v="3"/>
    <n v="1821"/>
    <x v="0"/>
  </r>
  <r>
    <x v="4"/>
    <n v="54093"/>
    <x v="1"/>
  </r>
  <r>
    <x v="4"/>
    <n v="50072"/>
    <x v="2"/>
  </r>
  <r>
    <x v="4"/>
    <n v="1451"/>
    <x v="0"/>
  </r>
  <r>
    <x v="5"/>
    <n v="43099"/>
    <x v="1"/>
  </r>
  <r>
    <x v="5"/>
    <n v="50281"/>
    <x v="2"/>
  </r>
  <r>
    <x v="5"/>
    <n v="1286"/>
    <x v="0"/>
  </r>
  <r>
    <x v="6"/>
    <n v="45484"/>
    <x v="1"/>
  </r>
  <r>
    <x v="6"/>
    <n v="60815"/>
    <x v="2"/>
  </r>
  <r>
    <x v="6"/>
    <n v="1464"/>
    <x v="0"/>
  </r>
  <r>
    <x v="7"/>
    <n v="41248"/>
    <x v="1"/>
  </r>
  <r>
    <x v="7"/>
    <n v="62896"/>
    <x v="2"/>
  </r>
  <r>
    <x v="7"/>
    <n v="1287"/>
    <x v="0"/>
  </r>
  <r>
    <x v="8"/>
    <n v="42532"/>
    <x v="1"/>
  </r>
  <r>
    <x v="8"/>
    <n v="74272"/>
    <x v="2"/>
  </r>
  <r>
    <x v="8"/>
    <n v="1273"/>
    <x v="0"/>
  </r>
  <r>
    <x v="9"/>
    <n v="43129"/>
    <x v="1"/>
  </r>
  <r>
    <x v="9"/>
    <n v="74289"/>
    <x v="2"/>
  </r>
  <r>
    <x v="9"/>
    <n v="1279"/>
    <x v="0"/>
  </r>
  <r>
    <x v="10"/>
    <n v="43075"/>
    <x v="1"/>
  </r>
  <r>
    <x v="10"/>
    <n v="59427"/>
    <x v="2"/>
  </r>
  <r>
    <x v="10"/>
    <n v="1152"/>
    <x v="0"/>
  </r>
  <r>
    <x v="11"/>
    <n v="46704"/>
    <x v="1"/>
  </r>
  <r>
    <x v="11"/>
    <n v="48845"/>
    <x v="2"/>
  </r>
  <r>
    <x v="11"/>
    <n v="1107"/>
    <x v="0"/>
  </r>
  <r>
    <x v="12"/>
    <n v="60968"/>
    <x v="1"/>
  </r>
  <r>
    <x v="12"/>
    <n v="65808"/>
    <x v="2"/>
  </r>
  <r>
    <x v="12"/>
    <n v="1423"/>
    <x v="0"/>
  </r>
  <r>
    <x v="13"/>
    <n v="52621"/>
    <x v="1"/>
  </r>
  <r>
    <x v="13"/>
    <n v="52477"/>
    <x v="2"/>
  </r>
  <r>
    <x v="13"/>
    <n v="1046"/>
    <x v="0"/>
  </r>
  <r>
    <x v="14"/>
    <n v="71070"/>
    <x v="1"/>
  </r>
  <r>
    <x v="14"/>
    <n v="56557"/>
    <x v="2"/>
  </r>
  <r>
    <x v="14"/>
    <n v="1203"/>
    <x v="0"/>
  </r>
  <r>
    <x v="15"/>
    <n v="67164"/>
    <x v="1"/>
  </r>
  <r>
    <x v="15"/>
    <n v="60614"/>
    <x v="2"/>
  </r>
  <r>
    <x v="15"/>
    <n v="1354"/>
    <x v="0"/>
  </r>
  <r>
    <x v="16"/>
    <n v="64185"/>
    <x v="1"/>
  </r>
  <r>
    <x v="16"/>
    <n v="55862"/>
    <x v="2"/>
  </r>
  <r>
    <x v="16"/>
    <n v="1198"/>
    <x v="0"/>
  </r>
  <r>
    <x v="17"/>
    <n v="69464"/>
    <x v="1"/>
  </r>
  <r>
    <x v="17"/>
    <n v="63827"/>
    <x v="2"/>
  </r>
  <r>
    <x v="17"/>
    <n v="1274"/>
    <x v="0"/>
  </r>
  <r>
    <x v="18"/>
    <n v="61490"/>
    <x v="1"/>
  </r>
  <r>
    <x v="18"/>
    <n v="69687"/>
    <x v="2"/>
  </r>
  <r>
    <x v="18"/>
    <n v="1295"/>
    <x v="0"/>
  </r>
  <r>
    <x v="19"/>
    <n v="53816"/>
    <x v="1"/>
  </r>
  <r>
    <x v="19"/>
    <n v="63220"/>
    <x v="2"/>
  </r>
  <r>
    <x v="19"/>
    <n v="1176"/>
    <x v="0"/>
  </r>
  <r>
    <x v="20"/>
    <n v="55366"/>
    <x v="1"/>
  </r>
  <r>
    <x v="20"/>
    <n v="77551"/>
    <x v="2"/>
  </r>
  <r>
    <x v="20"/>
    <n v="1317"/>
    <x v="0"/>
  </r>
  <r>
    <x v="21"/>
    <n v="55888"/>
    <x v="1"/>
  </r>
  <r>
    <x v="21"/>
    <n v="97102"/>
    <x v="2"/>
  </r>
  <r>
    <x v="21"/>
    <n v="1309"/>
    <x v="0"/>
  </r>
  <r>
    <x v="22"/>
    <n v="51812"/>
    <x v="1"/>
  </r>
  <r>
    <x v="22"/>
    <n v="72966"/>
    <x v="2"/>
  </r>
  <r>
    <x v="22"/>
    <n v="1507"/>
    <x v="0"/>
  </r>
  <r>
    <x v="23"/>
    <n v="61078"/>
    <x v="1"/>
  </r>
  <r>
    <x v="23"/>
    <n v="77897"/>
    <x v="2"/>
  </r>
  <r>
    <x v="23"/>
    <n v="1555"/>
    <x v="0"/>
  </r>
  <r>
    <x v="24"/>
    <n v="60449"/>
    <x v="1"/>
  </r>
  <r>
    <x v="24"/>
    <n v="69883"/>
    <x v="2"/>
  </r>
  <r>
    <x v="24"/>
    <n v="1580"/>
    <x v="0"/>
  </r>
  <r>
    <x v="25"/>
    <n v="60598"/>
    <x v="1"/>
  </r>
  <r>
    <x v="25"/>
    <n v="54557"/>
    <x v="2"/>
  </r>
  <r>
    <x v="25"/>
    <n v="1271"/>
    <x v="0"/>
  </r>
  <r>
    <x v="26"/>
    <n v="91402"/>
    <x v="1"/>
  </r>
  <r>
    <x v="26"/>
    <n v="72837"/>
    <x v="2"/>
  </r>
  <r>
    <x v="26"/>
    <n v="1484"/>
    <x v="0"/>
  </r>
  <r>
    <x v="27"/>
    <n v="93377"/>
    <x v="1"/>
  </r>
  <r>
    <x v="27"/>
    <n v="43659"/>
    <x v="2"/>
  </r>
  <r>
    <x v="27"/>
    <n v="1372"/>
    <x v="0"/>
  </r>
  <r>
    <x v="28"/>
    <n v="91357"/>
    <x v="1"/>
  </r>
  <r>
    <x v="28"/>
    <n v="50960"/>
    <x v="2"/>
  </r>
  <r>
    <x v="28"/>
    <n v="1368"/>
    <x v="0"/>
  </r>
  <r>
    <x v="29"/>
    <n v="91752"/>
    <x v="1"/>
  </r>
  <r>
    <x v="29"/>
    <n v="58452"/>
    <x v="2"/>
  </r>
  <r>
    <x v="29"/>
    <n v="1404"/>
    <x v="0"/>
  </r>
  <r>
    <x v="30"/>
    <n v="70617"/>
    <x v="1"/>
  </r>
  <r>
    <x v="30"/>
    <n v="67055"/>
    <x v="2"/>
  </r>
  <r>
    <x v="30"/>
    <n v="1370"/>
    <x v="0"/>
  </r>
  <r>
    <x v="31"/>
    <n v="36040"/>
    <x v="1"/>
  </r>
  <r>
    <x v="31"/>
    <n v="41004"/>
    <x v="2"/>
  </r>
  <r>
    <x v="31"/>
    <n v="427"/>
    <x v="0"/>
  </r>
  <r>
    <x v="32"/>
    <n v="33217"/>
    <x v="1"/>
  </r>
  <r>
    <x v="32"/>
    <n v="47631"/>
    <x v="2"/>
  </r>
  <r>
    <x v="32"/>
    <n v="419"/>
    <x v="0"/>
  </r>
  <r>
    <x v="33"/>
    <n v="29595"/>
    <x v="1"/>
  </r>
  <r>
    <x v="33"/>
    <n v="47720"/>
    <x v="2"/>
  </r>
  <r>
    <x v="33"/>
    <n v="409"/>
    <x v="0"/>
  </r>
  <r>
    <x v="34"/>
    <n v="22753"/>
    <x v="1"/>
  </r>
  <r>
    <x v="34"/>
    <n v="31841"/>
    <x v="2"/>
  </r>
  <r>
    <x v="34"/>
    <n v="177"/>
    <x v="0"/>
  </r>
  <r>
    <x v="35"/>
    <n v="27885"/>
    <x v="1"/>
  </r>
  <r>
    <x v="35"/>
    <n v="28701"/>
    <x v="2"/>
  </r>
  <r>
    <x v="35"/>
    <n v="407"/>
    <x v="0"/>
  </r>
  <r>
    <x v="36"/>
    <n v="28353"/>
    <x v="1"/>
  </r>
  <r>
    <x v="36"/>
    <n v="34511"/>
    <x v="2"/>
  </r>
  <r>
    <x v="36"/>
    <n v="375"/>
    <x v="0"/>
  </r>
  <r>
    <x v="37"/>
    <n v="36364"/>
    <x v="1"/>
  </r>
  <r>
    <x v="37"/>
    <n v="28940"/>
    <x v="2"/>
  </r>
  <r>
    <x v="37"/>
    <n v="397"/>
    <x v="0"/>
  </r>
  <r>
    <x v="38"/>
    <n v="88963"/>
    <x v="1"/>
  </r>
  <r>
    <x v="38"/>
    <n v="24431"/>
    <x v="2"/>
  </r>
  <r>
    <x v="38"/>
    <n v="1250"/>
    <x v="0"/>
  </r>
  <r>
    <x v="39"/>
    <n v="187401"/>
    <x v="1"/>
  </r>
  <r>
    <x v="39"/>
    <n v="27687"/>
    <x v="2"/>
  </r>
  <r>
    <x v="39"/>
    <n v="2318"/>
    <x v="0"/>
  </r>
  <r>
    <x v="40"/>
    <n v="140030"/>
    <x v="1"/>
  </r>
  <r>
    <x v="40"/>
    <n v="24673"/>
    <x v="2"/>
  </r>
  <r>
    <x v="40"/>
    <n v="1785"/>
    <x v="0"/>
  </r>
  <r>
    <x v="41"/>
    <n v="123547"/>
    <x v="1"/>
  </r>
  <r>
    <x v="41"/>
    <n v="24641"/>
    <x v="2"/>
  </r>
  <r>
    <x v="41"/>
    <n v="2588"/>
    <x v="0"/>
  </r>
  <r>
    <x v="42"/>
    <n v="183268"/>
    <x v="1"/>
  </r>
  <r>
    <x v="42"/>
    <n v="41335"/>
    <x v="2"/>
  </r>
  <r>
    <x v="42"/>
    <n v="9453"/>
    <x v="0"/>
  </r>
  <r>
    <x v="43"/>
    <n v="107233"/>
    <x v="1"/>
  </r>
  <r>
    <x v="43"/>
    <n v="32476"/>
    <x v="2"/>
  </r>
  <r>
    <x v="43"/>
    <n v="14498"/>
    <x v="0"/>
  </r>
  <r>
    <x v="44"/>
    <n v="104917"/>
    <x v="1"/>
  </r>
  <r>
    <x v="44"/>
    <n v="42643"/>
    <x v="2"/>
  </r>
  <r>
    <x v="44"/>
    <n v="16086"/>
    <x v="0"/>
  </r>
  <r>
    <x v="45"/>
    <n v="67936"/>
    <x v="1"/>
  </r>
  <r>
    <x v="45"/>
    <n v="41473"/>
    <x v="2"/>
  </r>
  <r>
    <x v="45"/>
    <n v="8996"/>
    <x v="0"/>
  </r>
  <r>
    <x v="46"/>
    <n v="54105"/>
    <x v="1"/>
  </r>
  <r>
    <x v="46"/>
    <n v="37039"/>
    <x v="2"/>
  </r>
  <r>
    <x v="46"/>
    <n v="6341"/>
    <x v="0"/>
  </r>
  <r>
    <x v="47"/>
    <n v="53423"/>
    <x v="1"/>
  </r>
  <r>
    <x v="47"/>
    <n v="32297"/>
    <x v="2"/>
  </r>
  <r>
    <x v="47"/>
    <n v="8103"/>
    <x v="0"/>
  </r>
  <r>
    <x v="48"/>
    <n v="71676"/>
    <x v="1"/>
  </r>
  <r>
    <x v="48"/>
    <n v="42345"/>
    <x v="2"/>
  </r>
  <r>
    <x v="48"/>
    <n v="12795"/>
    <x v="0"/>
  </r>
  <r>
    <x v="49"/>
    <n v="57979"/>
    <x v="1"/>
  </r>
  <r>
    <x v="49"/>
    <n v="29955"/>
    <x v="2"/>
  </r>
  <r>
    <x v="49"/>
    <n v="12696"/>
    <x v="0"/>
  </r>
  <r>
    <x v="50"/>
    <n v="64815"/>
    <x v="1"/>
  </r>
  <r>
    <x v="50"/>
    <n v="27636"/>
    <x v="2"/>
  </r>
  <r>
    <x v="50"/>
    <n v="13514"/>
    <x v="0"/>
  </r>
  <r>
    <x v="51"/>
    <n v="61902"/>
    <x v="1"/>
  </r>
  <r>
    <x v="51"/>
    <n v="30875"/>
    <x v="2"/>
  </r>
  <r>
    <x v="51"/>
    <n v="11773"/>
    <x v="0"/>
  </r>
  <r>
    <x v="52"/>
    <n v="37869"/>
    <x v="1"/>
  </r>
  <r>
    <x v="52"/>
    <n v="23058"/>
    <x v="2"/>
  </r>
  <r>
    <x v="52"/>
    <n v="10346"/>
    <x v="0"/>
  </r>
  <r>
    <x v="53"/>
    <n v="40562"/>
    <x v="1"/>
  </r>
  <r>
    <x v="53"/>
    <n v="30710"/>
    <x v="2"/>
  </r>
  <r>
    <x v="53"/>
    <n v="9171"/>
    <x v="0"/>
  </r>
  <r>
    <x v="54"/>
    <n v="40799"/>
    <x v="1"/>
  </r>
  <r>
    <x v="54"/>
    <n v="38377"/>
    <x v="2"/>
  </r>
  <r>
    <x v="54"/>
    <n v="10433"/>
    <x v="0"/>
  </r>
  <r>
    <x v="55"/>
    <n v="37795"/>
    <x v="1"/>
  </r>
  <r>
    <x v="55"/>
    <n v="36953"/>
    <x v="2"/>
  </r>
  <r>
    <x v="55"/>
    <n v="9017"/>
    <x v="0"/>
  </r>
  <r>
    <x v="56"/>
    <n v="44543"/>
    <x v="1"/>
  </r>
  <r>
    <x v="56"/>
    <n v="32778"/>
    <x v="2"/>
  </r>
  <r>
    <x v="56"/>
    <n v="9218"/>
    <x v="0"/>
  </r>
  <r>
    <x v="57"/>
    <n v="63945"/>
    <x v="1"/>
  </r>
  <r>
    <x v="57"/>
    <n v="25077"/>
    <x v="2"/>
  </r>
  <r>
    <x v="57"/>
    <n v="16012"/>
    <x v="0"/>
  </r>
  <r>
    <x v="58"/>
    <n v="69234"/>
    <x v="1"/>
  </r>
  <r>
    <x v="58"/>
    <n v="21824"/>
    <x v="2"/>
  </r>
  <r>
    <x v="58"/>
    <n v="13956"/>
    <x v="0"/>
  </r>
  <r>
    <x v="59"/>
    <n v="68606"/>
    <x v="1"/>
  </r>
  <r>
    <x v="59"/>
    <n v="19204"/>
    <x v="2"/>
  </r>
  <r>
    <x v="59"/>
    <n v="16014"/>
    <x v="0"/>
  </r>
  <r>
    <x v="60"/>
    <n v="73157"/>
    <x v="1"/>
  </r>
  <r>
    <x v="60"/>
    <n v="17561"/>
    <x v="2"/>
  </r>
  <r>
    <x v="60"/>
    <n v="17737"/>
    <x v="0"/>
  </r>
  <r>
    <x v="61"/>
    <n v="71333"/>
    <x v="1"/>
  </r>
  <r>
    <x v="61"/>
    <n v="21831"/>
    <x v="2"/>
  </r>
  <r>
    <x v="61"/>
    <n v="14937"/>
    <x v="0"/>
  </r>
  <r>
    <x v="62"/>
    <n v="61002"/>
    <x v="1"/>
  </r>
  <r>
    <x v="62"/>
    <n v="22007"/>
    <x v="2"/>
  </r>
  <r>
    <x v="62"/>
    <n v="17490"/>
    <x v="0"/>
  </r>
  <r>
    <x v="63"/>
    <n v="36850"/>
    <x v="1"/>
  </r>
  <r>
    <x v="63"/>
    <n v="16260"/>
    <x v="2"/>
  </r>
  <r>
    <x v="63"/>
    <n v="10517"/>
    <x v="0"/>
  </r>
  <r>
    <x v="64"/>
    <n v="28254"/>
    <x v="1"/>
  </r>
  <r>
    <x v="64"/>
    <n v="15307"/>
    <x v="2"/>
  </r>
  <r>
    <x v="64"/>
    <n v="9118"/>
    <x v="0"/>
  </r>
  <r>
    <x v="65"/>
    <n v="22304"/>
    <x v="1"/>
  </r>
  <r>
    <x v="65"/>
    <n v="18349"/>
    <x v="2"/>
  </r>
  <r>
    <x v="65"/>
    <n v="5828"/>
    <x v="0"/>
  </r>
  <r>
    <x v="66"/>
    <n v="22239"/>
    <x v="1"/>
  </r>
  <r>
    <x v="66"/>
    <n v="23616"/>
    <x v="2"/>
  </r>
  <r>
    <x v="66"/>
    <n v="5870"/>
    <x v="0"/>
  </r>
  <r>
    <x v="67"/>
    <n v="16955"/>
    <x v="1"/>
  </r>
  <r>
    <x v="67"/>
    <n v="19009"/>
    <x v="2"/>
  </r>
  <r>
    <x v="67"/>
    <n v="6101"/>
    <x v="0"/>
  </r>
  <r>
    <x v="68"/>
    <n v="24762"/>
    <x v="1"/>
  </r>
  <r>
    <x v="68"/>
    <n v="25639"/>
    <x v="2"/>
  </r>
  <r>
    <x v="68"/>
    <n v="6179"/>
    <x v="0"/>
  </r>
  <r>
    <x v="69"/>
    <n v="25880"/>
    <x v="1"/>
  </r>
  <r>
    <x v="69"/>
    <n v="27102"/>
    <x v="2"/>
  </r>
  <r>
    <x v="69"/>
    <n v="7308"/>
    <x v="0"/>
  </r>
  <r>
    <x v="70"/>
    <n v="32509"/>
    <x v="1"/>
  </r>
  <r>
    <x v="70"/>
    <n v="20424"/>
    <x v="2"/>
  </r>
  <r>
    <x v="70"/>
    <n v="7216"/>
    <x v="0"/>
  </r>
  <r>
    <x v="71"/>
    <n v="31848"/>
    <x v="1"/>
  </r>
  <r>
    <x v="71"/>
    <n v="15277"/>
    <x v="2"/>
  </r>
  <r>
    <x v="71"/>
    <n v="6751"/>
    <x v="0"/>
  </r>
  <r>
    <x v="72"/>
    <n v="30460"/>
    <x v="1"/>
  </r>
  <r>
    <x v="72"/>
    <n v="7570"/>
    <x v="2"/>
  </r>
  <r>
    <x v="72"/>
    <n v="5539"/>
    <x v="0"/>
  </r>
  <r>
    <x v="73"/>
    <n v="40253"/>
    <x v="1"/>
  </r>
  <r>
    <x v="73"/>
    <n v="16546"/>
    <x v="2"/>
  </r>
  <r>
    <x v="73"/>
    <n v="12378"/>
    <x v="0"/>
  </r>
  <r>
    <x v="74"/>
    <n v="59797"/>
    <x v="1"/>
  </r>
  <r>
    <x v="74"/>
    <n v="20135"/>
    <x v="2"/>
  </r>
  <r>
    <x v="74"/>
    <n v="9871"/>
    <x v="0"/>
  </r>
  <r>
    <x v="75"/>
    <n v="52700"/>
    <x v="1"/>
  </r>
  <r>
    <x v="75"/>
    <n v="14854"/>
    <x v="2"/>
  </r>
  <r>
    <x v="75"/>
    <n v="16508"/>
    <x v="0"/>
  </r>
  <r>
    <x v="76"/>
    <n v="52285"/>
    <x v="1"/>
  </r>
  <r>
    <x v="76"/>
    <n v="22249"/>
    <x v="2"/>
  </r>
  <r>
    <x v="76"/>
    <n v="12108"/>
    <x v="0"/>
  </r>
  <r>
    <x v="77"/>
    <n v="37066"/>
    <x v="1"/>
  </r>
  <r>
    <x v="77"/>
    <n v="16856"/>
    <x v="2"/>
  </r>
  <r>
    <x v="77"/>
    <n v="12394"/>
    <x v="0"/>
  </r>
  <r>
    <x v="78"/>
    <n v="46044"/>
    <x v="1"/>
  </r>
  <r>
    <x v="78"/>
    <n v="37261"/>
    <x v="2"/>
  </r>
  <r>
    <x v="78"/>
    <n v="15626"/>
    <x v="0"/>
  </r>
  <r>
    <x v="79"/>
    <n v="36784"/>
    <x v="1"/>
  </r>
  <r>
    <x v="79"/>
    <n v="26911"/>
    <x v="2"/>
  </r>
  <r>
    <x v="79"/>
    <n v="14877"/>
    <x v="0"/>
  </r>
  <r>
    <x v="80"/>
    <n v="51984"/>
    <x v="1"/>
  </r>
  <r>
    <x v="80"/>
    <n v="37843"/>
    <x v="2"/>
  </r>
  <r>
    <x v="80"/>
    <n v="13702"/>
    <x v="0"/>
  </r>
  <r>
    <x v="81"/>
    <n v="44391"/>
    <x v="1"/>
  </r>
  <r>
    <x v="81"/>
    <n v="23418"/>
    <x v="2"/>
  </r>
  <r>
    <x v="81"/>
    <n v="11344"/>
    <x v="0"/>
  </r>
  <r>
    <x v="82"/>
    <n v="66015"/>
    <x v="1"/>
  </r>
  <r>
    <x v="82"/>
    <n v="34325"/>
    <x v="2"/>
  </r>
  <r>
    <x v="82"/>
    <n v="12699"/>
    <x v="0"/>
  </r>
  <r>
    <x v="83"/>
    <n v="95074"/>
    <x v="1"/>
  </r>
  <r>
    <x v="83"/>
    <n v="46278"/>
    <x v="2"/>
  </r>
  <r>
    <x v="83"/>
    <n v="21038"/>
    <x v="0"/>
  </r>
  <r>
    <x v="84"/>
    <n v="41588"/>
    <x v="1"/>
  </r>
  <r>
    <x v="84"/>
    <n v="16571"/>
    <x v="2"/>
  </r>
  <r>
    <x v="84"/>
    <n v="8801"/>
    <x v="0"/>
  </r>
  <r>
    <x v="85"/>
    <n v="73417"/>
    <x v="1"/>
  </r>
  <r>
    <x v="85"/>
    <n v="25177"/>
    <x v="2"/>
  </r>
  <r>
    <x v="85"/>
    <n v="15956"/>
    <x v="0"/>
  </r>
  <r>
    <x v="86"/>
    <n v="67911"/>
    <x v="1"/>
  </r>
  <r>
    <x v="86"/>
    <n v="25580"/>
    <x v="2"/>
  </r>
  <r>
    <x v="86"/>
    <n v="14922"/>
    <x v="0"/>
  </r>
  <r>
    <x v="87"/>
    <n v="82614"/>
    <x v="1"/>
  </r>
  <r>
    <x v="87"/>
    <n v="28914"/>
    <x v="2"/>
  </r>
  <r>
    <x v="87"/>
    <n v="16099"/>
    <x v="0"/>
  </r>
  <r>
    <x v="88"/>
    <n v="75037"/>
    <x v="1"/>
  </r>
  <r>
    <x v="88"/>
    <n v="35275"/>
    <x v="2"/>
  </r>
  <r>
    <x v="88"/>
    <n v="16803"/>
    <x v="0"/>
  </r>
  <r>
    <x v="89"/>
    <n v="55021"/>
    <x v="1"/>
  </r>
  <r>
    <x v="89"/>
    <n v="34586"/>
    <x v="2"/>
  </r>
  <r>
    <x v="89"/>
    <n v="15227"/>
    <x v="0"/>
  </r>
  <r>
    <x v="90"/>
    <n v="66427"/>
    <x v="1"/>
  </r>
  <r>
    <x v="90"/>
    <n v="44700"/>
    <x v="2"/>
  </r>
  <r>
    <x v="90"/>
    <n v="14816"/>
    <x v="0"/>
  </r>
  <r>
    <x v="91"/>
    <n v="51039"/>
    <x v="1"/>
  </r>
  <r>
    <x v="91"/>
    <n v="39068"/>
    <x v="2"/>
  </r>
  <r>
    <x v="91"/>
    <n v="11331"/>
    <x v="0"/>
  </r>
  <r>
    <x v="92"/>
    <n v="46731"/>
    <x v="1"/>
  </r>
  <r>
    <x v="92"/>
    <n v="47444"/>
    <x v="2"/>
  </r>
  <r>
    <x v="92"/>
    <n v="9920"/>
    <x v="0"/>
  </r>
  <r>
    <x v="93"/>
    <n v="30127"/>
    <x v="1"/>
  </r>
  <r>
    <x v="93"/>
    <n v="35267"/>
    <x v="2"/>
  </r>
  <r>
    <x v="93"/>
    <n v="8504"/>
    <x v="0"/>
  </r>
  <r>
    <x v="94"/>
    <n v="22632"/>
    <x v="1"/>
  </r>
  <r>
    <x v="94"/>
    <n v="33777"/>
    <x v="2"/>
  </r>
  <r>
    <x v="94"/>
    <n v="7408"/>
    <x v="0"/>
  </r>
  <r>
    <x v="95"/>
    <n v="24532"/>
    <x v="1"/>
  </r>
  <r>
    <x v="95"/>
    <n v="40694"/>
    <x v="2"/>
  </r>
  <r>
    <x v="95"/>
    <n v="6199"/>
    <x v="0"/>
  </r>
  <r>
    <x v="96"/>
    <n v="25298"/>
    <x v="1"/>
  </r>
  <r>
    <x v="96"/>
    <n v="40788"/>
    <x v="2"/>
  </r>
  <r>
    <x v="96"/>
    <n v="3859"/>
    <x v="0"/>
  </r>
  <r>
    <x v="97"/>
    <n v="23301"/>
    <x v="1"/>
  </r>
  <r>
    <x v="97"/>
    <n v="32552"/>
    <x v="2"/>
  </r>
  <r>
    <x v="97"/>
    <n v="5345"/>
    <x v="0"/>
  </r>
  <r>
    <x v="98"/>
    <n v="21236"/>
    <x v="1"/>
  </r>
  <r>
    <x v="98"/>
    <n v="32575"/>
    <x v="2"/>
  </r>
  <r>
    <x v="98"/>
    <n v="4712"/>
    <x v="0"/>
  </r>
  <r>
    <x v="99"/>
    <n v="15910"/>
    <x v="1"/>
  </r>
  <r>
    <x v="99"/>
    <n v="25292"/>
    <x v="2"/>
  </r>
  <r>
    <x v="99"/>
    <n v="3157"/>
    <x v="0"/>
  </r>
  <r>
    <x v="100"/>
    <n v="18649"/>
    <x v="1"/>
  </r>
  <r>
    <x v="100"/>
    <n v="33556"/>
    <x v="2"/>
  </r>
  <r>
    <x v="100"/>
    <n v="3338"/>
    <x v="0"/>
  </r>
  <r>
    <x v="101"/>
    <n v="18072"/>
    <x v="1"/>
  </r>
  <r>
    <x v="101"/>
    <n v="36971"/>
    <x v="2"/>
  </r>
  <r>
    <x v="101"/>
    <n v="2957"/>
    <x v="0"/>
  </r>
  <r>
    <x v="102"/>
    <n v="19550"/>
    <x v="1"/>
  </r>
  <r>
    <x v="102"/>
    <n v="44546"/>
    <x v="2"/>
  </r>
  <r>
    <x v="102"/>
    <n v="3084"/>
    <x v="0"/>
  </r>
  <r>
    <x v="103"/>
    <n v="19246"/>
    <x v="1"/>
  </r>
  <r>
    <x v="103"/>
    <n v="47158"/>
    <x v="2"/>
  </r>
  <r>
    <x v="103"/>
    <n v="2342"/>
    <x v="0"/>
  </r>
  <r>
    <x v="104"/>
    <n v="34153"/>
    <x v="1"/>
  </r>
  <r>
    <x v="104"/>
    <n v="58661"/>
    <x v="2"/>
  </r>
  <r>
    <x v="104"/>
    <n v="2219"/>
    <x v="0"/>
  </r>
  <r>
    <x v="105"/>
    <n v="27138"/>
    <x v="1"/>
  </r>
  <r>
    <x v="105"/>
    <n v="53474"/>
    <x v="2"/>
  </r>
  <r>
    <x v="105"/>
    <n v="2631"/>
    <x v="0"/>
  </r>
  <r>
    <x v="106"/>
    <n v="28527"/>
    <x v="1"/>
  </r>
  <r>
    <x v="106"/>
    <n v="52441"/>
    <x v="2"/>
  </r>
  <r>
    <x v="106"/>
    <n v="2568"/>
    <x v="0"/>
  </r>
  <r>
    <x v="107"/>
    <n v="27618"/>
    <x v="1"/>
  </r>
  <r>
    <x v="107"/>
    <n v="48167"/>
    <x v="2"/>
  </r>
  <r>
    <x v="107"/>
    <n v="2198"/>
    <x v="0"/>
  </r>
  <r>
    <x v="108"/>
    <n v="29951"/>
    <x v="1"/>
  </r>
  <r>
    <x v="108"/>
    <n v="37180"/>
    <x v="2"/>
  </r>
  <r>
    <x v="108"/>
    <n v="2266"/>
    <x v="0"/>
  </r>
  <r>
    <x v="109"/>
    <n v="30559"/>
    <x v="1"/>
  </r>
  <r>
    <x v="109"/>
    <n v="37274"/>
    <x v="2"/>
  </r>
  <r>
    <x v="109"/>
    <n v="1926"/>
    <x v="0"/>
  </r>
  <r>
    <x v="110"/>
    <n v="53289"/>
    <x v="1"/>
  </r>
  <r>
    <x v="110"/>
    <n v="41840"/>
    <x v="2"/>
  </r>
  <r>
    <x v="110"/>
    <n v="2211"/>
    <x v="0"/>
  </r>
  <r>
    <x v="111"/>
    <n v="43003"/>
    <x v="1"/>
  </r>
  <r>
    <x v="111"/>
    <n v="29926"/>
    <x v="2"/>
  </r>
  <r>
    <x v="111"/>
    <n v="1947"/>
    <x v="0"/>
  </r>
  <r>
    <x v="112"/>
    <n v="54294"/>
    <x v="1"/>
  </r>
  <r>
    <x v="112"/>
    <n v="40194"/>
    <x v="2"/>
  </r>
  <r>
    <x v="112"/>
    <n v="2099"/>
    <x v="0"/>
  </r>
  <r>
    <x v="113"/>
    <n v="49112"/>
    <x v="1"/>
  </r>
  <r>
    <x v="113"/>
    <n v="45666"/>
    <x v="2"/>
  </r>
  <r>
    <x v="113"/>
    <n v="2013"/>
    <x v="0"/>
  </r>
  <r>
    <x v="114"/>
    <n v="51430"/>
    <x v="1"/>
  </r>
  <r>
    <x v="114"/>
    <n v="53369"/>
    <x v="2"/>
  </r>
  <r>
    <x v="114"/>
    <n v="1859"/>
    <x v="0"/>
  </r>
  <r>
    <x v="115"/>
    <n v="43435"/>
    <x v="1"/>
  </r>
  <r>
    <x v="115"/>
    <n v="58490"/>
    <x v="2"/>
  </r>
  <r>
    <x v="115"/>
    <n v="1686"/>
    <x v="0"/>
  </r>
  <r>
    <x v="116"/>
    <n v="34021"/>
    <x v="1"/>
  </r>
  <r>
    <x v="116"/>
    <n v="50580"/>
    <x v="2"/>
  </r>
  <r>
    <x v="116"/>
    <n v="1399"/>
    <x v="0"/>
  </r>
  <r>
    <x v="117"/>
    <n v="29633"/>
    <x v="1"/>
  </r>
  <r>
    <x v="117"/>
    <n v="62040"/>
    <x v="2"/>
  </r>
  <r>
    <x v="117"/>
    <n v="1669"/>
    <x v="0"/>
  </r>
  <r>
    <x v="118"/>
    <n v="32151"/>
    <x v="1"/>
  </r>
  <r>
    <x v="118"/>
    <n v="56968"/>
    <x v="2"/>
  </r>
  <r>
    <x v="118"/>
    <n v="1726"/>
    <x v="0"/>
  </r>
  <r>
    <x v="119"/>
    <n v="1395"/>
    <x v="0"/>
  </r>
  <r>
    <x v="119"/>
    <n v="45390"/>
    <x v="2"/>
  </r>
  <r>
    <x v="119"/>
    <n v="32016"/>
    <x v="1"/>
  </r>
  <r>
    <x v="120"/>
    <n v="1188"/>
    <x v="0"/>
  </r>
  <r>
    <x v="120"/>
    <n v="41614"/>
    <x v="2"/>
  </r>
  <r>
    <x v="120"/>
    <n v="31162"/>
    <x v="1"/>
  </r>
  <r>
    <x v="121"/>
    <n v="20137"/>
    <x v="1"/>
  </r>
  <r>
    <x v="121"/>
    <n v="722"/>
    <x v="0"/>
  </r>
  <r>
    <x v="121"/>
    <n v="28453"/>
    <x v="2"/>
  </r>
  <r>
    <x v="122"/>
    <m/>
    <x v="3"/>
  </r>
  <r>
    <x v="122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2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6"/>
    <x v="0"/>
  </r>
  <r>
    <x v="4"/>
    <n v="357"/>
    <x v="1"/>
  </r>
  <r>
    <x v="4"/>
    <n v="1954"/>
    <x v="0"/>
  </r>
  <r>
    <x v="5"/>
    <n v="256"/>
    <x v="1"/>
  </r>
  <r>
    <x v="5"/>
    <n v="2080"/>
    <x v="0"/>
  </r>
  <r>
    <x v="6"/>
    <n v="314"/>
    <x v="1"/>
  </r>
  <r>
    <x v="6"/>
    <n v="2676"/>
    <x v="0"/>
  </r>
  <r>
    <x v="7"/>
    <n v="372"/>
    <x v="1"/>
  </r>
  <r>
    <x v="7"/>
    <n v="3211"/>
    <x v="0"/>
  </r>
  <r>
    <x v="8"/>
    <n v="4048"/>
    <x v="0"/>
  </r>
  <r>
    <x v="8"/>
    <n v="617"/>
    <x v="1"/>
  </r>
  <r>
    <x v="9"/>
    <n v="996"/>
    <x v="1"/>
  </r>
  <r>
    <x v="9"/>
    <n v="7481"/>
    <x v="0"/>
  </r>
  <r>
    <x v="10"/>
    <n v="15991"/>
    <x v="0"/>
  </r>
  <r>
    <x v="10"/>
    <n v="2199"/>
    <x v="1"/>
  </r>
  <r>
    <x v="11"/>
    <n v="9660"/>
    <x v="1"/>
  </r>
  <r>
    <x v="11"/>
    <n v="58394"/>
    <x v="0"/>
  </r>
  <r>
    <x v="12"/>
    <n v="96347"/>
    <x v="0"/>
  </r>
  <r>
    <x v="12"/>
    <n v="14686"/>
    <x v="1"/>
  </r>
  <r>
    <x v="13"/>
    <n v="93070"/>
    <x v="0"/>
  </r>
  <r>
    <x v="13"/>
    <n v="13545"/>
    <x v="1"/>
  </r>
  <r>
    <x v="14"/>
    <n v="77021"/>
    <x v="0"/>
  </r>
  <r>
    <x v="14"/>
    <n v="12671"/>
    <x v="1"/>
  </r>
  <r>
    <x v="15"/>
    <n v="86488"/>
    <x v="0"/>
  </r>
  <r>
    <x v="15"/>
    <n v="13588"/>
    <x v="1"/>
  </r>
  <r>
    <x v="16"/>
    <n v="99743"/>
    <x v="0"/>
  </r>
  <r>
    <x v="16"/>
    <n v="13902"/>
    <x v="1"/>
  </r>
  <r>
    <x v="17"/>
    <n v="12297"/>
    <x v="1"/>
  </r>
  <r>
    <x v="17"/>
    <n v="94688"/>
    <x v="0"/>
  </r>
  <r>
    <x v="18"/>
    <n v="102712"/>
    <x v="0"/>
  </r>
  <r>
    <x v="18"/>
    <n v="11912"/>
    <x v="1"/>
  </r>
  <r>
    <x v="19"/>
    <n v="111389"/>
    <x v="0"/>
  </r>
  <r>
    <x v="19"/>
    <n v="11212"/>
    <x v="1"/>
  </r>
  <r>
    <x v="20"/>
    <n v="101464"/>
    <x v="0"/>
  </r>
  <r>
    <x v="20"/>
    <n v="10662"/>
    <x v="1"/>
  </r>
  <r>
    <x v="21"/>
    <n v="102383"/>
    <x v="0"/>
  </r>
  <r>
    <x v="21"/>
    <n v="11537"/>
    <x v="1"/>
  </r>
  <r>
    <x v="22"/>
    <n v="12948"/>
    <x v="1"/>
  </r>
  <r>
    <x v="22"/>
    <n v="96093"/>
    <x v="0"/>
  </r>
  <r>
    <x v="23"/>
    <n v="107332"/>
    <x v="0"/>
  </r>
  <r>
    <x v="23"/>
    <n v="17880"/>
    <x v="1"/>
  </r>
  <r>
    <x v="24"/>
    <n v="17232"/>
    <x v="1"/>
  </r>
  <r>
    <x v="24"/>
    <n v="98456"/>
    <x v="0"/>
  </r>
  <r>
    <x v="25"/>
    <n v="21209"/>
    <x v="1"/>
  </r>
  <r>
    <x v="25"/>
    <n v="99305"/>
    <x v="0"/>
  </r>
  <r>
    <x v="26"/>
    <n v="86895"/>
    <x v="0"/>
  </r>
  <r>
    <x v="26"/>
    <n v="20923"/>
    <x v="1"/>
  </r>
  <r>
    <x v="27"/>
    <n v="18017"/>
    <x v="1"/>
  </r>
  <r>
    <x v="27"/>
    <n v="93294"/>
    <x v="0"/>
  </r>
  <r>
    <x v="28"/>
    <n v="118081"/>
    <x v="0"/>
  </r>
  <r>
    <x v="28"/>
    <n v="22875"/>
    <x v="1"/>
  </r>
  <r>
    <x v="29"/>
    <n v="122699"/>
    <x v="0"/>
  </r>
  <r>
    <x v="29"/>
    <n v="24801"/>
    <x v="1"/>
  </r>
  <r>
    <x v="30"/>
    <n v="21810"/>
    <x v="1"/>
  </r>
  <r>
    <x v="30"/>
    <n v="125488"/>
    <x v="0"/>
  </r>
  <r>
    <x v="31"/>
    <n v="118350"/>
    <x v="0"/>
  </r>
  <r>
    <x v="31"/>
    <n v="17435"/>
    <x v="1"/>
  </r>
  <r>
    <x v="32"/>
    <n v="113663"/>
    <x v="0"/>
  </r>
  <r>
    <x v="32"/>
    <n v="15467"/>
    <x v="1"/>
  </r>
  <r>
    <x v="33"/>
    <n v="110255"/>
    <x v="0"/>
  </r>
  <r>
    <x v="33"/>
    <n v="15255"/>
    <x v="1"/>
  </r>
  <r>
    <x v="34"/>
    <n v="99633"/>
    <x v="0"/>
  </r>
  <r>
    <x v="34"/>
    <n v="18097"/>
    <x v="1"/>
  </r>
  <r>
    <x v="35"/>
    <n v="101090"/>
    <x v="0"/>
  </r>
  <r>
    <x v="35"/>
    <n v="21973"/>
    <x v="1"/>
  </r>
  <r>
    <x v="36"/>
    <n v="88196"/>
    <x v="0"/>
  </r>
  <r>
    <x v="36"/>
    <n v="20897"/>
    <x v="1"/>
  </r>
  <r>
    <x v="37"/>
    <n v="30555"/>
    <x v="1"/>
  </r>
  <r>
    <x v="37"/>
    <n v="95942"/>
    <x v="0"/>
  </r>
  <r>
    <x v="38"/>
    <n v="78249"/>
    <x v="0"/>
  </r>
  <r>
    <x v="38"/>
    <n v="34268"/>
    <x v="1"/>
  </r>
  <r>
    <x v="39"/>
    <n v="60058"/>
    <x v="1"/>
  </r>
  <r>
    <x v="39"/>
    <n v="99187"/>
    <x v="0"/>
  </r>
  <r>
    <x v="40"/>
    <n v="102401"/>
    <x v="0"/>
  </r>
  <r>
    <x v="40"/>
    <n v="41596"/>
    <x v="1"/>
  </r>
  <r>
    <x v="41"/>
    <n v="38213"/>
    <x v="1"/>
  </r>
  <r>
    <x v="41"/>
    <n v="98365"/>
    <x v="0"/>
  </r>
  <r>
    <x v="42"/>
    <n v="81925"/>
    <x v="0"/>
  </r>
  <r>
    <x v="42"/>
    <n v="23471"/>
    <x v="1"/>
  </r>
  <r>
    <x v="43"/>
    <n v="80739"/>
    <x v="0"/>
  </r>
  <r>
    <x v="43"/>
    <n v="17448"/>
    <x v="1"/>
  </r>
  <r>
    <x v="44"/>
    <n v="11582"/>
    <x v="1"/>
  </r>
  <r>
    <x v="44"/>
    <n v="67217"/>
    <x v="0"/>
  </r>
  <r>
    <x v="45"/>
    <n v="45117"/>
    <x v="0"/>
  </r>
  <r>
    <x v="45"/>
    <n v="7202"/>
    <x v="1"/>
  </r>
  <r>
    <x v="46"/>
    <n v="10585"/>
    <x v="1"/>
  </r>
  <r>
    <x v="46"/>
    <n v="50694"/>
    <x v="0"/>
  </r>
  <r>
    <x v="47"/>
    <n v="15821"/>
    <x v="1"/>
  </r>
  <r>
    <x v="47"/>
    <n v="52103"/>
    <x v="0"/>
  </r>
  <r>
    <x v="48"/>
    <n v="32448"/>
    <x v="0"/>
  </r>
  <r>
    <x v="48"/>
    <n v="7542"/>
    <x v="1"/>
  </r>
  <r>
    <x v="49"/>
    <n v="32323"/>
    <x v="1"/>
  </r>
  <r>
    <x v="49"/>
    <n v="52470"/>
    <x v="0"/>
  </r>
  <r>
    <x v="50"/>
    <n v="58125"/>
    <x v="0"/>
  </r>
  <r>
    <x v="50"/>
    <n v="81505"/>
    <x v="1"/>
  </r>
  <r>
    <x v="51"/>
    <n v="72314"/>
    <x v="0"/>
  </r>
  <r>
    <x v="51"/>
    <n v="104826"/>
    <x v="1"/>
  </r>
  <r>
    <x v="52"/>
    <n v="87478"/>
    <x v="0"/>
  </r>
  <r>
    <x v="52"/>
    <n v="108692"/>
    <x v="1"/>
  </r>
  <r>
    <x v="53"/>
    <n v="10383"/>
    <x v="2"/>
  </r>
  <r>
    <x v="53"/>
    <n v="94312"/>
    <x v="3"/>
  </r>
  <r>
    <x v="53"/>
    <n v="80976"/>
    <x v="0"/>
  </r>
  <r>
    <x v="54"/>
    <n v="82570"/>
    <x v="0"/>
  </r>
  <r>
    <x v="54"/>
    <n v="90531"/>
    <x v="3"/>
  </r>
  <r>
    <x v="54"/>
    <n v="16311"/>
    <x v="2"/>
  </r>
  <r>
    <x v="55"/>
    <n v="89410"/>
    <x v="0"/>
  </r>
  <r>
    <x v="55"/>
    <n v="71783"/>
    <x v="3"/>
  </r>
  <r>
    <x v="55"/>
    <n v="25480"/>
    <x v="2"/>
  </r>
  <r>
    <x v="56"/>
    <n v="22620"/>
    <x v="2"/>
  </r>
  <r>
    <x v="56"/>
    <n v="45076"/>
    <x v="3"/>
  </r>
  <r>
    <x v="56"/>
    <n v="83867"/>
    <x v="0"/>
  </r>
  <r>
    <x v="57"/>
    <n v="16406"/>
    <x v="2"/>
  </r>
  <r>
    <x v="57"/>
    <n v="24616"/>
    <x v="3"/>
  </r>
  <r>
    <x v="57"/>
    <n v="62931"/>
    <x v="0"/>
  </r>
  <r>
    <x v="58"/>
    <n v="13051"/>
    <x v="2"/>
  </r>
  <r>
    <x v="58"/>
    <n v="20958"/>
    <x v="3"/>
  </r>
  <r>
    <x v="58"/>
    <n v="58846"/>
    <x v="0"/>
  </r>
  <r>
    <x v="59"/>
    <n v="62802"/>
    <x v="0"/>
  </r>
  <r>
    <x v="59"/>
    <n v="26484"/>
    <x v="3"/>
  </r>
  <r>
    <x v="59"/>
    <n v="18179"/>
    <x v="2"/>
  </r>
  <r>
    <x v="60"/>
    <n v="60390"/>
    <x v="0"/>
  </r>
  <r>
    <x v="60"/>
    <n v="23590"/>
    <x v="2"/>
  </r>
  <r>
    <x v="60"/>
    <n v="27562"/>
    <x v="3"/>
  </r>
  <r>
    <x v="61"/>
    <n v="29806"/>
    <x v="3"/>
  </r>
  <r>
    <x v="61"/>
    <n v="54738"/>
    <x v="0"/>
  </r>
  <r>
    <x v="61"/>
    <n v="26564"/>
    <x v="2"/>
  </r>
  <r>
    <x v="62"/>
    <n v="24648"/>
    <x v="2"/>
  </r>
  <r>
    <x v="62"/>
    <n v="25134"/>
    <x v="3"/>
  </r>
  <r>
    <x v="62"/>
    <n v="43730"/>
    <x v="0"/>
  </r>
  <r>
    <x v="63"/>
    <n v="42612"/>
    <x v="0"/>
  </r>
  <r>
    <x v="63"/>
    <n v="17440"/>
    <x v="2"/>
  </r>
  <r>
    <x v="63"/>
    <n v="17800"/>
    <x v="3"/>
  </r>
  <r>
    <x v="64"/>
    <n v="21045"/>
    <x v="2"/>
  </r>
  <r>
    <x v="64"/>
    <n v="16829"/>
    <x v="3"/>
  </r>
  <r>
    <x v="64"/>
    <n v="46375"/>
    <x v="0"/>
  </r>
  <r>
    <x v="65"/>
    <n v="49599"/>
    <x v="0"/>
  </r>
  <r>
    <x v="65"/>
    <n v="19445"/>
    <x v="2"/>
  </r>
  <r>
    <x v="65"/>
    <n v="14699"/>
    <x v="3"/>
  </r>
  <r>
    <x v="66"/>
    <n v="15205"/>
    <x v="2"/>
  </r>
  <r>
    <x v="66"/>
    <n v="11907"/>
    <x v="3"/>
  </r>
  <r>
    <x v="66"/>
    <n v="51493"/>
    <x v="0"/>
  </r>
  <r>
    <x v="67"/>
    <n v="55048"/>
    <x v="0"/>
  </r>
  <r>
    <x v="67"/>
    <n v="21345"/>
    <x v="2"/>
  </r>
  <r>
    <x v="67"/>
    <n v="16456"/>
    <x v="3"/>
  </r>
  <r>
    <x v="68"/>
    <n v="28168"/>
    <x v="2"/>
  </r>
  <r>
    <x v="68"/>
    <n v="22322"/>
    <x v="3"/>
  </r>
  <r>
    <x v="68"/>
    <n v="40328"/>
    <x v="0"/>
  </r>
  <r>
    <x v="69"/>
    <n v="33340"/>
    <x v="2"/>
  </r>
  <r>
    <x v="69"/>
    <n v="30002"/>
    <x v="3"/>
  </r>
  <r>
    <x v="69"/>
    <n v="41549"/>
    <x v="0"/>
  </r>
  <r>
    <x v="70"/>
    <n v="37450"/>
    <x v="0"/>
  </r>
  <r>
    <x v="70"/>
    <n v="30869"/>
    <x v="3"/>
  </r>
  <r>
    <x v="70"/>
    <n v="38106"/>
    <x v="2"/>
  </r>
  <r>
    <x v="71"/>
    <n v="38964"/>
    <x v="0"/>
  </r>
  <r>
    <x v="71"/>
    <n v="43237"/>
    <x v="2"/>
  </r>
  <r>
    <x v="71"/>
    <n v="34888"/>
    <x v="3"/>
  </r>
  <r>
    <x v="72"/>
    <n v="33215"/>
    <x v="3"/>
  </r>
  <r>
    <x v="72"/>
    <n v="36931"/>
    <x v="0"/>
  </r>
  <r>
    <x v="72"/>
    <n v="44477"/>
    <x v="2"/>
  </r>
  <r>
    <x v="73"/>
    <n v="37322"/>
    <x v="2"/>
  </r>
  <r>
    <x v="73"/>
    <n v="30768"/>
    <x v="3"/>
  </r>
  <r>
    <x v="73"/>
    <n v="41383"/>
    <x v="0"/>
  </r>
  <r>
    <x v="74"/>
    <n v="32289"/>
    <x v="2"/>
  </r>
  <r>
    <x v="74"/>
    <n v="20081"/>
    <x v="3"/>
  </r>
  <r>
    <x v="74"/>
    <n v="32412"/>
    <x v="0"/>
  </r>
  <r>
    <x v="75"/>
    <n v="22609"/>
    <x v="0"/>
  </r>
  <r>
    <x v="75"/>
    <n v="10793"/>
    <x v="3"/>
  </r>
  <r>
    <x v="75"/>
    <n v="21224"/>
    <x v="2"/>
  </r>
  <r>
    <x v="76"/>
    <n v="29809"/>
    <x v="0"/>
  </r>
  <r>
    <x v="76"/>
    <n v="14491"/>
    <x v="2"/>
  </r>
  <r>
    <x v="76"/>
    <n v="9553"/>
    <x v="3"/>
  </r>
  <r>
    <x v="77"/>
    <n v="7592"/>
    <x v="3"/>
  </r>
  <r>
    <x v="77"/>
    <n v="30453"/>
    <x v="0"/>
  </r>
  <r>
    <x v="77"/>
    <n v="13261"/>
    <x v="2"/>
  </r>
  <r>
    <x v="78"/>
    <n v="11117"/>
    <x v="2"/>
  </r>
  <r>
    <x v="78"/>
    <n v="6380"/>
    <x v="3"/>
  </r>
  <r>
    <x v="78"/>
    <n v="31433"/>
    <x v="0"/>
  </r>
  <r>
    <x v="79"/>
    <n v="12492"/>
    <x v="2"/>
  </r>
  <r>
    <x v="79"/>
    <n v="8952"/>
    <x v="3"/>
  </r>
  <r>
    <x v="79"/>
    <n v="41640"/>
    <x v="0"/>
  </r>
  <r>
    <x v="80"/>
    <n v="37088"/>
    <x v="0"/>
  </r>
  <r>
    <x v="80"/>
    <n v="14123"/>
    <x v="2"/>
  </r>
  <r>
    <x v="80"/>
    <n v="9875"/>
    <x v="3"/>
  </r>
  <r>
    <x v="81"/>
    <n v="14084"/>
    <x v="2"/>
  </r>
  <r>
    <x v="81"/>
    <n v="11433"/>
    <x v="3"/>
  </r>
  <r>
    <x v="81"/>
    <n v="36313"/>
    <x v="0"/>
  </r>
  <r>
    <x v="82"/>
    <n v="32247"/>
    <x v="0"/>
  </r>
  <r>
    <x v="82"/>
    <n v="22206"/>
    <x v="3"/>
  </r>
  <r>
    <x v="82"/>
    <n v="17551"/>
    <x v="2"/>
  </r>
  <r>
    <x v="83"/>
    <n v="24462"/>
    <x v="0"/>
  </r>
  <r>
    <x v="83"/>
    <n v="21822"/>
    <x v="3"/>
  </r>
  <r>
    <x v="83"/>
    <n v="20154"/>
    <x v="2"/>
  </r>
  <r>
    <x v="84"/>
    <n v="25527"/>
    <x v="0"/>
  </r>
  <r>
    <x v="84"/>
    <n v="22762"/>
    <x v="3"/>
  </r>
  <r>
    <x v="84"/>
    <n v="21857"/>
    <x v="2"/>
  </r>
  <r>
    <x v="85"/>
    <n v="30765"/>
    <x v="0"/>
  </r>
  <r>
    <x v="85"/>
    <n v="25465"/>
    <x v="3"/>
  </r>
  <r>
    <x v="85"/>
    <n v="18923"/>
    <x v="2"/>
  </r>
  <r>
    <x v="86"/>
    <n v="21029"/>
    <x v="0"/>
  </r>
  <r>
    <x v="86"/>
    <n v="22392"/>
    <x v="3"/>
  </r>
  <r>
    <x v="86"/>
    <n v="20650"/>
    <x v="2"/>
  </r>
  <r>
    <x v="87"/>
    <n v="20238"/>
    <x v="0"/>
  </r>
  <r>
    <x v="87"/>
    <n v="22169"/>
    <x v="3"/>
  </r>
  <r>
    <x v="87"/>
    <n v="23750"/>
    <x v="2"/>
  </r>
  <r>
    <x v="88"/>
    <n v="22147"/>
    <x v="2"/>
  </r>
  <r>
    <x v="88"/>
    <n v="24408"/>
    <x v="0"/>
  </r>
  <r>
    <x v="88"/>
    <n v="21904"/>
    <x v="3"/>
  </r>
  <r>
    <x v="89"/>
    <n v="18591"/>
    <x v="3"/>
  </r>
  <r>
    <x v="89"/>
    <n v="32500"/>
    <x v="0"/>
  </r>
  <r>
    <x v="89"/>
    <n v="20132"/>
    <x v="2"/>
  </r>
  <r>
    <x v="90"/>
    <n v="40914"/>
    <x v="0"/>
  </r>
  <r>
    <x v="90"/>
    <n v="20169"/>
    <x v="3"/>
  </r>
  <r>
    <x v="90"/>
    <n v="20818"/>
    <x v="2"/>
  </r>
  <r>
    <x v="91"/>
    <n v="40188"/>
    <x v="0"/>
  </r>
  <r>
    <x v="91"/>
    <n v="20467"/>
    <x v="3"/>
  </r>
  <r>
    <x v="91"/>
    <n v="21157"/>
    <x v="2"/>
  </r>
  <r>
    <x v="92"/>
    <n v="43003"/>
    <x v="0"/>
  </r>
  <r>
    <x v="92"/>
    <n v="25359"/>
    <x v="3"/>
  </r>
  <r>
    <x v="92"/>
    <n v="23362"/>
    <x v="2"/>
  </r>
  <r>
    <x v="93"/>
    <n v="47014"/>
    <x v="0"/>
  </r>
  <r>
    <x v="93"/>
    <n v="33904"/>
    <x v="3"/>
  </r>
  <r>
    <x v="93"/>
    <n v="24936"/>
    <x v="2"/>
  </r>
  <r>
    <x v="94"/>
    <n v="49817"/>
    <x v="0"/>
  </r>
  <r>
    <x v="94"/>
    <n v="40037"/>
    <x v="3"/>
  </r>
  <r>
    <x v="94"/>
    <n v="26328"/>
    <x v="2"/>
  </r>
  <r>
    <x v="95"/>
    <n v="49997"/>
    <x v="0"/>
  </r>
  <r>
    <x v="95"/>
    <n v="40485"/>
    <x v="3"/>
  </r>
  <r>
    <x v="95"/>
    <n v="29752"/>
    <x v="2"/>
  </r>
  <r>
    <x v="96"/>
    <n v="39735"/>
    <x v="0"/>
  </r>
  <r>
    <x v="96"/>
    <n v="36497"/>
    <x v="3"/>
  </r>
  <r>
    <x v="96"/>
    <n v="26820"/>
    <x v="2"/>
  </r>
  <r>
    <x v="97"/>
    <n v="44263"/>
    <x v="0"/>
  </r>
  <r>
    <x v="97"/>
    <n v="41281"/>
    <x v="3"/>
  </r>
  <r>
    <x v="97"/>
    <n v="27439"/>
    <x v="2"/>
  </r>
  <r>
    <x v="98"/>
    <n v="42586"/>
    <x v="0"/>
  </r>
  <r>
    <x v="98"/>
    <n v="45862"/>
    <x v="3"/>
  </r>
  <r>
    <x v="98"/>
    <n v="29625"/>
    <x v="2"/>
  </r>
  <r>
    <x v="99"/>
    <n v="46377"/>
    <x v="0"/>
  </r>
  <r>
    <x v="99"/>
    <n v="40421"/>
    <x v="3"/>
  </r>
  <r>
    <x v="99"/>
    <n v="29886"/>
    <x v="2"/>
  </r>
  <r>
    <x v="100"/>
    <n v="47960"/>
    <x v="0"/>
  </r>
  <r>
    <x v="100"/>
    <n v="30711"/>
    <x v="3"/>
  </r>
  <r>
    <x v="100"/>
    <n v="30220"/>
    <x v="2"/>
  </r>
  <r>
    <x v="101"/>
    <n v="48520"/>
    <x v="0"/>
  </r>
  <r>
    <x v="101"/>
    <n v="26806"/>
    <x v="3"/>
  </r>
  <r>
    <x v="101"/>
    <n v="28244"/>
    <x v="2"/>
  </r>
  <r>
    <x v="102"/>
    <n v="62247"/>
    <x v="0"/>
  </r>
  <r>
    <x v="102"/>
    <n v="32722"/>
    <x v="3"/>
  </r>
  <r>
    <x v="102"/>
    <n v="26787"/>
    <x v="2"/>
  </r>
  <r>
    <x v="103"/>
    <n v="60521"/>
    <x v="0"/>
  </r>
  <r>
    <x v="103"/>
    <n v="23013"/>
    <x v="2"/>
  </r>
  <r>
    <x v="103"/>
    <n v="27485"/>
    <x v="3"/>
  </r>
  <r>
    <x v="104"/>
    <n v="19112"/>
    <x v="3"/>
  </r>
  <r>
    <x v="104"/>
    <n v="56082"/>
    <x v="0"/>
  </r>
  <r>
    <x v="104"/>
    <n v="20541"/>
    <x v="2"/>
  </r>
  <r>
    <x v="105"/>
    <n v="11604"/>
    <x v="3"/>
  </r>
  <r>
    <x v="105"/>
    <n v="15993"/>
    <x v="2"/>
  </r>
  <r>
    <x v="105"/>
    <n v="49157"/>
    <x v="0"/>
  </r>
  <r>
    <x v="106"/>
    <n v="12082"/>
    <x v="2"/>
  </r>
  <r>
    <x v="106"/>
    <n v="7900"/>
    <x v="3"/>
  </r>
  <r>
    <x v="106"/>
    <n v="41646"/>
    <x v="0"/>
  </r>
  <r>
    <x v="107"/>
    <n v="45669"/>
    <x v="0"/>
  </r>
  <r>
    <x v="107"/>
    <n v="10922"/>
    <x v="2"/>
  </r>
  <r>
    <x v="107"/>
    <n v="8033"/>
    <x v="3"/>
  </r>
  <r>
    <x v="108"/>
    <n v="9751"/>
    <x v="2"/>
  </r>
  <r>
    <x v="108"/>
    <n v="9674"/>
    <x v="3"/>
  </r>
  <r>
    <x v="108"/>
    <n v="45740"/>
    <x v="0"/>
  </r>
  <r>
    <x v="109"/>
    <n v="9770"/>
    <x v="3"/>
  </r>
  <r>
    <x v="109"/>
    <n v="48083"/>
    <x v="0"/>
  </r>
  <r>
    <x v="109"/>
    <n v="9671"/>
    <x v="2"/>
  </r>
  <r>
    <x v="110"/>
    <n v="6588"/>
    <x v="3"/>
  </r>
  <r>
    <x v="110"/>
    <n v="32180"/>
    <x v="0"/>
  </r>
  <r>
    <x v="110"/>
    <n v="8095"/>
    <x v="2"/>
  </r>
  <r>
    <x v="111"/>
    <n v="3315"/>
    <x v="2"/>
  </r>
  <r>
    <x v="111"/>
    <n v="9473"/>
    <x v="3"/>
  </r>
  <r>
    <x v="111"/>
    <n v="34462"/>
    <x v="0"/>
  </r>
  <r>
    <x v="112"/>
    <n v="3393"/>
    <x v="2"/>
  </r>
  <r>
    <x v="112"/>
    <n v="11593"/>
    <x v="3"/>
  </r>
  <r>
    <x v="112"/>
    <n v="46337"/>
    <x v="0"/>
  </r>
  <r>
    <x v="113"/>
    <n v="11234"/>
    <x v="3"/>
  </r>
  <r>
    <x v="113"/>
    <n v="3248"/>
    <x v="2"/>
  </r>
  <r>
    <x v="113"/>
    <n v="49505"/>
    <x v="0"/>
  </r>
  <r>
    <x v="114"/>
    <n v="2784"/>
    <x v="2"/>
  </r>
  <r>
    <x v="114"/>
    <n v="10540"/>
    <x v="3"/>
  </r>
  <r>
    <x v="114"/>
    <n v="55296"/>
    <x v="0"/>
  </r>
  <r>
    <x v="115"/>
    <n v="65987"/>
    <x v="0"/>
  </r>
  <r>
    <x v="115"/>
    <n v="2417"/>
    <x v="2"/>
  </r>
  <r>
    <x v="115"/>
    <n v="13459"/>
    <x v="3"/>
  </r>
  <r>
    <x v="116"/>
    <n v="2312"/>
    <x v="2"/>
  </r>
  <r>
    <x v="116"/>
    <n v="14181"/>
    <x v="3"/>
  </r>
  <r>
    <x v="116"/>
    <n v="67292"/>
    <x v="0"/>
  </r>
  <r>
    <x v="117"/>
    <n v="2380"/>
    <x v="2"/>
  </r>
  <r>
    <x v="117"/>
    <n v="14351"/>
    <x v="3"/>
  </r>
  <r>
    <x v="117"/>
    <n v="63700"/>
    <x v="0"/>
  </r>
  <r>
    <x v="118"/>
    <n v="15344"/>
    <x v="3"/>
  </r>
  <r>
    <x v="118"/>
    <n v="2381"/>
    <x v="2"/>
  </r>
  <r>
    <x v="118"/>
    <n v="59685"/>
    <x v="0"/>
  </r>
  <r>
    <x v="119"/>
    <n v="2277"/>
    <x v="2"/>
  </r>
  <r>
    <x v="119"/>
    <n v="15891"/>
    <x v="3"/>
  </r>
  <r>
    <x v="119"/>
    <n v="54341"/>
    <x v="0"/>
  </r>
  <r>
    <x v="120"/>
    <n v="47249"/>
    <x v="0"/>
  </r>
  <r>
    <x v="120"/>
    <n v="1975"/>
    <x v="2"/>
  </r>
  <r>
    <x v="120"/>
    <n v="19500"/>
    <x v="3"/>
  </r>
  <r>
    <x v="121"/>
    <n v="2128"/>
    <x v="2"/>
  </r>
  <r>
    <x v="121"/>
    <n v="18810"/>
    <x v="3"/>
  </r>
  <r>
    <x v="121"/>
    <n v="50077"/>
    <x v="0"/>
  </r>
  <r>
    <x v="122"/>
    <n v="22277"/>
    <x v="3"/>
  </r>
  <r>
    <x v="122"/>
    <n v="1852"/>
    <x v="2"/>
  </r>
  <r>
    <x v="122"/>
    <n v="39430"/>
    <x v="0"/>
  </r>
  <r>
    <x v="123"/>
    <n v="1910"/>
    <x v="2"/>
  </r>
  <r>
    <x v="123"/>
    <n v="33106"/>
    <x v="3"/>
  </r>
  <r>
    <x v="123"/>
    <n v="45765"/>
    <x v="0"/>
  </r>
  <r>
    <x v="124"/>
    <n v="63287"/>
    <x v="0"/>
  </r>
  <r>
    <x v="124"/>
    <n v="2169"/>
    <x v="2"/>
  </r>
  <r>
    <x v="124"/>
    <n v="37447"/>
    <x v="3"/>
  </r>
  <r>
    <x v="125"/>
    <n v="2004"/>
    <x v="2"/>
  </r>
  <r>
    <x v="125"/>
    <n v="28536"/>
    <x v="3"/>
  </r>
  <r>
    <x v="125"/>
    <n v="66830"/>
    <x v="0"/>
  </r>
  <r>
    <x v="126"/>
    <n v="1721"/>
    <x v="2"/>
  </r>
  <r>
    <x v="126"/>
    <n v="24520"/>
    <x v="3"/>
  </r>
  <r>
    <x v="126"/>
    <n v="70152"/>
    <x v="0"/>
  </r>
  <r>
    <x v="127"/>
    <n v="1641"/>
    <x v="2"/>
  </r>
  <r>
    <x v="127"/>
    <n v="19762"/>
    <x v="3"/>
  </r>
  <r>
    <x v="127"/>
    <n v="73089"/>
    <x v="0"/>
  </r>
  <r>
    <x v="128"/>
    <n v="1471"/>
    <x v="2"/>
  </r>
  <r>
    <x v="128"/>
    <n v="15711"/>
    <x v="3"/>
  </r>
  <r>
    <x v="128"/>
    <n v="71662"/>
    <x v="0"/>
  </r>
  <r>
    <x v="129"/>
    <n v="69102"/>
    <x v="0"/>
  </r>
  <r>
    <x v="129"/>
    <n v="1498"/>
    <x v="2"/>
  </r>
  <r>
    <x v="129"/>
    <n v="15047"/>
    <x v="3"/>
  </r>
  <r>
    <x v="130"/>
    <n v="16140"/>
    <x v="3"/>
  </r>
  <r>
    <x v="130"/>
    <n v="1452"/>
    <x v="2"/>
  </r>
  <r>
    <x v="130"/>
    <n v="65190"/>
    <x v="0"/>
  </r>
  <r>
    <x v="131"/>
    <n v="1357"/>
    <x v="2"/>
  </r>
  <r>
    <x v="131"/>
    <n v="17122"/>
    <x v="3"/>
  </r>
  <r>
    <x v="131"/>
    <n v="61618"/>
    <x v="0"/>
  </r>
  <r>
    <x v="132"/>
    <n v="43151"/>
    <x v="0"/>
  </r>
  <r>
    <x v="132"/>
    <n v="961"/>
    <x v="2"/>
  </r>
  <r>
    <x v="132"/>
    <n v="13678"/>
    <x v="3"/>
  </r>
  <r>
    <x v="133"/>
    <n v="434"/>
    <x v="2"/>
  </r>
  <r>
    <x v="133"/>
    <n v="5279"/>
    <x v="3"/>
  </r>
  <r>
    <x v="133"/>
    <n v="21694"/>
    <x v="0"/>
  </r>
  <r>
    <x v="134"/>
    <n v="1"/>
    <x v="2"/>
  </r>
  <r>
    <x v="134"/>
    <n v="15"/>
    <x v="3"/>
  </r>
  <r>
    <x v="134"/>
    <n v="26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68">
  <r>
    <x v="0"/>
    <n v="19296"/>
    <x v="0"/>
  </r>
  <r>
    <x v="0"/>
    <n v="18274"/>
    <x v="1"/>
  </r>
  <r>
    <x v="1"/>
    <n v="17818"/>
    <x v="1"/>
  </r>
  <r>
    <x v="1"/>
    <n v="19367"/>
    <x v="0"/>
  </r>
  <r>
    <x v="2"/>
    <n v="16217"/>
    <x v="0"/>
  </r>
  <r>
    <x v="2"/>
    <n v="14430"/>
    <x v="1"/>
  </r>
  <r>
    <x v="3"/>
    <n v="16447"/>
    <x v="1"/>
  </r>
  <r>
    <x v="3"/>
    <n v="18282"/>
    <x v="0"/>
  </r>
  <r>
    <x v="4"/>
    <n v="22945"/>
    <x v="0"/>
  </r>
  <r>
    <x v="4"/>
    <n v="21208"/>
    <x v="1"/>
  </r>
  <r>
    <x v="5"/>
    <n v="20814"/>
    <x v="1"/>
  </r>
  <r>
    <x v="5"/>
    <n v="17249"/>
    <x v="0"/>
  </r>
  <r>
    <x v="6"/>
    <n v="25422"/>
    <x v="1"/>
  </r>
  <r>
    <x v="6"/>
    <n v="20889"/>
    <x v="0"/>
  </r>
  <r>
    <x v="7"/>
    <n v="32384"/>
    <x v="1"/>
  </r>
  <r>
    <x v="7"/>
    <n v="27493"/>
    <x v="0"/>
  </r>
  <r>
    <x v="8"/>
    <n v="31231"/>
    <x v="0"/>
  </r>
  <r>
    <x v="8"/>
    <n v="29845"/>
    <x v="1"/>
  </r>
  <r>
    <x v="9"/>
    <n v="29919"/>
    <x v="1"/>
  </r>
  <r>
    <x v="9"/>
    <n v="30344"/>
    <x v="0"/>
  </r>
  <r>
    <x v="10"/>
    <n v="27266"/>
    <x v="0"/>
  </r>
  <r>
    <x v="10"/>
    <n v="25968"/>
    <x v="1"/>
  </r>
  <r>
    <x v="11"/>
    <n v="23032"/>
    <x v="1"/>
  </r>
  <r>
    <x v="11"/>
    <n v="26896"/>
    <x v="0"/>
  </r>
  <r>
    <x v="12"/>
    <n v="19087"/>
    <x v="1"/>
  </r>
  <r>
    <x v="12"/>
    <n v="20216"/>
    <x v="0"/>
  </r>
  <r>
    <x v="13"/>
    <n v="17037"/>
    <x v="1"/>
  </r>
  <r>
    <x v="13"/>
    <n v="16824"/>
    <x v="0"/>
  </r>
  <r>
    <x v="14"/>
    <n v="13255"/>
    <x v="1"/>
  </r>
  <r>
    <x v="14"/>
    <n v="14656"/>
    <x v="0"/>
  </r>
  <r>
    <x v="15"/>
    <n v="15658"/>
    <x v="1"/>
  </r>
  <r>
    <x v="15"/>
    <n v="16622"/>
    <x v="0"/>
  </r>
  <r>
    <x v="16"/>
    <n v="20502"/>
    <x v="1"/>
  </r>
  <r>
    <x v="16"/>
    <n v="19203"/>
    <x v="0"/>
  </r>
  <r>
    <x v="17"/>
    <n v="19385"/>
    <x v="1"/>
  </r>
  <r>
    <x v="17"/>
    <n v="16151"/>
    <x v="0"/>
  </r>
  <r>
    <x v="18"/>
    <n v="21324"/>
    <x v="1"/>
  </r>
  <r>
    <x v="18"/>
    <n v="15699"/>
    <x v="0"/>
  </r>
  <r>
    <x v="19"/>
    <n v="21062"/>
    <x v="1"/>
  </r>
  <r>
    <x v="19"/>
    <n v="13990"/>
    <x v="0"/>
  </r>
  <r>
    <x v="20"/>
    <n v="18244"/>
    <x v="1"/>
  </r>
  <r>
    <x v="20"/>
    <n v="12747"/>
    <x v="0"/>
  </r>
  <r>
    <x v="21"/>
    <n v="15647"/>
    <x v="0"/>
  </r>
  <r>
    <x v="21"/>
    <n v="21523"/>
    <x v="1"/>
  </r>
  <r>
    <x v="22"/>
    <n v="20834"/>
    <x v="1"/>
  </r>
  <r>
    <x v="22"/>
    <n v="16622"/>
    <x v="0"/>
  </r>
  <r>
    <x v="23"/>
    <n v="20654"/>
    <x v="0"/>
  </r>
  <r>
    <x v="23"/>
    <n v="21144"/>
    <x v="1"/>
  </r>
  <r>
    <x v="24"/>
    <n v="20779"/>
    <x v="1"/>
  </r>
  <r>
    <x v="24"/>
    <n v="19393"/>
    <x v="0"/>
  </r>
  <r>
    <x v="25"/>
    <n v="21525"/>
    <x v="1"/>
  </r>
  <r>
    <x v="25"/>
    <n v="22776"/>
    <x v="0"/>
  </r>
  <r>
    <x v="26"/>
    <n v="22740"/>
    <x v="0"/>
  </r>
  <r>
    <x v="26"/>
    <n v="18020"/>
    <x v="1"/>
  </r>
  <r>
    <x v="27"/>
    <n v="20586"/>
    <x v="0"/>
  </r>
  <r>
    <x v="27"/>
    <n v="18869"/>
    <x v="1"/>
  </r>
  <r>
    <x v="28"/>
    <n v="25028"/>
    <x v="0"/>
  </r>
  <r>
    <x v="28"/>
    <n v="25321"/>
    <x v="1"/>
  </r>
  <r>
    <x v="29"/>
    <n v="26551"/>
    <x v="0"/>
  </r>
  <r>
    <x v="29"/>
    <n v="27815"/>
    <x v="1"/>
  </r>
  <r>
    <x v="30"/>
    <n v="32290"/>
    <x v="1"/>
  </r>
  <r>
    <x v="30"/>
    <n v="26375"/>
    <x v="0"/>
  </r>
  <r>
    <x v="31"/>
    <n v="21015"/>
    <x v="0"/>
  </r>
  <r>
    <x v="31"/>
    <n v="29663"/>
    <x v="1"/>
  </r>
  <r>
    <x v="32"/>
    <n v="24698"/>
    <x v="1"/>
  </r>
  <r>
    <x v="32"/>
    <n v="16987"/>
    <x v="0"/>
  </r>
  <r>
    <x v="33"/>
    <n v="24976"/>
    <x v="1"/>
  </r>
  <r>
    <x v="33"/>
    <n v="18729"/>
    <x v="0"/>
  </r>
  <r>
    <x v="34"/>
    <n v="20447"/>
    <x v="0"/>
  </r>
  <r>
    <x v="34"/>
    <n v="22959"/>
    <x v="1"/>
  </r>
  <r>
    <x v="35"/>
    <n v="25043"/>
    <x v="1"/>
  </r>
  <r>
    <x v="35"/>
    <n v="25996"/>
    <x v="0"/>
  </r>
  <r>
    <x v="36"/>
    <n v="25319"/>
    <x v="0"/>
  </r>
  <r>
    <x v="36"/>
    <n v="24510"/>
    <x v="1"/>
  </r>
  <r>
    <x v="37"/>
    <n v="27711"/>
    <x v="0"/>
  </r>
  <r>
    <x v="37"/>
    <n v="23884"/>
    <x v="1"/>
  </r>
  <r>
    <x v="38"/>
    <n v="20975"/>
    <x v="1"/>
  </r>
  <r>
    <x v="38"/>
    <n v="31314"/>
    <x v="0"/>
  </r>
  <r>
    <x v="39"/>
    <n v="22787"/>
    <x v="1"/>
  </r>
  <r>
    <x v="39"/>
    <n v="42764"/>
    <x v="0"/>
  </r>
  <r>
    <x v="40"/>
    <n v="21383"/>
    <x v="1"/>
  </r>
  <r>
    <x v="40"/>
    <n v="31567"/>
    <x v="0"/>
  </r>
  <r>
    <x v="41"/>
    <n v="29505"/>
    <x v="0"/>
  </r>
  <r>
    <x v="41"/>
    <n v="22525"/>
    <x v="1"/>
  </r>
  <r>
    <x v="42"/>
    <n v="23075"/>
    <x v="1"/>
  </r>
  <r>
    <x v="42"/>
    <n v="22067"/>
    <x v="0"/>
  </r>
  <r>
    <x v="43"/>
    <n v="15491"/>
    <x v="0"/>
  </r>
  <r>
    <x v="43"/>
    <n v="19612"/>
    <x v="1"/>
  </r>
  <r>
    <x v="44"/>
    <n v="10494"/>
    <x v="0"/>
  </r>
  <r>
    <x v="44"/>
    <n v="15980"/>
    <x v="1"/>
  </r>
  <r>
    <x v="45"/>
    <n v="8915"/>
    <x v="0"/>
  </r>
  <r>
    <x v="45"/>
    <n v="14635"/>
    <x v="1"/>
  </r>
  <r>
    <x v="46"/>
    <n v="14115"/>
    <x v="1"/>
  </r>
  <r>
    <x v="46"/>
    <n v="9826"/>
    <x v="0"/>
  </r>
  <r>
    <x v="47"/>
    <n v="15394"/>
    <x v="1"/>
  </r>
  <r>
    <x v="47"/>
    <n v="12743"/>
    <x v="0"/>
  </r>
  <r>
    <x v="48"/>
    <n v="9484"/>
    <x v="0"/>
  </r>
  <r>
    <x v="48"/>
    <n v="11771"/>
    <x v="1"/>
  </r>
  <r>
    <x v="49"/>
    <n v="15596"/>
    <x v="1"/>
  </r>
  <r>
    <x v="49"/>
    <n v="20177"/>
    <x v="0"/>
  </r>
  <r>
    <x v="50"/>
    <n v="66165"/>
    <x v="0"/>
  </r>
  <r>
    <x v="50"/>
    <n v="17183"/>
    <x v="1"/>
  </r>
  <r>
    <x v="51"/>
    <n v="81476"/>
    <x v="0"/>
  </r>
  <r>
    <x v="51"/>
    <n v="19205"/>
    <x v="1"/>
  </r>
  <r>
    <x v="52"/>
    <n v="84588"/>
    <x v="0"/>
  </r>
  <r>
    <x v="52"/>
    <n v="22244"/>
    <x v="1"/>
  </r>
  <r>
    <x v="53"/>
    <n v="81756"/>
    <x v="2"/>
  </r>
  <r>
    <x v="53"/>
    <n v="27796"/>
    <x v="1"/>
  </r>
  <r>
    <x v="53"/>
    <n v="22119"/>
    <x v="3"/>
  </r>
  <r>
    <x v="54"/>
    <n v="98694"/>
    <x v="2"/>
  </r>
  <r>
    <x v="54"/>
    <n v="35162"/>
    <x v="1"/>
  </r>
  <r>
    <x v="54"/>
    <n v="39349"/>
    <x v="3"/>
  </r>
  <r>
    <x v="55"/>
    <n v="79985"/>
    <x v="2"/>
  </r>
  <r>
    <x v="55"/>
    <n v="41471"/>
    <x v="3"/>
  </r>
  <r>
    <x v="55"/>
    <n v="33907"/>
    <x v="1"/>
  </r>
  <r>
    <x v="56"/>
    <n v="25673"/>
    <x v="1"/>
  </r>
  <r>
    <x v="56"/>
    <n v="49944"/>
    <x v="2"/>
  </r>
  <r>
    <x v="56"/>
    <n v="30038"/>
    <x v="3"/>
  </r>
  <r>
    <x v="57"/>
    <n v="25546"/>
    <x v="1"/>
  </r>
  <r>
    <x v="57"/>
    <n v="21784"/>
    <x v="3"/>
  </r>
  <r>
    <x v="57"/>
    <n v="32936"/>
    <x v="2"/>
  </r>
  <r>
    <x v="58"/>
    <n v="24426"/>
    <x v="1"/>
  </r>
  <r>
    <x v="58"/>
    <n v="25969"/>
    <x v="2"/>
  </r>
  <r>
    <x v="58"/>
    <n v="18281"/>
    <x v="3"/>
  </r>
  <r>
    <x v="59"/>
    <n v="20048"/>
    <x v="3"/>
  </r>
  <r>
    <x v="59"/>
    <n v="26861"/>
    <x v="1"/>
  </r>
  <r>
    <x v="59"/>
    <n v="26137"/>
    <x v="2"/>
  </r>
  <r>
    <x v="60"/>
    <n v="27335"/>
    <x v="2"/>
  </r>
  <r>
    <x v="60"/>
    <n v="22598"/>
    <x v="3"/>
  </r>
  <r>
    <x v="60"/>
    <n v="27023"/>
    <x v="1"/>
  </r>
  <r>
    <x v="61"/>
    <n v="31066"/>
    <x v="2"/>
  </r>
  <r>
    <x v="61"/>
    <n v="26006"/>
    <x v="3"/>
  </r>
  <r>
    <x v="61"/>
    <n v="24131"/>
    <x v="1"/>
  </r>
  <r>
    <x v="62"/>
    <n v="15542"/>
    <x v="1"/>
  </r>
  <r>
    <x v="62"/>
    <n v="24778"/>
    <x v="3"/>
  </r>
  <r>
    <x v="62"/>
    <n v="24996"/>
    <x v="2"/>
  </r>
  <r>
    <x v="63"/>
    <n v="15025"/>
    <x v="1"/>
  </r>
  <r>
    <x v="63"/>
    <n v="16955"/>
    <x v="2"/>
  </r>
  <r>
    <x v="63"/>
    <n v="19537"/>
    <x v="3"/>
  </r>
  <r>
    <x v="64"/>
    <n v="23581"/>
    <x v="3"/>
  </r>
  <r>
    <x v="64"/>
    <n v="24751"/>
    <x v="1"/>
  </r>
  <r>
    <x v="64"/>
    <n v="23261"/>
    <x v="2"/>
  </r>
  <r>
    <x v="65"/>
    <n v="19774"/>
    <x v="2"/>
  </r>
  <r>
    <x v="65"/>
    <n v="21651"/>
    <x v="3"/>
  </r>
  <r>
    <x v="65"/>
    <n v="26297"/>
    <x v="1"/>
  </r>
  <r>
    <x v="66"/>
    <n v="16373"/>
    <x v="2"/>
  </r>
  <r>
    <x v="66"/>
    <n v="17093"/>
    <x v="3"/>
  </r>
  <r>
    <x v="66"/>
    <n v="29344"/>
    <x v="1"/>
  </r>
  <r>
    <x v="67"/>
    <n v="36104"/>
    <x v="1"/>
  </r>
  <r>
    <x v="67"/>
    <n v="19377"/>
    <x v="3"/>
  </r>
  <r>
    <x v="67"/>
    <n v="22123"/>
    <x v="2"/>
  </r>
  <r>
    <x v="68"/>
    <n v="28611"/>
    <x v="1"/>
  </r>
  <r>
    <x v="68"/>
    <n v="34966"/>
    <x v="2"/>
  </r>
  <r>
    <x v="68"/>
    <n v="25614"/>
    <x v="3"/>
  </r>
  <r>
    <x v="69"/>
    <n v="35899"/>
    <x v="3"/>
  </r>
  <r>
    <x v="69"/>
    <n v="34726"/>
    <x v="1"/>
  </r>
  <r>
    <x v="69"/>
    <n v="54825"/>
    <x v="2"/>
  </r>
  <r>
    <x v="70"/>
    <n v="65313"/>
    <x v="2"/>
  </r>
  <r>
    <x v="70"/>
    <n v="39955"/>
    <x v="3"/>
  </r>
  <r>
    <x v="70"/>
    <n v="34796"/>
    <x v="1"/>
  </r>
  <r>
    <x v="71"/>
    <n v="32088"/>
    <x v="1"/>
  </r>
  <r>
    <x v="71"/>
    <n v="43745"/>
    <x v="3"/>
  </r>
  <r>
    <x v="71"/>
    <n v="68437"/>
    <x v="2"/>
  </r>
  <r>
    <x v="72"/>
    <n v="31798"/>
    <x v="1"/>
  </r>
  <r>
    <x v="72"/>
    <n v="44688"/>
    <x v="3"/>
  </r>
  <r>
    <x v="72"/>
    <n v="71391"/>
    <x v="2"/>
  </r>
  <r>
    <x v="73"/>
    <n v="61672"/>
    <x v="2"/>
  </r>
  <r>
    <x v="73"/>
    <n v="43163"/>
    <x v="3"/>
  </r>
  <r>
    <x v="73"/>
    <n v="32165"/>
    <x v="1"/>
  </r>
  <r>
    <x v="74"/>
    <n v="39380"/>
    <x v="2"/>
  </r>
  <r>
    <x v="74"/>
    <n v="37615"/>
    <x v="3"/>
  </r>
  <r>
    <x v="74"/>
    <n v="20587"/>
    <x v="1"/>
  </r>
  <r>
    <x v="75"/>
    <n v="28893"/>
    <x v="2"/>
  </r>
  <r>
    <x v="75"/>
    <n v="30023"/>
    <x v="3"/>
  </r>
  <r>
    <x v="75"/>
    <n v="22676"/>
    <x v="1"/>
  </r>
  <r>
    <x v="76"/>
    <n v="27054"/>
    <x v="1"/>
  </r>
  <r>
    <x v="76"/>
    <n v="30663"/>
    <x v="3"/>
  </r>
  <r>
    <x v="76"/>
    <n v="23356"/>
    <x v="2"/>
  </r>
  <r>
    <x v="77"/>
    <n v="26124"/>
    <x v="1"/>
  </r>
  <r>
    <x v="77"/>
    <n v="16989"/>
    <x v="2"/>
  </r>
  <r>
    <x v="77"/>
    <n v="26665"/>
    <x v="3"/>
  </r>
  <r>
    <x v="78"/>
    <n v="24085"/>
    <x v="3"/>
  </r>
  <r>
    <x v="78"/>
    <n v="30974"/>
    <x v="1"/>
  </r>
  <r>
    <x v="78"/>
    <n v="15387"/>
    <x v="2"/>
  </r>
  <r>
    <x v="79"/>
    <n v="16908"/>
    <x v="2"/>
  </r>
  <r>
    <x v="79"/>
    <n v="26981"/>
    <x v="3"/>
  </r>
  <r>
    <x v="79"/>
    <n v="35877"/>
    <x v="1"/>
  </r>
  <r>
    <x v="80"/>
    <n v="18583"/>
    <x v="2"/>
  </r>
  <r>
    <x v="80"/>
    <n v="34579"/>
    <x v="1"/>
  </r>
  <r>
    <x v="80"/>
    <n v="26476"/>
    <x v="3"/>
  </r>
  <r>
    <x v="81"/>
    <n v="40512"/>
    <x v="1"/>
  </r>
  <r>
    <x v="81"/>
    <n v="26683"/>
    <x v="3"/>
  </r>
  <r>
    <x v="81"/>
    <n v="25002"/>
    <x v="2"/>
  </r>
  <r>
    <x v="82"/>
    <n v="39519"/>
    <x v="1"/>
  </r>
  <r>
    <x v="82"/>
    <n v="40035"/>
    <x v="2"/>
  </r>
  <r>
    <x v="82"/>
    <n v="28920"/>
    <x v="3"/>
  </r>
  <r>
    <x v="83"/>
    <n v="35167"/>
    <x v="3"/>
  </r>
  <r>
    <x v="83"/>
    <n v="45073"/>
    <x v="1"/>
  </r>
  <r>
    <x v="83"/>
    <n v="62449"/>
    <x v="2"/>
  </r>
  <r>
    <x v="84"/>
    <n v="69339"/>
    <x v="2"/>
  </r>
  <r>
    <x v="84"/>
    <n v="36302"/>
    <x v="3"/>
  </r>
  <r>
    <x v="84"/>
    <n v="43789"/>
    <x v="1"/>
  </r>
  <r>
    <x v="85"/>
    <n v="68368"/>
    <x v="2"/>
  </r>
  <r>
    <x v="85"/>
    <n v="37421"/>
    <x v="3"/>
  </r>
  <r>
    <x v="85"/>
    <n v="45234"/>
    <x v="1"/>
  </r>
  <r>
    <x v="86"/>
    <n v="37294"/>
    <x v="1"/>
  </r>
  <r>
    <x v="86"/>
    <n v="41993"/>
    <x v="3"/>
  </r>
  <r>
    <x v="86"/>
    <n v="74896"/>
    <x v="2"/>
  </r>
  <r>
    <x v="87"/>
    <n v="43130"/>
    <x v="1"/>
  </r>
  <r>
    <x v="87"/>
    <n v="87727"/>
    <x v="2"/>
  </r>
  <r>
    <x v="87"/>
    <n v="46599"/>
    <x v="3"/>
  </r>
  <r>
    <x v="88"/>
    <n v="44701"/>
    <x v="3"/>
  </r>
  <r>
    <x v="88"/>
    <n v="83635"/>
    <x v="2"/>
  </r>
  <r>
    <x v="88"/>
    <n v="56078"/>
    <x v="1"/>
  </r>
  <r>
    <x v="89"/>
    <n v="66120"/>
    <x v="2"/>
  </r>
  <r>
    <x v="89"/>
    <n v="41557"/>
    <x v="3"/>
  </r>
  <r>
    <x v="89"/>
    <n v="54558"/>
    <x v="1"/>
  </r>
  <r>
    <x v="90"/>
    <n v="63132"/>
    <x v="1"/>
  </r>
  <r>
    <x v="90"/>
    <n v="58704"/>
    <x v="2"/>
  </r>
  <r>
    <x v="90"/>
    <n v="42169"/>
    <x v="3"/>
  </r>
  <r>
    <x v="91"/>
    <n v="68002"/>
    <x v="2"/>
  </r>
  <r>
    <x v="91"/>
    <n v="42658"/>
    <x v="3"/>
  </r>
  <r>
    <x v="91"/>
    <n v="71358"/>
    <x v="1"/>
  </r>
  <r>
    <x v="92"/>
    <n v="60637"/>
    <x v="3"/>
  </r>
  <r>
    <x v="92"/>
    <n v="62940"/>
    <x v="2"/>
  </r>
  <r>
    <x v="92"/>
    <n v="64773"/>
    <x v="1"/>
  </r>
  <r>
    <x v="93"/>
    <n v="77943"/>
    <x v="2"/>
  </r>
  <r>
    <x v="93"/>
    <n v="67250"/>
    <x v="3"/>
  </r>
  <r>
    <x v="93"/>
    <n v="66759"/>
    <x v="1"/>
  </r>
  <r>
    <x v="94"/>
    <n v="54797"/>
    <x v="1"/>
  </r>
  <r>
    <x v="94"/>
    <n v="67527"/>
    <x v="2"/>
  </r>
  <r>
    <x v="94"/>
    <n v="63599"/>
    <x v="3"/>
  </r>
  <r>
    <x v="95"/>
    <n v="83263"/>
    <x v="2"/>
  </r>
  <r>
    <x v="95"/>
    <n v="74296"/>
    <x v="3"/>
  </r>
  <r>
    <x v="95"/>
    <n v="58892"/>
    <x v="1"/>
  </r>
  <r>
    <x v="96"/>
    <n v="58734"/>
    <x v="1"/>
  </r>
  <r>
    <x v="96"/>
    <n v="84096"/>
    <x v="2"/>
  </r>
  <r>
    <x v="96"/>
    <n v="70012"/>
    <x v="3"/>
  </r>
  <r>
    <x v="97"/>
    <n v="83542"/>
    <x v="2"/>
  </r>
  <r>
    <x v="97"/>
    <n v="71858"/>
    <x v="3"/>
  </r>
  <r>
    <x v="97"/>
    <n v="56759"/>
    <x v="1"/>
  </r>
  <r>
    <x v="98"/>
    <n v="42223"/>
    <x v="1"/>
  </r>
  <r>
    <x v="98"/>
    <n v="73084"/>
    <x v="3"/>
  </r>
  <r>
    <x v="98"/>
    <n v="80177"/>
    <x v="2"/>
  </r>
  <r>
    <x v="99"/>
    <n v="39632"/>
    <x v="1"/>
  </r>
  <r>
    <x v="99"/>
    <n v="64077"/>
    <x v="3"/>
  </r>
  <r>
    <x v="99"/>
    <n v="62542"/>
    <x v="2"/>
  </r>
  <r>
    <x v="100"/>
    <n v="60513"/>
    <x v="1"/>
  </r>
  <r>
    <x v="100"/>
    <n v="66704"/>
    <x v="3"/>
  </r>
  <r>
    <x v="100"/>
    <n v="70534"/>
    <x v="2"/>
  </r>
  <r>
    <x v="101"/>
    <n v="70508"/>
    <x v="1"/>
  </r>
  <r>
    <x v="101"/>
    <n v="64185"/>
    <x v="3"/>
  </r>
  <r>
    <x v="101"/>
    <n v="65961"/>
    <x v="2"/>
  </r>
  <r>
    <x v="102"/>
    <n v="80327"/>
    <x v="1"/>
  </r>
  <r>
    <x v="102"/>
    <n v="62288"/>
    <x v="3"/>
  </r>
  <r>
    <x v="102"/>
    <n v="61838"/>
    <x v="2"/>
  </r>
  <r>
    <x v="103"/>
    <n v="86838"/>
    <x v="1"/>
  </r>
  <r>
    <x v="103"/>
    <n v="57439"/>
    <x v="3"/>
  </r>
  <r>
    <x v="103"/>
    <n v="54706"/>
    <x v="2"/>
  </r>
  <r>
    <x v="104"/>
    <n v="91301"/>
    <x v="1"/>
  </r>
  <r>
    <x v="104"/>
    <n v="49678"/>
    <x v="3"/>
  </r>
  <r>
    <x v="104"/>
    <n v="43768"/>
    <x v="2"/>
  </r>
  <r>
    <x v="105"/>
    <n v="91705"/>
    <x v="1"/>
  </r>
  <r>
    <x v="105"/>
    <n v="40554"/>
    <x v="3"/>
  </r>
  <r>
    <x v="105"/>
    <n v="30822"/>
    <x v="2"/>
  </r>
  <r>
    <x v="106"/>
    <n v="77750"/>
    <x v="1"/>
  </r>
  <r>
    <x v="106"/>
    <n v="33744"/>
    <x v="3"/>
  </r>
  <r>
    <x v="106"/>
    <n v="21446"/>
    <x v="2"/>
  </r>
  <r>
    <x v="107"/>
    <n v="71683"/>
    <x v="1"/>
  </r>
  <r>
    <x v="107"/>
    <n v="32773"/>
    <x v="3"/>
  </r>
  <r>
    <x v="107"/>
    <n v="19444"/>
    <x v="2"/>
  </r>
  <r>
    <x v="108"/>
    <n v="55718"/>
    <x v="1"/>
  </r>
  <r>
    <x v="108"/>
    <n v="28222"/>
    <x v="3"/>
  </r>
  <r>
    <x v="108"/>
    <n v="18437"/>
    <x v="2"/>
  </r>
  <r>
    <x v="109"/>
    <n v="56034"/>
    <x v="1"/>
  </r>
  <r>
    <x v="109"/>
    <n v="26633"/>
    <x v="3"/>
  </r>
  <r>
    <x v="109"/>
    <n v="17008"/>
    <x v="2"/>
  </r>
  <r>
    <x v="110"/>
    <n v="39691"/>
    <x v="1"/>
  </r>
  <r>
    <x v="110"/>
    <n v="22506"/>
    <x v="3"/>
  </r>
  <r>
    <x v="110"/>
    <n v="13934"/>
    <x v="2"/>
  </r>
  <r>
    <x v="111"/>
    <n v="40882"/>
    <x v="1"/>
  </r>
  <r>
    <x v="111"/>
    <n v="19121"/>
    <x v="3"/>
  </r>
  <r>
    <x v="111"/>
    <n v="12746"/>
    <x v="2"/>
  </r>
  <r>
    <x v="112"/>
    <n v="52579"/>
    <x v="1"/>
  </r>
  <r>
    <x v="112"/>
    <n v="20629"/>
    <x v="3"/>
  </r>
  <r>
    <x v="112"/>
    <n v="14488"/>
    <x v="2"/>
  </r>
  <r>
    <x v="113"/>
    <n v="60064"/>
    <x v="1"/>
  </r>
  <r>
    <x v="113"/>
    <n v="19641"/>
    <x v="3"/>
  </r>
  <r>
    <x v="113"/>
    <n v="14305"/>
    <x v="2"/>
  </r>
  <r>
    <x v="114"/>
    <n v="71732"/>
    <x v="1"/>
  </r>
  <r>
    <x v="114"/>
    <n v="19650"/>
    <x v="3"/>
  </r>
  <r>
    <x v="114"/>
    <n v="15182"/>
    <x v="2"/>
  </r>
  <r>
    <x v="115"/>
    <n v="78272"/>
    <x v="1"/>
  </r>
  <r>
    <x v="115"/>
    <n v="21026"/>
    <x v="3"/>
  </r>
  <r>
    <x v="115"/>
    <n v="17576"/>
    <x v="2"/>
  </r>
  <r>
    <x v="116"/>
    <n v="76943"/>
    <x v="1"/>
  </r>
  <r>
    <x v="116"/>
    <n v="22613"/>
    <x v="3"/>
  </r>
  <r>
    <x v="116"/>
    <n v="18183"/>
    <x v="2"/>
  </r>
  <r>
    <x v="117"/>
    <n v="72571"/>
    <x v="1"/>
  </r>
  <r>
    <x v="117"/>
    <n v="3822"/>
    <x v="3"/>
  </r>
  <r>
    <x v="117"/>
    <n v="39009"/>
    <x v="2"/>
  </r>
  <r>
    <x v="118"/>
    <n v="67442"/>
    <x v="1"/>
  </r>
  <r>
    <x v="118"/>
    <n v="3734"/>
    <x v="3"/>
  </r>
  <r>
    <x v="118"/>
    <n v="41903"/>
    <x v="2"/>
  </r>
  <r>
    <x v="119"/>
    <n v="70617"/>
    <x v="1"/>
  </r>
  <r>
    <x v="119"/>
    <n v="3478"/>
    <x v="3"/>
  </r>
  <r>
    <x v="119"/>
    <n v="43011"/>
    <x v="2"/>
  </r>
  <r>
    <x v="120"/>
    <n v="57379"/>
    <x v="1"/>
  </r>
  <r>
    <x v="120"/>
    <n v="2955"/>
    <x v="3"/>
  </r>
  <r>
    <x v="120"/>
    <n v="46727"/>
    <x v="2"/>
  </r>
  <r>
    <x v="121"/>
    <n v="65620"/>
    <x v="1"/>
  </r>
  <r>
    <x v="121"/>
    <n v="3183"/>
    <x v="3"/>
  </r>
  <r>
    <x v="121"/>
    <n v="54114"/>
    <x v="2"/>
  </r>
  <r>
    <x v="122"/>
    <n v="50538"/>
    <x v="2"/>
  </r>
  <r>
    <x v="122"/>
    <n v="45536"/>
    <x v="1"/>
  </r>
  <r>
    <x v="122"/>
    <n v="2758"/>
    <x v="3"/>
  </r>
  <r>
    <x v="123"/>
    <n v="47059"/>
    <x v="1"/>
  </r>
  <r>
    <x v="123"/>
    <n v="2890"/>
    <x v="3"/>
  </r>
  <r>
    <x v="123"/>
    <n v="70674"/>
    <x v="2"/>
  </r>
  <r>
    <x v="124"/>
    <n v="64171"/>
    <x v="1"/>
  </r>
  <r>
    <x v="124"/>
    <n v="3285"/>
    <x v="3"/>
  </r>
  <r>
    <x v="124"/>
    <n v="78177"/>
    <x v="2"/>
  </r>
  <r>
    <x v="125"/>
    <n v="67676"/>
    <x v="1"/>
  </r>
  <r>
    <x v="125"/>
    <n v="2905"/>
    <x v="3"/>
  </r>
  <r>
    <x v="125"/>
    <n v="60562"/>
    <x v="2"/>
  </r>
  <r>
    <x v="126"/>
    <n v="78212"/>
    <x v="1"/>
  </r>
  <r>
    <x v="126"/>
    <n v="2527"/>
    <x v="3"/>
  </r>
  <r>
    <x v="126"/>
    <n v="56416"/>
    <x v="2"/>
  </r>
  <r>
    <x v="127"/>
    <n v="93543"/>
    <x v="1"/>
  </r>
  <r>
    <x v="127"/>
    <n v="2529"/>
    <x v="3"/>
  </r>
  <r>
    <x v="127"/>
    <n v="55180"/>
    <x v="2"/>
  </r>
  <r>
    <x v="128"/>
    <n v="87144"/>
    <x v="1"/>
  </r>
  <r>
    <x v="128"/>
    <n v="2316"/>
    <x v="3"/>
  </r>
  <r>
    <x v="128"/>
    <n v="47513"/>
    <x v="2"/>
  </r>
  <r>
    <x v="129"/>
    <n v="78995"/>
    <x v="1"/>
  </r>
  <r>
    <x v="129"/>
    <n v="2363"/>
    <x v="3"/>
  </r>
  <r>
    <x v="129"/>
    <n v="44660"/>
    <x v="2"/>
  </r>
  <r>
    <x v="130"/>
    <n v="2226"/>
    <x v="3"/>
  </r>
  <r>
    <x v="130"/>
    <n v="46143"/>
    <x v="2"/>
  </r>
  <r>
    <x v="130"/>
    <n v="74401"/>
    <x v="1"/>
  </r>
  <r>
    <x v="131"/>
    <n v="46372"/>
    <x v="2"/>
  </r>
  <r>
    <x v="131"/>
    <n v="2112"/>
    <x v="3"/>
  </r>
  <r>
    <x v="131"/>
    <n v="66295"/>
    <x v="1"/>
  </r>
  <r>
    <x v="132"/>
    <n v="45494"/>
    <x v="1"/>
  </r>
  <r>
    <x v="132"/>
    <n v="35833"/>
    <x v="2"/>
  </r>
  <r>
    <x v="132"/>
    <n v="1626"/>
    <x v="3"/>
  </r>
  <r>
    <x v="133"/>
    <n v="17971"/>
    <x v="2"/>
  </r>
  <r>
    <x v="133"/>
    <n v="1089"/>
    <x v="3"/>
  </r>
  <r>
    <x v="133"/>
    <n v="23227"/>
    <x v="1"/>
  </r>
  <r>
    <x v="134"/>
    <n v="204"/>
    <x v="2"/>
  </r>
  <r>
    <x v="134"/>
    <n v="12"/>
    <x v="3"/>
  </r>
  <r>
    <x v="134"/>
    <n v="67"/>
    <x v="1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  <r>
    <x v="135"/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28">
  <r>
    <x v="0"/>
    <n v="1180"/>
    <x v="0"/>
  </r>
  <r>
    <x v="0"/>
    <n v="46"/>
    <x v="1"/>
  </r>
  <r>
    <x v="1"/>
    <n v="56"/>
    <x v="1"/>
  </r>
  <r>
    <x v="1"/>
    <n v="1047"/>
    <x v="0"/>
  </r>
  <r>
    <x v="2"/>
    <n v="819"/>
    <x v="0"/>
  </r>
  <r>
    <x v="2"/>
    <n v="36"/>
    <x v="1"/>
  </r>
  <r>
    <x v="3"/>
    <n v="49"/>
    <x v="1"/>
  </r>
  <r>
    <x v="3"/>
    <n v="788"/>
    <x v="0"/>
  </r>
  <r>
    <x v="4"/>
    <n v="49"/>
    <x v="1"/>
  </r>
  <r>
    <x v="4"/>
    <n v="933"/>
    <x v="0"/>
  </r>
  <r>
    <x v="5"/>
    <n v="1031"/>
    <x v="0"/>
  </r>
  <r>
    <x v="5"/>
    <n v="48"/>
    <x v="1"/>
  </r>
  <r>
    <x v="6"/>
    <n v="1263"/>
    <x v="0"/>
  </r>
  <r>
    <x v="6"/>
    <n v="70"/>
    <x v="1"/>
  </r>
  <r>
    <x v="7"/>
    <n v="65"/>
    <x v="1"/>
  </r>
  <r>
    <x v="7"/>
    <n v="1418"/>
    <x v="0"/>
  </r>
  <r>
    <x v="8"/>
    <n v="1563"/>
    <x v="0"/>
  </r>
  <r>
    <x v="8"/>
    <n v="108"/>
    <x v="1"/>
  </r>
  <r>
    <x v="9"/>
    <n v="2269"/>
    <x v="0"/>
  </r>
  <r>
    <x v="9"/>
    <n v="145"/>
    <x v="1"/>
  </r>
  <r>
    <x v="10"/>
    <n v="3617"/>
    <x v="0"/>
  </r>
  <r>
    <x v="10"/>
    <n v="302"/>
    <x v="1"/>
  </r>
  <r>
    <x v="11"/>
    <n v="1433"/>
    <x v="1"/>
  </r>
  <r>
    <x v="11"/>
    <n v="11188"/>
    <x v="0"/>
  </r>
  <r>
    <x v="12"/>
    <n v="2150"/>
    <x v="1"/>
  </r>
  <r>
    <x v="12"/>
    <n v="18474"/>
    <x v="0"/>
  </r>
  <r>
    <x v="13"/>
    <n v="2140"/>
    <x v="1"/>
  </r>
  <r>
    <x v="13"/>
    <n v="17527"/>
    <x v="0"/>
  </r>
  <r>
    <x v="14"/>
    <n v="1937"/>
    <x v="1"/>
  </r>
  <r>
    <x v="14"/>
    <n v="14676"/>
    <x v="0"/>
  </r>
  <r>
    <x v="15"/>
    <n v="2043"/>
    <x v="1"/>
  </r>
  <r>
    <x v="15"/>
    <n v="15946"/>
    <x v="0"/>
  </r>
  <r>
    <x v="16"/>
    <n v="2033"/>
    <x v="1"/>
  </r>
  <r>
    <x v="16"/>
    <n v="19020"/>
    <x v="0"/>
  </r>
  <r>
    <x v="17"/>
    <n v="1886"/>
    <x v="1"/>
  </r>
  <r>
    <x v="17"/>
    <n v="19132"/>
    <x v="0"/>
  </r>
  <r>
    <x v="18"/>
    <n v="1871"/>
    <x v="1"/>
  </r>
  <r>
    <x v="18"/>
    <n v="20760"/>
    <x v="0"/>
  </r>
  <r>
    <x v="19"/>
    <n v="1917"/>
    <x v="1"/>
  </r>
  <r>
    <x v="19"/>
    <n v="23340"/>
    <x v="0"/>
  </r>
  <r>
    <x v="20"/>
    <n v="1727"/>
    <x v="1"/>
  </r>
  <r>
    <x v="20"/>
    <n v="21542"/>
    <x v="0"/>
  </r>
  <r>
    <x v="21"/>
    <n v="1944"/>
    <x v="1"/>
  </r>
  <r>
    <x v="21"/>
    <n v="22345"/>
    <x v="0"/>
  </r>
  <r>
    <x v="22"/>
    <n v="20884"/>
    <x v="0"/>
  </r>
  <r>
    <x v="22"/>
    <n v="2119"/>
    <x v="1"/>
  </r>
  <r>
    <x v="23"/>
    <n v="21853"/>
    <x v="0"/>
  </r>
  <r>
    <x v="23"/>
    <n v="2877"/>
    <x v="1"/>
  </r>
  <r>
    <x v="24"/>
    <n v="2665"/>
    <x v="1"/>
  </r>
  <r>
    <x v="24"/>
    <n v="20334"/>
    <x v="0"/>
  </r>
  <r>
    <x v="25"/>
    <n v="20359"/>
    <x v="0"/>
  </r>
  <r>
    <x v="25"/>
    <n v="3049"/>
    <x v="1"/>
  </r>
  <r>
    <x v="26"/>
    <n v="18696"/>
    <x v="0"/>
  </r>
  <r>
    <x v="26"/>
    <n v="3206"/>
    <x v="1"/>
  </r>
  <r>
    <x v="27"/>
    <n v="21692"/>
    <x v="0"/>
  </r>
  <r>
    <x v="27"/>
    <n v="3031"/>
    <x v="1"/>
  </r>
  <r>
    <x v="28"/>
    <n v="4195"/>
    <x v="1"/>
  </r>
  <r>
    <x v="28"/>
    <n v="29819"/>
    <x v="0"/>
  </r>
  <r>
    <x v="29"/>
    <n v="4924"/>
    <x v="1"/>
  </r>
  <r>
    <x v="29"/>
    <n v="33413"/>
    <x v="0"/>
  </r>
  <r>
    <x v="30"/>
    <n v="4856"/>
    <x v="1"/>
  </r>
  <r>
    <x v="30"/>
    <n v="39616"/>
    <x v="0"/>
  </r>
  <r>
    <x v="31"/>
    <n v="4324"/>
    <x v="1"/>
  </r>
  <r>
    <x v="31"/>
    <n v="42328"/>
    <x v="0"/>
  </r>
  <r>
    <x v="32"/>
    <n v="4046"/>
    <x v="1"/>
  </r>
  <r>
    <x v="32"/>
    <n v="42572"/>
    <x v="0"/>
  </r>
  <r>
    <x v="33"/>
    <n v="4178"/>
    <x v="1"/>
  </r>
  <r>
    <x v="33"/>
    <n v="43628"/>
    <x v="0"/>
  </r>
  <r>
    <x v="34"/>
    <n v="5239"/>
    <x v="1"/>
  </r>
  <r>
    <x v="34"/>
    <n v="40046"/>
    <x v="0"/>
  </r>
  <r>
    <x v="35"/>
    <n v="6375"/>
    <x v="1"/>
  </r>
  <r>
    <x v="35"/>
    <n v="39243"/>
    <x v="0"/>
  </r>
  <r>
    <x v="36"/>
    <n v="5697"/>
    <x v="1"/>
  </r>
  <r>
    <x v="36"/>
    <n v="34408"/>
    <x v="0"/>
  </r>
  <r>
    <x v="37"/>
    <n v="7319"/>
    <x v="1"/>
  </r>
  <r>
    <x v="37"/>
    <n v="33620"/>
    <x v="0"/>
  </r>
  <r>
    <x v="38"/>
    <n v="7429"/>
    <x v="1"/>
  </r>
  <r>
    <x v="38"/>
    <n v="26224"/>
    <x v="0"/>
  </r>
  <r>
    <x v="39"/>
    <n v="30067"/>
    <x v="0"/>
  </r>
  <r>
    <x v="39"/>
    <n v="11002"/>
    <x v="1"/>
  </r>
  <r>
    <x v="40"/>
    <n v="31075"/>
    <x v="0"/>
  </r>
  <r>
    <x v="40"/>
    <n v="8131"/>
    <x v="1"/>
  </r>
  <r>
    <x v="41"/>
    <n v="6360"/>
    <x v="1"/>
  </r>
  <r>
    <x v="41"/>
    <n v="25965"/>
    <x v="0"/>
  </r>
  <r>
    <x v="42"/>
    <n v="21930"/>
    <x v="0"/>
  </r>
  <r>
    <x v="42"/>
    <n v="3882"/>
    <x v="1"/>
  </r>
  <r>
    <x v="43"/>
    <n v="22165"/>
    <x v="0"/>
  </r>
  <r>
    <x v="43"/>
    <n v="3046"/>
    <x v="1"/>
  </r>
  <r>
    <x v="44"/>
    <n v="17033"/>
    <x v="0"/>
  </r>
  <r>
    <x v="44"/>
    <n v="1940"/>
    <x v="1"/>
  </r>
  <r>
    <x v="45"/>
    <n v="1206"/>
    <x v="1"/>
  </r>
  <r>
    <x v="45"/>
    <n v="11722"/>
    <x v="0"/>
  </r>
  <r>
    <x v="46"/>
    <n v="1438"/>
    <x v="1"/>
  </r>
  <r>
    <x v="46"/>
    <n v="11806"/>
    <x v="0"/>
  </r>
  <r>
    <x v="47"/>
    <n v="1935"/>
    <x v="1"/>
  </r>
  <r>
    <x v="47"/>
    <n v="10941"/>
    <x v="0"/>
  </r>
  <r>
    <x v="48"/>
    <n v="1037"/>
    <x v="1"/>
  </r>
  <r>
    <x v="48"/>
    <n v="7487"/>
    <x v="0"/>
  </r>
  <r>
    <x v="49"/>
    <n v="2919"/>
    <x v="1"/>
  </r>
  <r>
    <x v="49"/>
    <n v="9892"/>
    <x v="0"/>
  </r>
  <r>
    <x v="50"/>
    <n v="6865"/>
    <x v="1"/>
  </r>
  <r>
    <x v="50"/>
    <n v="7127"/>
    <x v="0"/>
  </r>
  <r>
    <x v="51"/>
    <n v="8013"/>
    <x v="1"/>
  </r>
  <r>
    <x v="51"/>
    <n v="8374"/>
    <x v="0"/>
  </r>
  <r>
    <x v="52"/>
    <n v="8042"/>
    <x v="1"/>
  </r>
  <r>
    <x v="52"/>
    <n v="10289"/>
    <x v="0"/>
  </r>
  <r>
    <x v="53"/>
    <n v="5386"/>
    <x v="2"/>
  </r>
  <r>
    <x v="53"/>
    <n v="3989"/>
    <x v="3"/>
  </r>
  <r>
    <x v="53"/>
    <n v="9759"/>
    <x v="0"/>
  </r>
  <r>
    <x v="54"/>
    <n v="4679"/>
    <x v="2"/>
  </r>
  <r>
    <x v="54"/>
    <n v="9624"/>
    <x v="3"/>
  </r>
  <r>
    <x v="54"/>
    <n v="10467"/>
    <x v="0"/>
  </r>
  <r>
    <x v="55"/>
    <n v="4363"/>
    <x v="2"/>
  </r>
  <r>
    <x v="55"/>
    <n v="15492"/>
    <x v="3"/>
  </r>
  <r>
    <x v="55"/>
    <n v="11948"/>
    <x v="0"/>
  </r>
  <r>
    <x v="56"/>
    <n v="2911"/>
    <x v="2"/>
  </r>
  <r>
    <x v="56"/>
    <n v="14090"/>
    <x v="3"/>
  </r>
  <r>
    <x v="56"/>
    <n v="12299"/>
    <x v="0"/>
  </r>
  <r>
    <x v="57"/>
    <n v="1784"/>
    <x v="2"/>
  </r>
  <r>
    <x v="57"/>
    <n v="9201"/>
    <x v="3"/>
  </r>
  <r>
    <x v="57"/>
    <n v="9965"/>
    <x v="0"/>
  </r>
  <r>
    <x v="58"/>
    <n v="1393"/>
    <x v="2"/>
  </r>
  <r>
    <x v="58"/>
    <n v="6917"/>
    <x v="3"/>
  </r>
  <r>
    <x v="58"/>
    <n v="9283"/>
    <x v="0"/>
  </r>
  <r>
    <x v="59"/>
    <n v="1727"/>
    <x v="2"/>
  </r>
  <r>
    <x v="59"/>
    <n v="9301"/>
    <x v="3"/>
  </r>
  <r>
    <x v="59"/>
    <n v="10153"/>
    <x v="0"/>
  </r>
  <r>
    <x v="60"/>
    <n v="1990"/>
    <x v="2"/>
  </r>
  <r>
    <x v="60"/>
    <n v="11962"/>
    <x v="3"/>
  </r>
  <r>
    <x v="60"/>
    <n v="10500"/>
    <x v="0"/>
  </r>
  <r>
    <x v="61"/>
    <n v="2022"/>
    <x v="2"/>
  </r>
  <r>
    <x v="61"/>
    <n v="14238"/>
    <x v="3"/>
  </r>
  <r>
    <x v="61"/>
    <n v="9633"/>
    <x v="0"/>
  </r>
  <r>
    <x v="62"/>
    <n v="1769"/>
    <x v="2"/>
  </r>
  <r>
    <x v="62"/>
    <n v="13429"/>
    <x v="3"/>
  </r>
  <r>
    <x v="62"/>
    <n v="7593"/>
    <x v="0"/>
  </r>
  <r>
    <x v="63"/>
    <n v="1278"/>
    <x v="2"/>
  </r>
  <r>
    <x v="63"/>
    <n v="10378"/>
    <x v="3"/>
  </r>
  <r>
    <x v="63"/>
    <n v="7549"/>
    <x v="0"/>
  </r>
  <r>
    <x v="64"/>
    <n v="1354"/>
    <x v="2"/>
  </r>
  <r>
    <x v="64"/>
    <n v="12269"/>
    <x v="3"/>
  </r>
  <r>
    <x v="64"/>
    <n v="10075"/>
    <x v="0"/>
  </r>
  <r>
    <x v="65"/>
    <n v="1243"/>
    <x v="2"/>
  </r>
  <r>
    <x v="65"/>
    <n v="11418"/>
    <x v="3"/>
  </r>
  <r>
    <x v="65"/>
    <n v="10966"/>
    <x v="0"/>
  </r>
  <r>
    <x v="66"/>
    <n v="965"/>
    <x v="2"/>
  </r>
  <r>
    <x v="66"/>
    <n v="8920"/>
    <x v="3"/>
  </r>
  <r>
    <x v="66"/>
    <n v="10928"/>
    <x v="0"/>
  </r>
  <r>
    <x v="67"/>
    <n v="1461"/>
    <x v="2"/>
  </r>
  <r>
    <x v="67"/>
    <n v="11465"/>
    <x v="3"/>
  </r>
  <r>
    <x v="67"/>
    <n v="11705"/>
    <x v="0"/>
  </r>
  <r>
    <x v="68"/>
    <n v="2033"/>
    <x v="2"/>
  </r>
  <r>
    <x v="68"/>
    <n v="14145"/>
    <x v="3"/>
  </r>
  <r>
    <x v="68"/>
    <n v="9087"/>
    <x v="0"/>
  </r>
  <r>
    <x v="69"/>
    <n v="2689"/>
    <x v="2"/>
  </r>
  <r>
    <x v="69"/>
    <n v="16225"/>
    <x v="3"/>
  </r>
  <r>
    <x v="69"/>
    <n v="10222"/>
    <x v="0"/>
  </r>
  <r>
    <x v="70"/>
    <n v="3023"/>
    <x v="2"/>
  </r>
  <r>
    <x v="70"/>
    <n v="17136"/>
    <x v="3"/>
  </r>
  <r>
    <x v="70"/>
    <n v="10705"/>
    <x v="0"/>
  </r>
  <r>
    <x v="71"/>
    <n v="3476"/>
    <x v="2"/>
  </r>
  <r>
    <x v="71"/>
    <n v="19481"/>
    <x v="3"/>
  </r>
  <r>
    <x v="71"/>
    <n v="11420"/>
    <x v="0"/>
  </r>
  <r>
    <x v="72"/>
    <n v="3223"/>
    <x v="2"/>
  </r>
  <r>
    <x v="72"/>
    <n v="21472"/>
    <x v="3"/>
  </r>
  <r>
    <x v="72"/>
    <n v="11990"/>
    <x v="0"/>
  </r>
  <r>
    <x v="73"/>
    <n v="3437"/>
    <x v="2"/>
  </r>
  <r>
    <x v="73"/>
    <n v="20596"/>
    <x v="3"/>
  </r>
  <r>
    <x v="73"/>
    <n v="12179"/>
    <x v="0"/>
  </r>
  <r>
    <x v="74"/>
    <n v="2289"/>
    <x v="2"/>
  </r>
  <r>
    <x v="74"/>
    <n v="19129"/>
    <x v="3"/>
  </r>
  <r>
    <x v="74"/>
    <n v="9844"/>
    <x v="0"/>
  </r>
  <r>
    <x v="75"/>
    <n v="1049"/>
    <x v="2"/>
  </r>
  <r>
    <x v="75"/>
    <n v="14334"/>
    <x v="3"/>
  </r>
  <r>
    <x v="75"/>
    <n v="7742"/>
    <x v="0"/>
  </r>
  <r>
    <x v="76"/>
    <n v="1123"/>
    <x v="2"/>
  </r>
  <r>
    <x v="76"/>
    <n v="10378"/>
    <x v="3"/>
  </r>
  <r>
    <x v="76"/>
    <n v="8335"/>
    <x v="0"/>
  </r>
  <r>
    <x v="77"/>
    <n v="944"/>
    <x v="2"/>
  </r>
  <r>
    <x v="77"/>
    <n v="9254"/>
    <x v="3"/>
  </r>
  <r>
    <x v="77"/>
    <n v="9229"/>
    <x v="0"/>
  </r>
  <r>
    <x v="78"/>
    <n v="913"/>
    <x v="2"/>
  </r>
  <r>
    <x v="78"/>
    <n v="8125"/>
    <x v="3"/>
  </r>
  <r>
    <x v="78"/>
    <n v="9883"/>
    <x v="0"/>
  </r>
  <r>
    <x v="79"/>
    <n v="1124"/>
    <x v="2"/>
  </r>
  <r>
    <x v="79"/>
    <n v="8682"/>
    <x v="3"/>
  </r>
  <r>
    <x v="79"/>
    <n v="12783"/>
    <x v="0"/>
  </r>
  <r>
    <x v="80"/>
    <n v="1275"/>
    <x v="2"/>
  </r>
  <r>
    <x v="80"/>
    <n v="9175"/>
    <x v="3"/>
  </r>
  <r>
    <x v="80"/>
    <n v="12304"/>
    <x v="0"/>
  </r>
  <r>
    <x v="81"/>
    <n v="1436"/>
    <x v="2"/>
  </r>
  <r>
    <x v="81"/>
    <n v="9463"/>
    <x v="3"/>
  </r>
  <r>
    <x v="81"/>
    <n v="13007"/>
    <x v="0"/>
  </r>
  <r>
    <x v="82"/>
    <n v="2096"/>
    <x v="2"/>
  </r>
  <r>
    <x v="82"/>
    <n v="10505"/>
    <x v="3"/>
  </r>
  <r>
    <x v="82"/>
    <n v="13522"/>
    <x v="0"/>
  </r>
  <r>
    <x v="83"/>
    <n v="2179"/>
    <x v="2"/>
  </r>
  <r>
    <x v="83"/>
    <n v="12243"/>
    <x v="3"/>
  </r>
  <r>
    <x v="83"/>
    <n v="12615"/>
    <x v="0"/>
  </r>
  <r>
    <x v="84"/>
    <n v="2423"/>
    <x v="2"/>
  </r>
  <r>
    <x v="84"/>
    <n v="12815"/>
    <x v="3"/>
  </r>
  <r>
    <x v="84"/>
    <n v="12585"/>
    <x v="0"/>
  </r>
  <r>
    <x v="85"/>
    <n v="2627"/>
    <x v="2"/>
  </r>
  <r>
    <x v="85"/>
    <n v="12292"/>
    <x v="3"/>
  </r>
  <r>
    <x v="85"/>
    <n v="12911"/>
    <x v="0"/>
  </r>
  <r>
    <x v="86"/>
    <n v="2188"/>
    <x v="2"/>
  </r>
  <r>
    <x v="86"/>
    <n v="16201"/>
    <x v="3"/>
  </r>
  <r>
    <x v="86"/>
    <n v="10963"/>
    <x v="0"/>
  </r>
  <r>
    <x v="87"/>
    <n v="2297"/>
    <x v="2"/>
  </r>
  <r>
    <x v="87"/>
    <n v="23479"/>
    <x v="3"/>
  </r>
  <r>
    <x v="87"/>
    <n v="14120"/>
    <x v="0"/>
  </r>
  <r>
    <x v="88"/>
    <n v="2473"/>
    <x v="2"/>
  </r>
  <r>
    <x v="88"/>
    <n v="26624"/>
    <x v="3"/>
  </r>
  <r>
    <x v="88"/>
    <n v="17374"/>
    <x v="0"/>
  </r>
  <r>
    <x v="89"/>
    <n v="2333"/>
    <x v="2"/>
  </r>
  <r>
    <x v="89"/>
    <n v="32318"/>
    <x v="3"/>
  </r>
  <r>
    <x v="89"/>
    <n v="21360"/>
    <x v="0"/>
  </r>
  <r>
    <x v="90"/>
    <n v="1991"/>
    <x v="2"/>
  </r>
  <r>
    <x v="90"/>
    <n v="34641"/>
    <x v="3"/>
  </r>
  <r>
    <x v="90"/>
    <n v="23277"/>
    <x v="0"/>
  </r>
  <r>
    <x v="91"/>
    <n v="2142"/>
    <x v="2"/>
  </r>
  <r>
    <x v="91"/>
    <n v="31882"/>
    <x v="3"/>
  </r>
  <r>
    <x v="91"/>
    <n v="25495"/>
    <x v="0"/>
  </r>
  <r>
    <x v="92"/>
    <n v="3257"/>
    <x v="2"/>
  </r>
  <r>
    <x v="92"/>
    <n v="30538"/>
    <x v="3"/>
  </r>
  <r>
    <x v="92"/>
    <n v="24895"/>
    <x v="0"/>
  </r>
  <r>
    <x v="93"/>
    <n v="4621"/>
    <x v="2"/>
  </r>
  <r>
    <x v="93"/>
    <n v="30467"/>
    <x v="3"/>
  </r>
  <r>
    <x v="93"/>
    <n v="24373"/>
    <x v="0"/>
  </r>
  <r>
    <x v="94"/>
    <n v="5447"/>
    <x v="2"/>
  </r>
  <r>
    <x v="94"/>
    <n v="26984"/>
    <x v="3"/>
  </r>
  <r>
    <x v="94"/>
    <n v="23294"/>
    <x v="0"/>
  </r>
  <r>
    <x v="95"/>
    <n v="5737"/>
    <x v="2"/>
  </r>
  <r>
    <x v="95"/>
    <n v="31254"/>
    <x v="3"/>
  </r>
  <r>
    <x v="95"/>
    <n v="24734"/>
    <x v="0"/>
  </r>
  <r>
    <x v="96"/>
    <n v="5676"/>
    <x v="2"/>
  </r>
  <r>
    <x v="96"/>
    <n v="26414"/>
    <x v="3"/>
  </r>
  <r>
    <x v="96"/>
    <n v="20342"/>
    <x v="0"/>
  </r>
  <r>
    <x v="97"/>
    <n v="6950"/>
    <x v="2"/>
  </r>
  <r>
    <x v="97"/>
    <n v="26723"/>
    <x v="3"/>
  </r>
  <r>
    <x v="97"/>
    <n v="21567"/>
    <x v="0"/>
  </r>
  <r>
    <x v="98"/>
    <n v="7312"/>
    <x v="2"/>
  </r>
  <r>
    <x v="98"/>
    <n v="29060"/>
    <x v="3"/>
  </r>
  <r>
    <x v="98"/>
    <n v="20754"/>
    <x v="0"/>
  </r>
  <r>
    <x v="99"/>
    <n v="6139"/>
    <x v="2"/>
  </r>
  <r>
    <x v="99"/>
    <n v="29562"/>
    <x v="3"/>
  </r>
  <r>
    <x v="99"/>
    <n v="22704"/>
    <x v="0"/>
  </r>
  <r>
    <x v="100"/>
    <n v="5237"/>
    <x v="2"/>
  </r>
  <r>
    <x v="100"/>
    <n v="29526"/>
    <x v="3"/>
  </r>
  <r>
    <x v="100"/>
    <n v="24658"/>
    <x v="0"/>
  </r>
  <r>
    <x v="101"/>
    <n v="5065"/>
    <x v="2"/>
  </r>
  <r>
    <x v="101"/>
    <n v="27067"/>
    <x v="3"/>
  </r>
  <r>
    <x v="101"/>
    <n v="25744"/>
    <x v="0"/>
  </r>
  <r>
    <x v="102"/>
    <n v="5449"/>
    <x v="2"/>
  </r>
  <r>
    <x v="102"/>
    <n v="23805"/>
    <x v="3"/>
  </r>
  <r>
    <x v="102"/>
    <n v="29501"/>
    <x v="0"/>
  </r>
  <r>
    <x v="103"/>
    <n v="4313"/>
    <x v="2"/>
  </r>
  <r>
    <x v="103"/>
    <n v="20234"/>
    <x v="3"/>
  </r>
  <r>
    <x v="103"/>
    <n v="28233"/>
    <x v="0"/>
  </r>
  <r>
    <x v="104"/>
    <n v="3353"/>
    <x v="2"/>
  </r>
  <r>
    <x v="104"/>
    <n v="18538"/>
    <x v="3"/>
  </r>
  <r>
    <x v="104"/>
    <n v="27498"/>
    <x v="0"/>
  </r>
  <r>
    <x v="105"/>
    <n v="1926"/>
    <x v="2"/>
  </r>
  <r>
    <x v="105"/>
    <n v="14776"/>
    <x v="3"/>
  </r>
  <r>
    <x v="105"/>
    <n v="24286"/>
    <x v="0"/>
  </r>
  <r>
    <x v="106"/>
    <n v="1315"/>
    <x v="2"/>
  </r>
  <r>
    <x v="106"/>
    <n v="10645"/>
    <x v="3"/>
  </r>
  <r>
    <x v="106"/>
    <n v="20320"/>
    <x v="0"/>
  </r>
  <r>
    <x v="107"/>
    <n v="1368"/>
    <x v="2"/>
  </r>
  <r>
    <x v="107"/>
    <n v="9145"/>
    <x v="3"/>
  </r>
  <r>
    <x v="107"/>
    <n v="20401"/>
    <x v="0"/>
  </r>
  <r>
    <x v="108"/>
    <n v="1777"/>
    <x v="2"/>
  </r>
  <r>
    <x v="108"/>
    <n v="7887"/>
    <x v="3"/>
  </r>
  <r>
    <x v="108"/>
    <n v="19749"/>
    <x v="0"/>
  </r>
  <r>
    <x v="109"/>
    <n v="1875"/>
    <x v="2"/>
  </r>
  <r>
    <x v="109"/>
    <n v="7706"/>
    <x v="3"/>
  </r>
  <r>
    <x v="109"/>
    <n v="20542"/>
    <x v="0"/>
  </r>
  <r>
    <x v="110"/>
    <n v="1173"/>
    <x v="2"/>
  </r>
  <r>
    <x v="110"/>
    <n v="6401"/>
    <x v="3"/>
  </r>
  <r>
    <x v="110"/>
    <n v="14202"/>
    <x v="0"/>
  </r>
  <r>
    <x v="111"/>
    <n v="6351"/>
    <x v="4"/>
  </r>
  <r>
    <x v="111"/>
    <n v="15120"/>
    <x v="0"/>
  </r>
  <r>
    <x v="112"/>
    <n v="6984"/>
    <x v="4"/>
  </r>
  <r>
    <x v="112"/>
    <n v="20187"/>
    <x v="0"/>
  </r>
  <r>
    <x v="113"/>
    <n v="6497"/>
    <x v="4"/>
  </r>
  <r>
    <x v="113"/>
    <n v="21803"/>
    <x v="0"/>
  </r>
  <r>
    <x v="114"/>
    <n v="5703"/>
    <x v="4"/>
  </r>
  <r>
    <x v="114"/>
    <n v="24262"/>
    <x v="0"/>
  </r>
  <r>
    <x v="115"/>
    <n v="5871"/>
    <x v="4"/>
  </r>
  <r>
    <x v="115"/>
    <n v="28674"/>
    <x v="0"/>
  </r>
  <r>
    <x v="116"/>
    <n v="5697"/>
    <x v="4"/>
  </r>
  <r>
    <x v="116"/>
    <n v="28213"/>
    <x v="0"/>
  </r>
  <r>
    <x v="117"/>
    <n v="5967"/>
    <x v="4"/>
  </r>
  <r>
    <x v="117"/>
    <n v="26562"/>
    <x v="0"/>
  </r>
  <r>
    <x v="118"/>
    <n v="6289"/>
    <x v="4"/>
  </r>
  <r>
    <x v="118"/>
    <n v="24363"/>
    <x v="0"/>
  </r>
  <r>
    <x v="119"/>
    <n v="6586"/>
    <x v="4"/>
  </r>
  <r>
    <x v="119"/>
    <n v="21865"/>
    <x v="0"/>
  </r>
  <r>
    <x v="120"/>
    <n v="7036"/>
    <x v="4"/>
  </r>
  <r>
    <x v="120"/>
    <n v="19051"/>
    <x v="0"/>
  </r>
  <r>
    <x v="121"/>
    <n v="6442"/>
    <x v="4"/>
  </r>
  <r>
    <x v="121"/>
    <n v="20160"/>
    <x v="0"/>
  </r>
  <r>
    <x v="122"/>
    <n v="7370"/>
    <x v="4"/>
  </r>
  <r>
    <x v="122"/>
    <n v="15687"/>
    <x v="0"/>
  </r>
  <r>
    <x v="123"/>
    <n v="17561"/>
    <x v="0"/>
  </r>
  <r>
    <x v="123"/>
    <n v="9357"/>
    <x v="4"/>
  </r>
  <r>
    <x v="124"/>
    <n v="25158"/>
    <x v="0"/>
  </r>
  <r>
    <x v="124"/>
    <n v="11076"/>
    <x v="4"/>
  </r>
  <r>
    <x v="125"/>
    <n v="8294"/>
    <x v="4"/>
  </r>
  <r>
    <x v="125"/>
    <n v="26752"/>
    <x v="0"/>
  </r>
  <r>
    <x v="126"/>
    <n v="28655"/>
    <x v="0"/>
  </r>
  <r>
    <x v="126"/>
    <n v="6985"/>
    <x v="4"/>
  </r>
  <r>
    <x v="127"/>
    <n v="30476"/>
    <x v="0"/>
  </r>
  <r>
    <x v="127"/>
    <n v="6153"/>
    <x v="4"/>
  </r>
  <r>
    <x v="128"/>
    <n v="29701"/>
    <x v="0"/>
  </r>
  <r>
    <x v="128"/>
    <n v="4907"/>
    <x v="4"/>
  </r>
  <r>
    <x v="129"/>
    <n v="5060"/>
    <x v="4"/>
  </r>
  <r>
    <x v="129"/>
    <n v="28573"/>
    <x v="0"/>
  </r>
  <r>
    <x v="130"/>
    <n v="26470"/>
    <x v="0"/>
  </r>
  <r>
    <x v="130"/>
    <n v="5234"/>
    <x v="4"/>
  </r>
  <r>
    <x v="131"/>
    <n v="5646"/>
    <x v="4"/>
  </r>
  <r>
    <x v="131"/>
    <n v="24532"/>
    <x v="0"/>
  </r>
  <r>
    <x v="132"/>
    <n v="18437"/>
    <x v="0"/>
  </r>
  <r>
    <x v="132"/>
    <n v="4752"/>
    <x v="4"/>
  </r>
  <r>
    <x v="133"/>
    <n v="3011"/>
    <x v="4"/>
  </r>
  <r>
    <x v="133"/>
    <n v="12418"/>
    <x v="0"/>
  </r>
  <r>
    <x v="134"/>
    <n v="489"/>
    <x v="0"/>
  </r>
  <r>
    <x v="134"/>
    <n v="244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99">
  <r>
    <x v="0"/>
    <n v="940"/>
    <x v="0"/>
  </r>
  <r>
    <x v="0"/>
    <n v="49"/>
    <x v="1"/>
  </r>
  <r>
    <x v="0"/>
    <n v="237"/>
    <x v="2"/>
  </r>
  <r>
    <x v="1"/>
    <n v="111"/>
    <x v="2"/>
  </r>
  <r>
    <x v="1"/>
    <n v="943"/>
    <x v="0"/>
  </r>
  <r>
    <x v="1"/>
    <n v="49"/>
    <x v="1"/>
  </r>
  <r>
    <x v="2"/>
    <n v="39"/>
    <x v="1"/>
  </r>
  <r>
    <x v="2"/>
    <n v="1"/>
    <x v="3"/>
  </r>
  <r>
    <x v="2"/>
    <n v="84"/>
    <x v="2"/>
  </r>
  <r>
    <x v="2"/>
    <n v="731"/>
    <x v="0"/>
  </r>
  <r>
    <x v="3"/>
    <n v="87"/>
    <x v="2"/>
  </r>
  <r>
    <x v="3"/>
    <n v="695"/>
    <x v="0"/>
  </r>
  <r>
    <x v="3"/>
    <n v="55"/>
    <x v="1"/>
  </r>
  <r>
    <x v="4"/>
    <n v="49"/>
    <x v="1"/>
  </r>
  <r>
    <x v="4"/>
    <n v="835"/>
    <x v="0"/>
  </r>
  <r>
    <x v="4"/>
    <n v="98"/>
    <x v="2"/>
  </r>
  <r>
    <x v="5"/>
    <n v="60"/>
    <x v="1"/>
  </r>
  <r>
    <x v="5"/>
    <n v="900"/>
    <x v="0"/>
  </r>
  <r>
    <x v="5"/>
    <n v="119"/>
    <x v="2"/>
  </r>
  <r>
    <x v="6"/>
    <n v="105"/>
    <x v="1"/>
  </r>
  <r>
    <x v="6"/>
    <n v="1098"/>
    <x v="0"/>
  </r>
  <r>
    <x v="6"/>
    <n v="130"/>
    <x v="2"/>
  </r>
  <r>
    <x v="7"/>
    <n v="95"/>
    <x v="1"/>
  </r>
  <r>
    <x v="7"/>
    <n v="1255"/>
    <x v="0"/>
  </r>
  <r>
    <x v="7"/>
    <n v="133"/>
    <x v="2"/>
  </r>
  <r>
    <x v="8"/>
    <n v="177"/>
    <x v="1"/>
  </r>
  <r>
    <x v="8"/>
    <n v="1349"/>
    <x v="0"/>
  </r>
  <r>
    <x v="8"/>
    <n v="145"/>
    <x v="2"/>
  </r>
  <r>
    <x v="9"/>
    <n v="247"/>
    <x v="1"/>
  </r>
  <r>
    <x v="9"/>
    <n v="1937"/>
    <x v="0"/>
  </r>
  <r>
    <x v="9"/>
    <n v="230"/>
    <x v="2"/>
  </r>
  <r>
    <x v="10"/>
    <n v="593"/>
    <x v="1"/>
  </r>
  <r>
    <x v="10"/>
    <n v="2881"/>
    <x v="0"/>
  </r>
  <r>
    <x v="10"/>
    <n v="445"/>
    <x v="2"/>
  </r>
  <r>
    <x v="11"/>
    <n v="2994"/>
    <x v="1"/>
  </r>
  <r>
    <x v="11"/>
    <n v="8239"/>
    <x v="0"/>
  </r>
  <r>
    <x v="11"/>
    <n v="1387"/>
    <x v="2"/>
  </r>
  <r>
    <x v="11"/>
    <n v="1"/>
    <x v="3"/>
  </r>
  <r>
    <x v="12"/>
    <n v="4692"/>
    <x v="1"/>
  </r>
  <r>
    <x v="12"/>
    <n v="13637"/>
    <x v="0"/>
  </r>
  <r>
    <x v="12"/>
    <n v="2295"/>
    <x v="2"/>
  </r>
  <r>
    <x v="13"/>
    <n v="4221"/>
    <x v="1"/>
  </r>
  <r>
    <x v="13"/>
    <n v="13380"/>
    <x v="0"/>
  </r>
  <r>
    <x v="13"/>
    <n v="2065"/>
    <x v="2"/>
  </r>
  <r>
    <x v="13"/>
    <n v="1"/>
    <x v="3"/>
  </r>
  <r>
    <x v="14"/>
    <n v="4072"/>
    <x v="1"/>
  </r>
  <r>
    <x v="14"/>
    <n v="10719"/>
    <x v="0"/>
  </r>
  <r>
    <x v="14"/>
    <n v="1822"/>
    <x v="2"/>
  </r>
  <r>
    <x v="15"/>
    <n v="4387"/>
    <x v="1"/>
  </r>
  <r>
    <x v="15"/>
    <n v="11832"/>
    <x v="0"/>
  </r>
  <r>
    <x v="15"/>
    <n v="1770"/>
    <x v="2"/>
  </r>
  <r>
    <x v="16"/>
    <n v="4578"/>
    <x v="1"/>
  </r>
  <r>
    <x v="16"/>
    <n v="14676"/>
    <x v="0"/>
  </r>
  <r>
    <x v="16"/>
    <n v="1798"/>
    <x v="2"/>
  </r>
  <r>
    <x v="16"/>
    <n v="1"/>
    <x v="3"/>
  </r>
  <r>
    <x v="17"/>
    <n v="3909"/>
    <x v="1"/>
  </r>
  <r>
    <x v="17"/>
    <n v="15392"/>
    <x v="0"/>
  </r>
  <r>
    <x v="17"/>
    <n v="1716"/>
    <x v="2"/>
  </r>
  <r>
    <x v="17"/>
    <n v="1"/>
    <x v="3"/>
  </r>
  <r>
    <x v="18"/>
    <n v="3799"/>
    <x v="1"/>
  </r>
  <r>
    <x v="18"/>
    <n v="17111"/>
    <x v="0"/>
  </r>
  <r>
    <x v="18"/>
    <n v="1721"/>
    <x v="2"/>
  </r>
  <r>
    <x v="19"/>
    <n v="3768"/>
    <x v="1"/>
  </r>
  <r>
    <x v="19"/>
    <n v="19855"/>
    <x v="0"/>
  </r>
  <r>
    <x v="19"/>
    <n v="1634"/>
    <x v="2"/>
  </r>
  <r>
    <x v="20"/>
    <n v="3325"/>
    <x v="1"/>
  </r>
  <r>
    <x v="20"/>
    <n v="18481"/>
    <x v="0"/>
  </r>
  <r>
    <x v="20"/>
    <n v="1463"/>
    <x v="2"/>
  </r>
  <r>
    <x v="21"/>
    <n v="3870"/>
    <x v="1"/>
  </r>
  <r>
    <x v="21"/>
    <n v="18928"/>
    <x v="0"/>
  </r>
  <r>
    <x v="21"/>
    <n v="1491"/>
    <x v="2"/>
  </r>
  <r>
    <x v="22"/>
    <n v="4345"/>
    <x v="1"/>
  </r>
  <r>
    <x v="22"/>
    <n v="17242"/>
    <x v="0"/>
  </r>
  <r>
    <x v="22"/>
    <n v="1415"/>
    <x v="2"/>
  </r>
  <r>
    <x v="22"/>
    <n v="1"/>
    <x v="3"/>
  </r>
  <r>
    <x v="23"/>
    <n v="5718"/>
    <x v="1"/>
  </r>
  <r>
    <x v="23"/>
    <n v="17359"/>
    <x v="0"/>
  </r>
  <r>
    <x v="23"/>
    <n v="1652"/>
    <x v="2"/>
  </r>
  <r>
    <x v="23"/>
    <n v="1"/>
    <x v="3"/>
  </r>
  <r>
    <x v="24"/>
    <n v="5283"/>
    <x v="1"/>
  </r>
  <r>
    <x v="24"/>
    <n v="16251"/>
    <x v="0"/>
  </r>
  <r>
    <x v="24"/>
    <n v="1465"/>
    <x v="2"/>
  </r>
  <r>
    <x v="25"/>
    <n v="5982"/>
    <x v="1"/>
  </r>
  <r>
    <x v="25"/>
    <n v="15987"/>
    <x v="0"/>
  </r>
  <r>
    <x v="25"/>
    <n v="1437"/>
    <x v="2"/>
  </r>
  <r>
    <x v="25"/>
    <n v="2"/>
    <x v="3"/>
  </r>
  <r>
    <x v="26"/>
    <n v="6154"/>
    <x v="1"/>
  </r>
  <r>
    <x v="26"/>
    <n v="14337"/>
    <x v="0"/>
  </r>
  <r>
    <x v="26"/>
    <n v="1409"/>
    <x v="2"/>
  </r>
  <r>
    <x v="26"/>
    <n v="2"/>
    <x v="3"/>
  </r>
  <r>
    <x v="27"/>
    <n v="5800"/>
    <x v="1"/>
  </r>
  <r>
    <x v="27"/>
    <n v="17636"/>
    <x v="0"/>
  </r>
  <r>
    <x v="27"/>
    <n v="1286"/>
    <x v="2"/>
  </r>
  <r>
    <x v="27"/>
    <n v="1"/>
    <x v="3"/>
  </r>
  <r>
    <x v="28"/>
    <n v="7918"/>
    <x v="1"/>
  </r>
  <r>
    <x v="28"/>
    <n v="24500"/>
    <x v="0"/>
  </r>
  <r>
    <x v="28"/>
    <n v="1594"/>
    <x v="2"/>
  </r>
  <r>
    <x v="28"/>
    <n v="2"/>
    <x v="3"/>
  </r>
  <r>
    <x v="29"/>
    <n v="9230"/>
    <x v="1"/>
  </r>
  <r>
    <x v="29"/>
    <n v="27518"/>
    <x v="0"/>
  </r>
  <r>
    <x v="29"/>
    <n v="1586"/>
    <x v="2"/>
  </r>
  <r>
    <x v="29"/>
    <n v="3"/>
    <x v="3"/>
  </r>
  <r>
    <x v="30"/>
    <n v="8884"/>
    <x v="1"/>
  </r>
  <r>
    <x v="30"/>
    <n v="33978"/>
    <x v="0"/>
  </r>
  <r>
    <x v="30"/>
    <n v="1610"/>
    <x v="2"/>
  </r>
  <r>
    <x v="31"/>
    <n v="8032"/>
    <x v="1"/>
  </r>
  <r>
    <x v="31"/>
    <n v="37140"/>
    <x v="0"/>
  </r>
  <r>
    <x v="31"/>
    <n v="1480"/>
    <x v="2"/>
  </r>
  <r>
    <x v="32"/>
    <n v="7451"/>
    <x v="1"/>
  </r>
  <r>
    <x v="32"/>
    <n v="37613"/>
    <x v="0"/>
  </r>
  <r>
    <x v="32"/>
    <n v="1553"/>
    <x v="2"/>
  </r>
  <r>
    <x v="32"/>
    <n v="1"/>
    <x v="3"/>
  </r>
  <r>
    <x v="33"/>
    <n v="7197"/>
    <x v="1"/>
  </r>
  <r>
    <x v="33"/>
    <n v="39075"/>
    <x v="0"/>
  </r>
  <r>
    <x v="33"/>
    <n v="1532"/>
    <x v="2"/>
  </r>
  <r>
    <x v="33"/>
    <n v="2"/>
    <x v="3"/>
  </r>
  <r>
    <x v="34"/>
    <n v="8931"/>
    <x v="1"/>
  </r>
  <r>
    <x v="34"/>
    <n v="34709"/>
    <x v="0"/>
  </r>
  <r>
    <x v="34"/>
    <n v="1645"/>
    <x v="2"/>
  </r>
  <r>
    <x v="35"/>
    <n v="11102"/>
    <x v="1"/>
  </r>
  <r>
    <x v="35"/>
    <n v="32768"/>
    <x v="0"/>
  </r>
  <r>
    <x v="35"/>
    <n v="1747"/>
    <x v="2"/>
  </r>
  <r>
    <x v="35"/>
    <n v="1"/>
    <x v="3"/>
  </r>
  <r>
    <x v="36"/>
    <n v="9365"/>
    <x v="1"/>
  </r>
  <r>
    <x v="36"/>
    <n v="29396"/>
    <x v="0"/>
  </r>
  <r>
    <x v="36"/>
    <n v="1342"/>
    <x v="2"/>
  </r>
  <r>
    <x v="36"/>
    <n v="2"/>
    <x v="3"/>
  </r>
  <r>
    <x v="37"/>
    <n v="11573"/>
    <x v="1"/>
  </r>
  <r>
    <x v="37"/>
    <n v="27830"/>
    <x v="0"/>
  </r>
  <r>
    <x v="37"/>
    <n v="1534"/>
    <x v="2"/>
  </r>
  <r>
    <x v="37"/>
    <n v="2"/>
    <x v="3"/>
  </r>
  <r>
    <x v="38"/>
    <n v="11146"/>
    <x v="1"/>
  </r>
  <r>
    <x v="38"/>
    <n v="21202"/>
    <x v="0"/>
  </r>
  <r>
    <x v="38"/>
    <n v="1300"/>
    <x v="2"/>
  </r>
  <r>
    <x v="38"/>
    <n v="5"/>
    <x v="3"/>
  </r>
  <r>
    <x v="39"/>
    <n v="16986"/>
    <x v="1"/>
  </r>
  <r>
    <x v="39"/>
    <n v="22274"/>
    <x v="0"/>
  </r>
  <r>
    <x v="39"/>
    <n v="1805"/>
    <x v="2"/>
  </r>
  <r>
    <x v="39"/>
    <n v="4"/>
    <x v="3"/>
  </r>
  <r>
    <x v="40"/>
    <n v="13245"/>
    <x v="1"/>
  </r>
  <r>
    <x v="40"/>
    <n v="24394"/>
    <x v="0"/>
  </r>
  <r>
    <x v="40"/>
    <n v="1564"/>
    <x v="2"/>
  </r>
  <r>
    <x v="40"/>
    <n v="3"/>
    <x v="3"/>
  </r>
  <r>
    <x v="41"/>
    <n v="10304"/>
    <x v="1"/>
  </r>
  <r>
    <x v="41"/>
    <n v="20711"/>
    <x v="0"/>
  </r>
  <r>
    <x v="41"/>
    <n v="1309"/>
    <x v="2"/>
  </r>
  <r>
    <x v="41"/>
    <n v="1"/>
    <x v="3"/>
  </r>
  <r>
    <x v="42"/>
    <n v="6113"/>
    <x v="1"/>
  </r>
  <r>
    <x v="42"/>
    <n v="18873"/>
    <x v="0"/>
  </r>
  <r>
    <x v="42"/>
    <n v="811"/>
    <x v="2"/>
  </r>
  <r>
    <x v="42"/>
    <n v="15"/>
    <x v="3"/>
  </r>
  <r>
    <x v="43"/>
    <n v="4624"/>
    <x v="1"/>
  </r>
  <r>
    <x v="43"/>
    <n v="19877"/>
    <x v="0"/>
  </r>
  <r>
    <x v="43"/>
    <n v="631"/>
    <x v="2"/>
  </r>
  <r>
    <x v="43"/>
    <n v="79"/>
    <x v="3"/>
  </r>
  <r>
    <x v="44"/>
    <n v="2694"/>
    <x v="1"/>
  </r>
  <r>
    <x v="44"/>
    <n v="15831"/>
    <x v="0"/>
  </r>
  <r>
    <x v="44"/>
    <n v="399"/>
    <x v="2"/>
  </r>
  <r>
    <x v="44"/>
    <n v="49"/>
    <x v="3"/>
  </r>
  <r>
    <x v="45"/>
    <n v="1729"/>
    <x v="1"/>
  </r>
  <r>
    <x v="45"/>
    <n v="10860"/>
    <x v="0"/>
  </r>
  <r>
    <x v="45"/>
    <n v="287"/>
    <x v="2"/>
  </r>
  <r>
    <x v="45"/>
    <n v="52"/>
    <x v="3"/>
  </r>
  <r>
    <x v="46"/>
    <n v="1766"/>
    <x v="1"/>
  </r>
  <r>
    <x v="46"/>
    <n v="10948"/>
    <x v="0"/>
  </r>
  <r>
    <x v="46"/>
    <n v="320"/>
    <x v="2"/>
  </r>
  <r>
    <x v="46"/>
    <n v="210"/>
    <x v="3"/>
  </r>
  <r>
    <x v="47"/>
    <n v="2126"/>
    <x v="1"/>
  </r>
  <r>
    <x v="47"/>
    <n v="9981"/>
    <x v="0"/>
  </r>
  <r>
    <x v="47"/>
    <n v="501"/>
    <x v="2"/>
  </r>
  <r>
    <x v="47"/>
    <n v="268"/>
    <x v="3"/>
  </r>
  <r>
    <x v="48"/>
    <n v="1115"/>
    <x v="1"/>
  </r>
  <r>
    <x v="48"/>
    <n v="6789"/>
    <x v="0"/>
  </r>
  <r>
    <x v="48"/>
    <n v="255"/>
    <x v="2"/>
  </r>
  <r>
    <x v="48"/>
    <n v="365"/>
    <x v="3"/>
  </r>
  <r>
    <x v="49"/>
    <n v="2663"/>
    <x v="1"/>
  </r>
  <r>
    <x v="49"/>
    <n v="8887"/>
    <x v="0"/>
  </r>
  <r>
    <x v="49"/>
    <n v="859"/>
    <x v="2"/>
  </r>
  <r>
    <x v="49"/>
    <n v="402"/>
    <x v="3"/>
  </r>
  <r>
    <x v="50"/>
    <n v="6099"/>
    <x v="1"/>
  </r>
  <r>
    <x v="50"/>
    <n v="5388"/>
    <x v="0"/>
  </r>
  <r>
    <x v="50"/>
    <n v="2080"/>
    <x v="2"/>
  </r>
  <r>
    <x v="50"/>
    <n v="425"/>
    <x v="3"/>
  </r>
  <r>
    <x v="51"/>
    <n v="7514"/>
    <x v="1"/>
  </r>
  <r>
    <x v="51"/>
    <n v="6051"/>
    <x v="0"/>
  </r>
  <r>
    <x v="51"/>
    <n v="2392"/>
    <x v="2"/>
  </r>
  <r>
    <x v="51"/>
    <n v="430"/>
    <x v="3"/>
  </r>
  <r>
    <x v="52"/>
    <n v="7386"/>
    <x v="1"/>
  </r>
  <r>
    <x v="52"/>
    <n v="8287"/>
    <x v="0"/>
  </r>
  <r>
    <x v="52"/>
    <n v="2486"/>
    <x v="2"/>
  </r>
  <r>
    <x v="52"/>
    <n v="172"/>
    <x v="3"/>
  </r>
  <r>
    <x v="53"/>
    <n v="5841"/>
    <x v="1"/>
  </r>
  <r>
    <x v="53"/>
    <n v="7906"/>
    <x v="0"/>
  </r>
  <r>
    <x v="53"/>
    <n v="5241"/>
    <x v="2"/>
  </r>
  <r>
    <x v="53"/>
    <n v="146"/>
    <x v="3"/>
  </r>
  <r>
    <x v="54"/>
    <n v="5508"/>
    <x v="1"/>
  </r>
  <r>
    <x v="54"/>
    <n v="8168"/>
    <x v="0"/>
  </r>
  <r>
    <x v="54"/>
    <n v="10999"/>
    <x v="2"/>
  </r>
  <r>
    <x v="54"/>
    <n v="95"/>
    <x v="3"/>
  </r>
  <r>
    <x v="55"/>
    <n v="4856"/>
    <x v="1"/>
  </r>
  <r>
    <x v="55"/>
    <n v="9613"/>
    <x v="0"/>
  </r>
  <r>
    <x v="55"/>
    <n v="17240"/>
    <x v="2"/>
  </r>
  <r>
    <x v="55"/>
    <n v="94"/>
    <x v="3"/>
  </r>
  <r>
    <x v="56"/>
    <n v="3173"/>
    <x v="1"/>
  </r>
  <r>
    <x v="56"/>
    <n v="10376"/>
    <x v="0"/>
  </r>
  <r>
    <x v="56"/>
    <n v="15625"/>
    <x v="2"/>
  </r>
  <r>
    <x v="56"/>
    <n v="126"/>
    <x v="3"/>
  </r>
  <r>
    <x v="57"/>
    <n v="1960"/>
    <x v="1"/>
  </r>
  <r>
    <x v="57"/>
    <n v="8541"/>
    <x v="0"/>
  </r>
  <r>
    <x v="57"/>
    <n v="10307"/>
    <x v="2"/>
  </r>
  <r>
    <x v="57"/>
    <n v="142"/>
    <x v="3"/>
  </r>
  <r>
    <x v="58"/>
    <n v="1491"/>
    <x v="1"/>
  </r>
  <r>
    <x v="58"/>
    <n v="8041"/>
    <x v="0"/>
  </r>
  <r>
    <x v="58"/>
    <n v="7916"/>
    <x v="2"/>
  </r>
  <r>
    <x v="58"/>
    <n v="145"/>
    <x v="3"/>
  </r>
  <r>
    <x v="59"/>
    <n v="1850"/>
    <x v="1"/>
  </r>
  <r>
    <x v="59"/>
    <n v="8345"/>
    <x v="0"/>
  </r>
  <r>
    <x v="59"/>
    <n v="10797"/>
    <x v="2"/>
  </r>
  <r>
    <x v="59"/>
    <n v="189"/>
    <x v="3"/>
  </r>
  <r>
    <x v="60"/>
    <n v="2131"/>
    <x v="1"/>
  </r>
  <r>
    <x v="60"/>
    <n v="8087"/>
    <x v="0"/>
  </r>
  <r>
    <x v="60"/>
    <n v="14023"/>
    <x v="2"/>
  </r>
  <r>
    <x v="60"/>
    <n v="211"/>
    <x v="3"/>
  </r>
  <r>
    <x v="61"/>
    <n v="2276"/>
    <x v="1"/>
  </r>
  <r>
    <x v="61"/>
    <n v="5452"/>
    <x v="0"/>
  </r>
  <r>
    <x v="61"/>
    <n v="16981"/>
    <x v="2"/>
  </r>
  <r>
    <x v="61"/>
    <n v="1184"/>
    <x v="3"/>
  </r>
  <r>
    <x v="62"/>
    <n v="2184"/>
    <x v="1"/>
  </r>
  <r>
    <x v="62"/>
    <n v="3720"/>
    <x v="0"/>
  </r>
  <r>
    <x v="62"/>
    <n v="15865"/>
    <x v="2"/>
  </r>
  <r>
    <x v="62"/>
    <n v="1022"/>
    <x v="3"/>
  </r>
  <r>
    <x v="63"/>
    <n v="1647"/>
    <x v="1"/>
  </r>
  <r>
    <x v="63"/>
    <n v="4108"/>
    <x v="0"/>
  </r>
  <r>
    <x v="63"/>
    <n v="12471"/>
    <x v="2"/>
  </r>
  <r>
    <x v="63"/>
    <n v="979"/>
    <x v="3"/>
  </r>
  <r>
    <x v="64"/>
    <n v="1739"/>
    <x v="1"/>
  </r>
  <r>
    <x v="64"/>
    <n v="5734"/>
    <x v="0"/>
  </r>
  <r>
    <x v="64"/>
    <n v="15106"/>
    <x v="2"/>
  </r>
  <r>
    <x v="64"/>
    <n v="1119"/>
    <x v="3"/>
  </r>
  <r>
    <x v="65"/>
    <n v="1664"/>
    <x v="1"/>
  </r>
  <r>
    <x v="65"/>
    <n v="6954"/>
    <x v="0"/>
  </r>
  <r>
    <x v="65"/>
    <n v="13999"/>
    <x v="2"/>
  </r>
  <r>
    <x v="65"/>
    <n v="1010"/>
    <x v="3"/>
  </r>
  <r>
    <x v="66"/>
    <n v="1362"/>
    <x v="1"/>
  </r>
  <r>
    <x v="66"/>
    <n v="7840"/>
    <x v="0"/>
  </r>
  <r>
    <x v="66"/>
    <n v="10738"/>
    <x v="2"/>
  </r>
  <r>
    <x v="66"/>
    <n v="873"/>
    <x v="3"/>
  </r>
  <r>
    <x v="67"/>
    <n v="1958"/>
    <x v="1"/>
  </r>
  <r>
    <x v="67"/>
    <n v="8295"/>
    <x v="0"/>
  </r>
  <r>
    <x v="67"/>
    <n v="13788"/>
    <x v="2"/>
  </r>
  <r>
    <x v="67"/>
    <n v="590"/>
    <x v="3"/>
  </r>
  <r>
    <x v="68"/>
    <n v="2752"/>
    <x v="1"/>
  </r>
  <r>
    <x v="68"/>
    <n v="4677"/>
    <x v="0"/>
  </r>
  <r>
    <x v="68"/>
    <n v="17097"/>
    <x v="2"/>
  </r>
  <r>
    <x v="68"/>
    <n v="739"/>
    <x v="3"/>
  </r>
  <r>
    <x v="69"/>
    <n v="4037"/>
    <x v="1"/>
  </r>
  <r>
    <x v="69"/>
    <n v="4562"/>
    <x v="0"/>
  </r>
  <r>
    <x v="69"/>
    <n v="19801"/>
    <x v="2"/>
  </r>
  <r>
    <x v="69"/>
    <n v="736"/>
    <x v="3"/>
  </r>
  <r>
    <x v="70"/>
    <n v="4661"/>
    <x v="1"/>
  </r>
  <r>
    <x v="70"/>
    <n v="4283"/>
    <x v="0"/>
  </r>
  <r>
    <x v="70"/>
    <n v="21283"/>
    <x v="2"/>
  </r>
  <r>
    <x v="70"/>
    <n v="637"/>
    <x v="3"/>
  </r>
  <r>
    <x v="71"/>
    <n v="5301"/>
    <x v="1"/>
  </r>
  <r>
    <x v="71"/>
    <n v="4398"/>
    <x v="0"/>
  </r>
  <r>
    <x v="71"/>
    <n v="23970"/>
    <x v="2"/>
  </r>
  <r>
    <x v="71"/>
    <n v="708"/>
    <x v="3"/>
  </r>
  <r>
    <x v="72"/>
    <n v="4885"/>
    <x v="1"/>
  </r>
  <r>
    <x v="72"/>
    <n v="4295"/>
    <x v="0"/>
  </r>
  <r>
    <x v="72"/>
    <n v="26744"/>
    <x v="2"/>
  </r>
  <r>
    <x v="72"/>
    <n v="761"/>
    <x v="3"/>
  </r>
  <r>
    <x v="73"/>
    <n v="4896"/>
    <x v="1"/>
  </r>
  <r>
    <x v="73"/>
    <n v="4920"/>
    <x v="0"/>
  </r>
  <r>
    <x v="73"/>
    <n v="25576"/>
    <x v="2"/>
  </r>
  <r>
    <x v="73"/>
    <n v="820"/>
    <x v="3"/>
  </r>
  <r>
    <x v="74"/>
    <n v="3338"/>
    <x v="1"/>
  </r>
  <r>
    <x v="74"/>
    <n v="3245"/>
    <x v="0"/>
  </r>
  <r>
    <x v="74"/>
    <n v="23483"/>
    <x v="2"/>
  </r>
  <r>
    <x v="74"/>
    <n v="1196"/>
    <x v="3"/>
  </r>
  <r>
    <x v="75"/>
    <n v="1691"/>
    <x v="1"/>
  </r>
  <r>
    <x v="75"/>
    <n v="2280"/>
    <x v="0"/>
  </r>
  <r>
    <x v="75"/>
    <n v="17904"/>
    <x v="2"/>
  </r>
  <r>
    <x v="75"/>
    <n v="1250"/>
    <x v="3"/>
  </r>
  <r>
    <x v="76"/>
    <n v="1592"/>
    <x v="1"/>
  </r>
  <r>
    <x v="76"/>
    <n v="3924"/>
    <x v="0"/>
  </r>
  <r>
    <x v="76"/>
    <n v="13374"/>
    <x v="2"/>
  </r>
  <r>
    <x v="76"/>
    <n v="946"/>
    <x v="3"/>
  </r>
  <r>
    <x v="77"/>
    <n v="1398"/>
    <x v="1"/>
  </r>
  <r>
    <x v="77"/>
    <n v="4876"/>
    <x v="0"/>
  </r>
  <r>
    <x v="77"/>
    <n v="12054"/>
    <x v="2"/>
  </r>
  <r>
    <x v="77"/>
    <n v="1099"/>
    <x v="3"/>
  </r>
  <r>
    <x v="78"/>
    <n v="1352"/>
    <x v="1"/>
  </r>
  <r>
    <x v="78"/>
    <n v="6095"/>
    <x v="0"/>
  </r>
  <r>
    <x v="78"/>
    <n v="10483"/>
    <x v="2"/>
  </r>
  <r>
    <x v="78"/>
    <n v="991"/>
    <x v="3"/>
  </r>
  <r>
    <x v="79"/>
    <n v="1802"/>
    <x v="1"/>
  </r>
  <r>
    <x v="79"/>
    <n v="8333"/>
    <x v="0"/>
  </r>
  <r>
    <x v="79"/>
    <n v="11570"/>
    <x v="2"/>
  </r>
  <r>
    <x v="79"/>
    <n v="884"/>
    <x v="3"/>
  </r>
  <r>
    <x v="80"/>
    <n v="2019"/>
    <x v="1"/>
  </r>
  <r>
    <x v="80"/>
    <n v="7623"/>
    <x v="0"/>
  </r>
  <r>
    <x v="80"/>
    <n v="12293"/>
    <x v="2"/>
  </r>
  <r>
    <x v="80"/>
    <n v="819"/>
    <x v="3"/>
  </r>
  <r>
    <x v="81"/>
    <n v="2331"/>
    <x v="1"/>
  </r>
  <r>
    <x v="81"/>
    <n v="7738"/>
    <x v="0"/>
  </r>
  <r>
    <x v="81"/>
    <n v="13197"/>
    <x v="2"/>
  </r>
  <r>
    <x v="81"/>
    <n v="640"/>
    <x v="3"/>
  </r>
  <r>
    <x v="82"/>
    <n v="3665"/>
    <x v="1"/>
  </r>
  <r>
    <x v="82"/>
    <n v="6573"/>
    <x v="0"/>
  </r>
  <r>
    <x v="82"/>
    <n v="15246"/>
    <x v="2"/>
  </r>
  <r>
    <x v="82"/>
    <n v="639"/>
    <x v="3"/>
  </r>
  <r>
    <x v="83"/>
    <n v="4164"/>
    <x v="1"/>
  </r>
  <r>
    <x v="83"/>
    <n v="4716"/>
    <x v="0"/>
  </r>
  <r>
    <x v="83"/>
    <n v="17511"/>
    <x v="2"/>
  </r>
  <r>
    <x v="83"/>
    <n v="646"/>
    <x v="3"/>
  </r>
  <r>
    <x v="84"/>
    <n v="4135"/>
    <x v="1"/>
  </r>
  <r>
    <x v="84"/>
    <n v="5159"/>
    <x v="0"/>
  </r>
  <r>
    <x v="84"/>
    <n v="17965"/>
    <x v="2"/>
  </r>
  <r>
    <x v="84"/>
    <n v="564"/>
    <x v="3"/>
  </r>
  <r>
    <x v="85"/>
    <n v="4398"/>
    <x v="1"/>
  </r>
  <r>
    <x v="85"/>
    <n v="5882"/>
    <x v="0"/>
  </r>
  <r>
    <x v="85"/>
    <n v="17000"/>
    <x v="2"/>
  </r>
  <r>
    <x v="85"/>
    <n v="550"/>
    <x v="3"/>
  </r>
  <r>
    <x v="86"/>
    <n v="3914"/>
    <x v="1"/>
  </r>
  <r>
    <x v="86"/>
    <n v="3552"/>
    <x v="0"/>
  </r>
  <r>
    <x v="86"/>
    <n v="21322"/>
    <x v="2"/>
  </r>
  <r>
    <x v="86"/>
    <n v="564"/>
    <x v="3"/>
  </r>
  <r>
    <x v="87"/>
    <n v="4299"/>
    <x v="1"/>
  </r>
  <r>
    <x v="87"/>
    <n v="3747"/>
    <x v="0"/>
  </r>
  <r>
    <x v="87"/>
    <n v="31372"/>
    <x v="2"/>
  </r>
  <r>
    <x v="87"/>
    <n v="478"/>
    <x v="3"/>
  </r>
  <r>
    <x v="88"/>
    <n v="4395"/>
    <x v="1"/>
  </r>
  <r>
    <x v="88"/>
    <n v="5114"/>
    <x v="0"/>
  </r>
  <r>
    <x v="88"/>
    <n v="36518"/>
    <x v="2"/>
  </r>
  <r>
    <x v="88"/>
    <n v="444"/>
    <x v="3"/>
  </r>
  <r>
    <x v="89"/>
    <n v="4175"/>
    <x v="1"/>
  </r>
  <r>
    <x v="89"/>
    <n v="8240"/>
    <x v="0"/>
  </r>
  <r>
    <x v="89"/>
    <n v="42915"/>
    <x v="2"/>
  </r>
  <r>
    <x v="89"/>
    <n v="681"/>
    <x v="3"/>
  </r>
  <r>
    <x v="90"/>
    <n v="3460"/>
    <x v="1"/>
  </r>
  <r>
    <x v="90"/>
    <n v="9745"/>
    <x v="0"/>
  </r>
  <r>
    <x v="90"/>
    <n v="45971"/>
    <x v="2"/>
  </r>
  <r>
    <x v="90"/>
    <n v="733"/>
    <x v="3"/>
  </r>
  <r>
    <x v="91"/>
    <n v="3625"/>
    <x v="1"/>
  </r>
  <r>
    <x v="91"/>
    <n v="11531"/>
    <x v="0"/>
  </r>
  <r>
    <x v="91"/>
    <n v="43691"/>
    <x v="2"/>
  </r>
  <r>
    <x v="91"/>
    <n v="672"/>
    <x v="3"/>
  </r>
  <r>
    <x v="92"/>
    <n v="5045"/>
    <x v="1"/>
  </r>
  <r>
    <x v="92"/>
    <n v="12049"/>
    <x v="0"/>
  </r>
  <r>
    <x v="92"/>
    <n v="40793"/>
    <x v="2"/>
  </r>
  <r>
    <x v="92"/>
    <n v="803"/>
    <x v="3"/>
  </r>
  <r>
    <x v="93"/>
    <n v="6776"/>
    <x v="1"/>
  </r>
  <r>
    <x v="93"/>
    <n v="11880"/>
    <x v="0"/>
  </r>
  <r>
    <x v="93"/>
    <n v="40118"/>
    <x v="2"/>
  </r>
  <r>
    <x v="93"/>
    <n v="687"/>
    <x v="3"/>
  </r>
  <r>
    <x v="94"/>
    <n v="7808"/>
    <x v="1"/>
  </r>
  <r>
    <x v="94"/>
    <n v="11467"/>
    <x v="0"/>
  </r>
  <r>
    <x v="94"/>
    <n v="35669"/>
    <x v="2"/>
  </r>
  <r>
    <x v="94"/>
    <n v="781"/>
    <x v="3"/>
  </r>
  <r>
    <x v="95"/>
    <n v="8294"/>
    <x v="1"/>
  </r>
  <r>
    <x v="95"/>
    <n v="11551"/>
    <x v="0"/>
  </r>
  <r>
    <x v="95"/>
    <n v="41177"/>
    <x v="2"/>
  </r>
  <r>
    <x v="95"/>
    <n v="703"/>
    <x v="3"/>
  </r>
  <r>
    <x v="96"/>
    <n v="7986"/>
    <x v="1"/>
  </r>
  <r>
    <x v="96"/>
    <n v="9585"/>
    <x v="0"/>
  </r>
  <r>
    <x v="96"/>
    <n v="34074"/>
    <x v="2"/>
  </r>
  <r>
    <x v="96"/>
    <n v="787"/>
    <x v="3"/>
  </r>
  <r>
    <x v="97"/>
    <n v="9617"/>
    <x v="1"/>
  </r>
  <r>
    <x v="97"/>
    <n v="10220"/>
    <x v="0"/>
  </r>
  <r>
    <x v="97"/>
    <n v="34581"/>
    <x v="2"/>
  </r>
  <r>
    <x v="97"/>
    <n v="822"/>
    <x v="3"/>
  </r>
  <r>
    <x v="98"/>
    <n v="10209"/>
    <x v="1"/>
  </r>
  <r>
    <x v="98"/>
    <n v="8974"/>
    <x v="0"/>
  </r>
  <r>
    <x v="98"/>
    <n v="37309"/>
    <x v="2"/>
  </r>
  <r>
    <x v="98"/>
    <n v="634"/>
    <x v="3"/>
  </r>
  <r>
    <x v="99"/>
    <n v="8975"/>
    <x v="1"/>
  </r>
  <r>
    <x v="99"/>
    <n v="10666"/>
    <x v="0"/>
  </r>
  <r>
    <x v="99"/>
    <n v="38148"/>
    <x v="2"/>
  </r>
  <r>
    <x v="99"/>
    <n v="616"/>
    <x v="3"/>
  </r>
  <r>
    <x v="100"/>
    <n v="8191"/>
    <x v="1"/>
  </r>
  <r>
    <x v="100"/>
    <n v="11941"/>
    <x v="0"/>
  </r>
  <r>
    <x v="100"/>
    <n v="38694"/>
    <x v="2"/>
  </r>
  <r>
    <x v="100"/>
    <n v="595"/>
    <x v="3"/>
  </r>
  <r>
    <x v="101"/>
    <n v="8039"/>
    <x v="1"/>
  </r>
  <r>
    <x v="101"/>
    <n v="13239"/>
    <x v="0"/>
  </r>
  <r>
    <x v="101"/>
    <n v="36066"/>
    <x v="2"/>
  </r>
  <r>
    <x v="101"/>
    <n v="532"/>
    <x v="3"/>
  </r>
  <r>
    <x v="102"/>
    <n v="8458"/>
    <x v="1"/>
  </r>
  <r>
    <x v="102"/>
    <n v="17893"/>
    <x v="0"/>
  </r>
  <r>
    <x v="102"/>
    <n v="32031"/>
    <x v="2"/>
  </r>
  <r>
    <x v="102"/>
    <n v="373"/>
    <x v="3"/>
  </r>
  <r>
    <x v="103"/>
    <n v="6695"/>
    <x v="1"/>
  </r>
  <r>
    <x v="103"/>
    <n v="17608"/>
    <x v="0"/>
  </r>
  <r>
    <x v="103"/>
    <n v="28050"/>
    <x v="2"/>
  </r>
  <r>
    <x v="103"/>
    <n v="427"/>
    <x v="3"/>
  </r>
  <r>
    <x v="104"/>
    <n v="5389"/>
    <x v="1"/>
  </r>
  <r>
    <x v="104"/>
    <n v="17096"/>
    <x v="0"/>
  </r>
  <r>
    <x v="104"/>
    <n v="26408"/>
    <x v="2"/>
  </r>
  <r>
    <x v="104"/>
    <n v="496"/>
    <x v="3"/>
  </r>
  <r>
    <x v="105"/>
    <n v="3490"/>
    <x v="1"/>
  </r>
  <r>
    <x v="105"/>
    <n v="15807"/>
    <x v="0"/>
  </r>
  <r>
    <x v="105"/>
    <n v="21270"/>
    <x v="2"/>
  </r>
  <r>
    <x v="105"/>
    <n v="421"/>
    <x v="3"/>
  </r>
  <r>
    <x v="106"/>
    <n v="2439"/>
    <x v="1"/>
  </r>
  <r>
    <x v="106"/>
    <n v="13719"/>
    <x v="0"/>
  </r>
  <r>
    <x v="106"/>
    <n v="15568"/>
    <x v="2"/>
  </r>
  <r>
    <x v="106"/>
    <n v="554"/>
    <x v="3"/>
  </r>
  <r>
    <x v="107"/>
    <n v="2318"/>
    <x v="1"/>
  </r>
  <r>
    <x v="107"/>
    <n v="14605"/>
    <x v="0"/>
  </r>
  <r>
    <x v="107"/>
    <n v="13435"/>
    <x v="2"/>
  </r>
  <r>
    <x v="107"/>
    <n v="556"/>
    <x v="3"/>
  </r>
  <r>
    <x v="108"/>
    <n v="2903"/>
    <x v="1"/>
  </r>
  <r>
    <x v="108"/>
    <n v="14684"/>
    <x v="0"/>
  </r>
  <r>
    <x v="108"/>
    <n v="11391"/>
    <x v="2"/>
  </r>
  <r>
    <x v="108"/>
    <n v="435"/>
    <x v="3"/>
  </r>
  <r>
    <x v="109"/>
    <n v="2893"/>
    <x v="1"/>
  </r>
  <r>
    <x v="109"/>
    <n v="15754"/>
    <x v="0"/>
  </r>
  <r>
    <x v="109"/>
    <n v="11123"/>
    <x v="2"/>
  </r>
  <r>
    <x v="109"/>
    <n v="353"/>
    <x v="3"/>
  </r>
  <r>
    <x v="110"/>
    <n v="1890"/>
    <x v="1"/>
  </r>
  <r>
    <x v="110"/>
    <n v="10246"/>
    <x v="0"/>
  </r>
  <r>
    <x v="110"/>
    <n v="9232"/>
    <x v="2"/>
  </r>
  <r>
    <x v="110"/>
    <n v="408"/>
    <x v="3"/>
  </r>
  <r>
    <x v="111"/>
    <n v="1754"/>
    <x v="1"/>
  </r>
  <r>
    <x v="111"/>
    <n v="11775"/>
    <x v="0"/>
  </r>
  <r>
    <x v="111"/>
    <n v="7551"/>
    <x v="2"/>
  </r>
  <r>
    <x v="111"/>
    <n v="391"/>
    <x v="3"/>
  </r>
  <r>
    <x v="112"/>
    <n v="2557"/>
    <x v="1"/>
  </r>
  <r>
    <x v="112"/>
    <n v="16480"/>
    <x v="0"/>
  </r>
  <r>
    <x v="112"/>
    <n v="7864"/>
    <x v="2"/>
  </r>
  <r>
    <x v="112"/>
    <n v="270"/>
    <x v="3"/>
  </r>
  <r>
    <x v="113"/>
    <n v="2364"/>
    <x v="1"/>
  </r>
  <r>
    <x v="113"/>
    <n v="18577"/>
    <x v="0"/>
  </r>
  <r>
    <x v="113"/>
    <n v="7314"/>
    <x v="2"/>
  </r>
  <r>
    <x v="113"/>
    <n v="45"/>
    <x v="3"/>
  </r>
  <r>
    <x v="114"/>
    <n v="2316"/>
    <x v="1"/>
  </r>
  <r>
    <x v="114"/>
    <n v="21492"/>
    <x v="0"/>
  </r>
  <r>
    <x v="114"/>
    <n v="6129"/>
    <x v="2"/>
  </r>
  <r>
    <x v="114"/>
    <n v="28"/>
    <x v="3"/>
  </r>
  <r>
    <x v="115"/>
    <n v="3238"/>
    <x v="1"/>
  </r>
  <r>
    <x v="115"/>
    <n v="25985"/>
    <x v="0"/>
  </r>
  <r>
    <x v="115"/>
    <n v="5322"/>
    <x v="2"/>
  </r>
  <r>
    <x v="116"/>
    <n v="3204"/>
    <x v="1"/>
  </r>
  <r>
    <x v="116"/>
    <n v="25782"/>
    <x v="0"/>
  </r>
  <r>
    <x v="116"/>
    <n v="4924"/>
    <x v="2"/>
  </r>
  <r>
    <x v="117"/>
    <n v="3499"/>
    <x v="1"/>
  </r>
  <r>
    <x v="117"/>
    <n v="23995"/>
    <x v="0"/>
  </r>
  <r>
    <x v="117"/>
    <n v="5035"/>
    <x v="2"/>
  </r>
  <r>
    <x v="118"/>
    <n v="3771"/>
    <x v="1"/>
  </r>
  <r>
    <x v="118"/>
    <n v="21738"/>
    <x v="0"/>
  </r>
  <r>
    <x v="118"/>
    <n v="5143"/>
    <x v="2"/>
  </r>
  <r>
    <x v="119"/>
    <n v="4146"/>
    <x v="1"/>
  </r>
  <r>
    <x v="119"/>
    <n v="19341"/>
    <x v="0"/>
  </r>
  <r>
    <x v="119"/>
    <n v="4964"/>
    <x v="2"/>
  </r>
  <r>
    <x v="120"/>
    <n v="5312"/>
    <x v="1"/>
  </r>
  <r>
    <x v="120"/>
    <n v="16464"/>
    <x v="0"/>
  </r>
  <r>
    <x v="120"/>
    <n v="4311"/>
    <x v="2"/>
  </r>
  <r>
    <x v="121"/>
    <n v="4691"/>
    <x v="1"/>
  </r>
  <r>
    <x v="121"/>
    <n v="17397"/>
    <x v="0"/>
  </r>
  <r>
    <x v="121"/>
    <n v="4514"/>
    <x v="2"/>
  </r>
  <r>
    <x v="122"/>
    <n v="6102"/>
    <x v="1"/>
  </r>
  <r>
    <x v="122"/>
    <n v="12928"/>
    <x v="0"/>
  </r>
  <r>
    <x v="122"/>
    <n v="4027"/>
    <x v="2"/>
  </r>
  <r>
    <x v="123"/>
    <n v="8358"/>
    <x v="1"/>
  </r>
  <r>
    <x v="123"/>
    <n v="14247"/>
    <x v="0"/>
  </r>
  <r>
    <x v="123"/>
    <n v="4313"/>
    <x v="2"/>
  </r>
  <r>
    <x v="124"/>
    <n v="10504"/>
    <x v="1"/>
  </r>
  <r>
    <x v="124"/>
    <n v="20828"/>
    <x v="0"/>
  </r>
  <r>
    <x v="124"/>
    <n v="4902"/>
    <x v="2"/>
  </r>
  <r>
    <x v="125"/>
    <n v="7414"/>
    <x v="1"/>
  </r>
  <r>
    <x v="125"/>
    <n v="23031"/>
    <x v="0"/>
  </r>
  <r>
    <x v="125"/>
    <n v="4601"/>
    <x v="2"/>
  </r>
  <r>
    <x v="126"/>
    <n v="6248"/>
    <x v="1"/>
  </r>
  <r>
    <x v="126"/>
    <n v="25573"/>
    <x v="0"/>
  </r>
  <r>
    <x v="126"/>
    <n v="3819"/>
    <x v="2"/>
  </r>
  <r>
    <x v="127"/>
    <n v="5364"/>
    <x v="1"/>
  </r>
  <r>
    <x v="127"/>
    <n v="27535"/>
    <x v="0"/>
  </r>
  <r>
    <x v="127"/>
    <n v="3730"/>
    <x v="2"/>
  </r>
  <r>
    <x v="128"/>
    <n v="4172"/>
    <x v="1"/>
  </r>
  <r>
    <x v="128"/>
    <n v="27190"/>
    <x v="0"/>
  </r>
  <r>
    <x v="128"/>
    <n v="3246"/>
    <x v="2"/>
  </r>
  <r>
    <x v="129"/>
    <n v="4342"/>
    <x v="1"/>
  </r>
  <r>
    <x v="129"/>
    <n v="26069"/>
    <x v="0"/>
  </r>
  <r>
    <x v="129"/>
    <n v="3222"/>
    <x v="2"/>
  </r>
  <r>
    <x v="130"/>
    <n v="23900"/>
    <x v="0"/>
  </r>
  <r>
    <x v="130"/>
    <n v="3122"/>
    <x v="2"/>
  </r>
  <r>
    <x v="130"/>
    <n v="4682"/>
    <x v="1"/>
  </r>
  <r>
    <x v="131"/>
    <n v="2924"/>
    <x v="2"/>
  </r>
  <r>
    <x v="131"/>
    <n v="22067"/>
    <x v="0"/>
  </r>
  <r>
    <x v="131"/>
    <n v="5187"/>
    <x v="1"/>
  </r>
  <r>
    <x v="132"/>
    <n v="4676"/>
    <x v="1"/>
  </r>
  <r>
    <x v="132"/>
    <n v="2083"/>
    <x v="2"/>
  </r>
  <r>
    <x v="132"/>
    <n v="16430"/>
    <x v="0"/>
  </r>
  <r>
    <x v="133"/>
    <n v="1595"/>
    <x v="2"/>
  </r>
  <r>
    <x v="133"/>
    <n v="11029"/>
    <x v="0"/>
  </r>
  <r>
    <x v="133"/>
    <n v="2805"/>
    <x v="1"/>
  </r>
  <r>
    <x v="134"/>
    <n v="154"/>
    <x v="2"/>
  </r>
  <r>
    <x v="134"/>
    <n v="432"/>
    <x v="0"/>
  </r>
  <r>
    <x v="134"/>
    <n v="147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29">
  <r>
    <x v="0"/>
    <n v="1410"/>
    <x v="0"/>
  </r>
  <r>
    <x v="0"/>
    <n v="219"/>
    <x v="1"/>
  </r>
  <r>
    <x v="1"/>
    <n v="193"/>
    <x v="1"/>
  </r>
  <r>
    <x v="1"/>
    <n v="1207"/>
    <x v="0"/>
  </r>
  <r>
    <x v="2"/>
    <n v="1043"/>
    <x v="0"/>
  </r>
  <r>
    <x v="2"/>
    <n v="150"/>
    <x v="1"/>
  </r>
  <r>
    <x v="3"/>
    <n v="220"/>
    <x v="1"/>
  </r>
  <r>
    <x v="3"/>
    <n v="1068"/>
    <x v="0"/>
  </r>
  <r>
    <x v="4"/>
    <n v="341"/>
    <x v="1"/>
  </r>
  <r>
    <x v="4"/>
    <n v="1567"/>
    <x v="0"/>
  </r>
  <r>
    <x v="5"/>
    <n v="1555"/>
    <x v="0"/>
  </r>
  <r>
    <x v="5"/>
    <n v="218"/>
    <x v="1"/>
  </r>
  <r>
    <x v="6"/>
    <n v="1684"/>
    <x v="0"/>
  </r>
  <r>
    <x v="6"/>
    <n v="231"/>
    <x v="1"/>
  </r>
  <r>
    <x v="7"/>
    <n v="286"/>
    <x v="1"/>
  </r>
  <r>
    <x v="7"/>
    <n v="2185"/>
    <x v="0"/>
  </r>
  <r>
    <x v="8"/>
    <n v="2943"/>
    <x v="0"/>
  </r>
  <r>
    <x v="8"/>
    <n v="472"/>
    <x v="1"/>
  </r>
  <r>
    <x v="9"/>
    <n v="5165"/>
    <x v="0"/>
  </r>
  <r>
    <x v="9"/>
    <n v="744"/>
    <x v="1"/>
  </r>
  <r>
    <x v="10"/>
    <n v="11120"/>
    <x v="0"/>
  </r>
  <r>
    <x v="10"/>
    <n v="1518"/>
    <x v="1"/>
  </r>
  <r>
    <x v="11"/>
    <n v="6328"/>
    <x v="1"/>
  </r>
  <r>
    <x v="11"/>
    <n v="40587"/>
    <x v="0"/>
  </r>
  <r>
    <x v="12"/>
    <n v="9762"/>
    <x v="1"/>
  </r>
  <r>
    <x v="12"/>
    <n v="69960"/>
    <x v="0"/>
  </r>
  <r>
    <x v="13"/>
    <n v="8521"/>
    <x v="1"/>
  </r>
  <r>
    <x v="13"/>
    <n v="63040"/>
    <x v="0"/>
  </r>
  <r>
    <x v="14"/>
    <n v="7898"/>
    <x v="1"/>
  </r>
  <r>
    <x v="14"/>
    <n v="52304"/>
    <x v="0"/>
  </r>
  <r>
    <x v="15"/>
    <n v="8710"/>
    <x v="1"/>
  </r>
  <r>
    <x v="15"/>
    <n v="57784"/>
    <x v="0"/>
  </r>
  <r>
    <x v="16"/>
    <n v="8999"/>
    <x v="1"/>
  </r>
  <r>
    <x v="16"/>
    <n v="63784"/>
    <x v="0"/>
  </r>
  <r>
    <x v="17"/>
    <n v="7853"/>
    <x v="1"/>
  </r>
  <r>
    <x v="17"/>
    <n v="57937"/>
    <x v="0"/>
  </r>
  <r>
    <x v="18"/>
    <n v="7591"/>
    <x v="1"/>
  </r>
  <r>
    <x v="18"/>
    <n v="60667"/>
    <x v="0"/>
  </r>
  <r>
    <x v="19"/>
    <n v="6948"/>
    <x v="1"/>
  </r>
  <r>
    <x v="19"/>
    <n v="62397"/>
    <x v="0"/>
  </r>
  <r>
    <x v="20"/>
    <n v="6729"/>
    <x v="1"/>
  </r>
  <r>
    <x v="20"/>
    <n v="56561"/>
    <x v="0"/>
  </r>
  <r>
    <x v="21"/>
    <n v="7143"/>
    <x v="1"/>
  </r>
  <r>
    <x v="21"/>
    <n v="59011"/>
    <x v="0"/>
  </r>
  <r>
    <x v="22"/>
    <n v="56669"/>
    <x v="0"/>
  </r>
  <r>
    <x v="22"/>
    <n v="8181"/>
    <x v="1"/>
  </r>
  <r>
    <x v="23"/>
    <n v="67168"/>
    <x v="0"/>
  </r>
  <r>
    <x v="23"/>
    <n v="11307"/>
    <x v="1"/>
  </r>
  <r>
    <x v="24"/>
    <n v="10941"/>
    <x v="1"/>
  </r>
  <r>
    <x v="24"/>
    <n v="60980"/>
    <x v="0"/>
  </r>
  <r>
    <x v="25"/>
    <n v="65702"/>
    <x v="0"/>
  </r>
  <r>
    <x v="25"/>
    <n v="14203"/>
    <x v="1"/>
  </r>
  <r>
    <x v="26"/>
    <n v="59879"/>
    <x v="0"/>
  </r>
  <r>
    <x v="26"/>
    <n v="14041"/>
    <x v="1"/>
  </r>
  <r>
    <x v="27"/>
    <n v="60253"/>
    <x v="0"/>
  </r>
  <r>
    <x v="27"/>
    <n v="12026"/>
    <x v="1"/>
  </r>
  <r>
    <x v="28"/>
    <n v="15743"/>
    <x v="1"/>
  </r>
  <r>
    <x v="28"/>
    <n v="76142"/>
    <x v="0"/>
  </r>
  <r>
    <x v="29"/>
    <n v="17060"/>
    <x v="1"/>
  </r>
  <r>
    <x v="29"/>
    <n v="78204"/>
    <x v="0"/>
  </r>
  <r>
    <x v="30"/>
    <n v="14675"/>
    <x v="1"/>
  </r>
  <r>
    <x v="30"/>
    <n v="74611"/>
    <x v="0"/>
  </r>
  <r>
    <x v="31"/>
    <n v="11149"/>
    <x v="1"/>
  </r>
  <r>
    <x v="31"/>
    <n v="64902"/>
    <x v="0"/>
  </r>
  <r>
    <x v="32"/>
    <n v="9543"/>
    <x v="1"/>
  </r>
  <r>
    <x v="32"/>
    <n v="58721"/>
    <x v="0"/>
  </r>
  <r>
    <x v="33"/>
    <n v="9423"/>
    <x v="1"/>
  </r>
  <r>
    <x v="33"/>
    <n v="56009"/>
    <x v="0"/>
  </r>
  <r>
    <x v="34"/>
    <n v="10767"/>
    <x v="1"/>
  </r>
  <r>
    <x v="34"/>
    <n v="51683"/>
    <x v="0"/>
  </r>
  <r>
    <x v="35"/>
    <n v="12859"/>
    <x v="1"/>
  </r>
  <r>
    <x v="35"/>
    <n v="57048"/>
    <x v="0"/>
  </r>
  <r>
    <x v="36"/>
    <n v="12264"/>
    <x v="1"/>
  </r>
  <r>
    <x v="36"/>
    <n v="47775"/>
    <x v="0"/>
  </r>
  <r>
    <x v="37"/>
    <n v="18792"/>
    <x v="1"/>
  </r>
  <r>
    <x v="37"/>
    <n v="56102"/>
    <x v="0"/>
  </r>
  <r>
    <x v="38"/>
    <n v="21851"/>
    <x v="1"/>
  </r>
  <r>
    <x v="38"/>
    <n v="50861"/>
    <x v="0"/>
  </r>
  <r>
    <x v="39"/>
    <n v="83949"/>
    <x v="0"/>
  </r>
  <r>
    <x v="39"/>
    <n v="40501"/>
    <x v="1"/>
  </r>
  <r>
    <x v="40"/>
    <n v="79561"/>
    <x v="0"/>
  </r>
  <r>
    <x v="40"/>
    <n v="27625"/>
    <x v="1"/>
  </r>
  <r>
    <x v="41"/>
    <n v="26786"/>
    <x v="1"/>
  </r>
  <r>
    <x v="41"/>
    <n v="77410"/>
    <x v="0"/>
  </r>
  <r>
    <x v="42"/>
    <n v="58325"/>
    <x v="0"/>
  </r>
  <r>
    <x v="42"/>
    <n v="16385"/>
    <x v="1"/>
  </r>
  <r>
    <x v="43"/>
    <n v="51839"/>
    <x v="0"/>
  </r>
  <r>
    <x v="43"/>
    <n v="12045"/>
    <x v="1"/>
  </r>
  <r>
    <x v="44"/>
    <n v="38866"/>
    <x v="0"/>
  </r>
  <r>
    <x v="44"/>
    <n v="8038"/>
    <x v="1"/>
  </r>
  <r>
    <x v="45"/>
    <n v="4945"/>
    <x v="1"/>
  </r>
  <r>
    <x v="45"/>
    <n v="27193"/>
    <x v="0"/>
  </r>
  <r>
    <x v="46"/>
    <n v="7598"/>
    <x v="1"/>
  </r>
  <r>
    <x v="46"/>
    <n v="30484"/>
    <x v="0"/>
  </r>
  <r>
    <x v="47"/>
    <n v="11576"/>
    <x v="1"/>
  </r>
  <r>
    <x v="47"/>
    <n v="33221"/>
    <x v="0"/>
  </r>
  <r>
    <x v="48"/>
    <n v="5204"/>
    <x v="1"/>
  </r>
  <r>
    <x v="48"/>
    <n v="19558"/>
    <x v="0"/>
  </r>
  <r>
    <x v="49"/>
    <n v="24567"/>
    <x v="1"/>
  </r>
  <r>
    <x v="49"/>
    <n v="36500"/>
    <x v="0"/>
  </r>
  <r>
    <x v="50"/>
    <n v="63809"/>
    <x v="1"/>
  </r>
  <r>
    <x v="50"/>
    <n v="62829"/>
    <x v="0"/>
  </r>
  <r>
    <x v="51"/>
    <n v="83665"/>
    <x v="1"/>
  </r>
  <r>
    <x v="51"/>
    <n v="89979"/>
    <x v="0"/>
  </r>
  <r>
    <x v="52"/>
    <n v="86369"/>
    <x v="1"/>
  </r>
  <r>
    <x v="52"/>
    <n v="98796"/>
    <x v="0"/>
  </r>
  <r>
    <x v="53"/>
    <n v="76512"/>
    <x v="2"/>
  </r>
  <r>
    <x v="53"/>
    <n v="5953"/>
    <x v="3"/>
  </r>
  <r>
    <x v="53"/>
    <n v="95084"/>
    <x v="0"/>
  </r>
  <r>
    <x v="54"/>
    <n v="74381"/>
    <x v="2"/>
  </r>
  <r>
    <x v="54"/>
    <n v="6493"/>
    <x v="3"/>
  </r>
  <r>
    <x v="54"/>
    <n v="103615"/>
    <x v="0"/>
  </r>
  <r>
    <x v="55"/>
    <n v="57964"/>
    <x v="2"/>
  </r>
  <r>
    <x v="55"/>
    <n v="9314"/>
    <x v="3"/>
  </r>
  <r>
    <x v="55"/>
    <n v="101012"/>
    <x v="0"/>
  </r>
  <r>
    <x v="56"/>
    <n v="35841"/>
    <x v="2"/>
  </r>
  <r>
    <x v="56"/>
    <n v="7894"/>
    <x v="3"/>
  </r>
  <r>
    <x v="56"/>
    <n v="82529"/>
    <x v="0"/>
  </r>
  <r>
    <x v="57"/>
    <n v="19085"/>
    <x v="2"/>
  </r>
  <r>
    <x v="57"/>
    <n v="6811"/>
    <x v="3"/>
  </r>
  <r>
    <x v="57"/>
    <n v="56510"/>
    <x v="0"/>
  </r>
  <r>
    <x v="58"/>
    <n v="16527"/>
    <x v="2"/>
  </r>
  <r>
    <x v="58"/>
    <n v="5916"/>
    <x v="3"/>
  </r>
  <r>
    <x v="58"/>
    <n v="51610"/>
    <x v="0"/>
  </r>
  <r>
    <x v="59"/>
    <n v="20907"/>
    <x v="2"/>
  </r>
  <r>
    <x v="59"/>
    <n v="8736"/>
    <x v="3"/>
  </r>
  <r>
    <x v="59"/>
    <n v="60132"/>
    <x v="0"/>
  </r>
  <r>
    <x v="60"/>
    <n v="21492"/>
    <x v="2"/>
  </r>
  <r>
    <x v="60"/>
    <n v="11591"/>
    <x v="3"/>
  </r>
  <r>
    <x v="60"/>
    <n v="62682"/>
    <x v="0"/>
  </r>
  <r>
    <x v="61"/>
    <n v="23284"/>
    <x v="2"/>
  </r>
  <r>
    <x v="61"/>
    <n v="12430"/>
    <x v="3"/>
  </r>
  <r>
    <x v="61"/>
    <n v="67424"/>
    <x v="0"/>
  </r>
  <r>
    <x v="62"/>
    <n v="19500"/>
    <x v="2"/>
  </r>
  <r>
    <x v="62"/>
    <n v="11337"/>
    <x v="3"/>
  </r>
  <r>
    <x v="62"/>
    <n v="59173"/>
    <x v="0"/>
  </r>
  <r>
    <x v="63"/>
    <n v="13820"/>
    <x v="2"/>
  </r>
  <r>
    <x v="63"/>
    <n v="7398"/>
    <x v="3"/>
  </r>
  <r>
    <x v="63"/>
    <n v="50529"/>
    <x v="0"/>
  </r>
  <r>
    <x v="64"/>
    <n v="12898"/>
    <x v="2"/>
  </r>
  <r>
    <x v="64"/>
    <n v="9296"/>
    <x v="3"/>
  </r>
  <r>
    <x v="64"/>
    <n v="58462"/>
    <x v="0"/>
  </r>
  <r>
    <x v="65"/>
    <n v="11055"/>
    <x v="2"/>
  </r>
  <r>
    <x v="65"/>
    <n v="8659"/>
    <x v="3"/>
  </r>
  <r>
    <x v="65"/>
    <n v="55179"/>
    <x v="0"/>
  </r>
  <r>
    <x v="66"/>
    <n v="9008"/>
    <x v="2"/>
  </r>
  <r>
    <x v="66"/>
    <n v="6860"/>
    <x v="3"/>
  </r>
  <r>
    <x v="66"/>
    <n v="50705"/>
    <x v="0"/>
  </r>
  <r>
    <x v="67"/>
    <n v="12367"/>
    <x v="2"/>
  </r>
  <r>
    <x v="67"/>
    <n v="10578"/>
    <x v="3"/>
  </r>
  <r>
    <x v="67"/>
    <n v="56299"/>
    <x v="0"/>
  </r>
  <r>
    <x v="68"/>
    <n v="16964"/>
    <x v="2"/>
  </r>
  <r>
    <x v="68"/>
    <n v="14744"/>
    <x v="3"/>
  </r>
  <r>
    <x v="68"/>
    <n v="60739"/>
    <x v="0"/>
  </r>
  <r>
    <x v="69"/>
    <n v="23115"/>
    <x v="2"/>
  </r>
  <r>
    <x v="69"/>
    <n v="17921"/>
    <x v="3"/>
  </r>
  <r>
    <x v="69"/>
    <n v="80075"/>
    <x v="0"/>
  </r>
  <r>
    <x v="70"/>
    <n v="23391"/>
    <x v="2"/>
  </r>
  <r>
    <x v="70"/>
    <n v="21714"/>
    <x v="3"/>
  </r>
  <r>
    <x v="70"/>
    <n v="89752"/>
    <x v="0"/>
  </r>
  <r>
    <x v="71"/>
    <n v="26577"/>
    <x v="2"/>
  </r>
  <r>
    <x v="71"/>
    <n v="24778"/>
    <x v="3"/>
  </r>
  <r>
    <x v="71"/>
    <n v="95728"/>
    <x v="0"/>
  </r>
  <r>
    <x v="72"/>
    <n v="25842"/>
    <x v="2"/>
  </r>
  <r>
    <x v="72"/>
    <n v="24580"/>
    <x v="3"/>
  </r>
  <r>
    <x v="72"/>
    <n v="89117"/>
    <x v="0"/>
  </r>
  <r>
    <x v="73"/>
    <n v="23639"/>
    <x v="2"/>
  </r>
  <r>
    <x v="73"/>
    <n v="18794"/>
    <x v="3"/>
  </r>
  <r>
    <x v="73"/>
    <n v="81424"/>
    <x v="0"/>
  </r>
  <r>
    <x v="74"/>
    <n v="15488"/>
    <x v="2"/>
  </r>
  <r>
    <x v="74"/>
    <n v="16236"/>
    <x v="3"/>
  </r>
  <r>
    <x v="74"/>
    <n v="65115"/>
    <x v="0"/>
  </r>
  <r>
    <x v="75"/>
    <n v="8629"/>
    <x v="2"/>
  </r>
  <r>
    <x v="75"/>
    <n v="10056"/>
    <x v="3"/>
  </r>
  <r>
    <x v="75"/>
    <n v="46361"/>
    <x v="0"/>
  </r>
  <r>
    <x v="76"/>
    <n v="7318"/>
    <x v="2"/>
  </r>
  <r>
    <x v="76"/>
    <n v="6737"/>
    <x v="3"/>
  </r>
  <r>
    <x v="76"/>
    <n v="45179"/>
    <x v="0"/>
  </r>
  <r>
    <x v="77"/>
    <n v="5797"/>
    <x v="2"/>
  </r>
  <r>
    <x v="77"/>
    <n v="6499"/>
    <x v="3"/>
  </r>
  <r>
    <x v="77"/>
    <n v="40105"/>
    <x v="0"/>
  </r>
  <r>
    <x v="78"/>
    <n v="4708"/>
    <x v="2"/>
  </r>
  <r>
    <x v="78"/>
    <n v="5248"/>
    <x v="3"/>
  </r>
  <r>
    <x v="78"/>
    <n v="35550"/>
    <x v="0"/>
  </r>
  <r>
    <x v="79"/>
    <n v="6792"/>
    <x v="2"/>
  </r>
  <r>
    <x v="79"/>
    <n v="5884"/>
    <x v="3"/>
  </r>
  <r>
    <x v="79"/>
    <n v="44370"/>
    <x v="0"/>
  </r>
  <r>
    <x v="80"/>
    <n v="7523"/>
    <x v="2"/>
  </r>
  <r>
    <x v="80"/>
    <n v="7068"/>
    <x v="3"/>
  </r>
  <r>
    <x v="80"/>
    <n v="45709"/>
    <x v="0"/>
  </r>
  <r>
    <x v="81"/>
    <n v="8716"/>
    <x v="2"/>
  </r>
  <r>
    <x v="81"/>
    <n v="6816"/>
    <x v="3"/>
  </r>
  <r>
    <x v="81"/>
    <n v="49386"/>
    <x v="0"/>
  </r>
  <r>
    <x v="82"/>
    <n v="18647"/>
    <x v="2"/>
  </r>
  <r>
    <x v="82"/>
    <n v="9135"/>
    <x v="3"/>
  </r>
  <r>
    <x v="82"/>
    <n v="67958"/>
    <x v="0"/>
  </r>
  <r>
    <x v="83"/>
    <n v="17850"/>
    <x v="2"/>
  </r>
  <r>
    <x v="83"/>
    <n v="10292"/>
    <x v="3"/>
  </r>
  <r>
    <x v="83"/>
    <n v="74713"/>
    <x v="0"/>
  </r>
  <r>
    <x v="84"/>
    <n v="18381"/>
    <x v="2"/>
  </r>
  <r>
    <x v="84"/>
    <n v="11417"/>
    <x v="3"/>
  </r>
  <r>
    <x v="84"/>
    <n v="66642"/>
    <x v="0"/>
  </r>
  <r>
    <x v="85"/>
    <n v="20475"/>
    <x v="2"/>
  </r>
  <r>
    <x v="85"/>
    <n v="9269"/>
    <x v="3"/>
  </r>
  <r>
    <x v="85"/>
    <n v="64892"/>
    <x v="0"/>
  </r>
  <r>
    <x v="86"/>
    <n v="18369"/>
    <x v="2"/>
  </r>
  <r>
    <x v="86"/>
    <n v="8922"/>
    <x v="3"/>
  </r>
  <r>
    <x v="86"/>
    <n v="56172"/>
    <x v="0"/>
  </r>
  <r>
    <x v="87"/>
    <n v="18580"/>
    <x v="2"/>
  </r>
  <r>
    <x v="87"/>
    <n v="8853"/>
    <x v="3"/>
  </r>
  <r>
    <x v="87"/>
    <n v="58895"/>
    <x v="0"/>
  </r>
  <r>
    <x v="88"/>
    <n v="17667"/>
    <x v="2"/>
  </r>
  <r>
    <x v="88"/>
    <n v="8315"/>
    <x v="3"/>
  </r>
  <r>
    <x v="88"/>
    <n v="61671"/>
    <x v="0"/>
  </r>
  <r>
    <x v="89"/>
    <n v="14460"/>
    <x v="2"/>
  </r>
  <r>
    <x v="89"/>
    <n v="7196"/>
    <x v="3"/>
  </r>
  <r>
    <x v="89"/>
    <n v="55898"/>
    <x v="0"/>
  </r>
  <r>
    <x v="90"/>
    <n v="16176"/>
    <x v="2"/>
  </r>
  <r>
    <x v="90"/>
    <n v="7036"/>
    <x v="3"/>
  </r>
  <r>
    <x v="90"/>
    <n v="52260"/>
    <x v="0"/>
  </r>
  <r>
    <x v="91"/>
    <n v="16761"/>
    <x v="2"/>
  </r>
  <r>
    <x v="91"/>
    <n v="7422"/>
    <x v="3"/>
  </r>
  <r>
    <x v="91"/>
    <n v="51730"/>
    <x v="0"/>
  </r>
  <r>
    <x v="92"/>
    <n v="20395"/>
    <x v="2"/>
  </r>
  <r>
    <x v="92"/>
    <n v="9405"/>
    <x v="3"/>
  </r>
  <r>
    <x v="92"/>
    <n v="59539"/>
    <x v="0"/>
  </r>
  <r>
    <x v="93"/>
    <n v="27166"/>
    <x v="2"/>
  </r>
  <r>
    <x v="93"/>
    <n v="10321"/>
    <x v="3"/>
  </r>
  <r>
    <x v="93"/>
    <n v="71270"/>
    <x v="0"/>
  </r>
  <r>
    <x v="94"/>
    <n v="31285"/>
    <x v="2"/>
  </r>
  <r>
    <x v="94"/>
    <n v="12488"/>
    <x v="3"/>
  </r>
  <r>
    <x v="94"/>
    <n v="79689"/>
    <x v="0"/>
  </r>
  <r>
    <x v="95"/>
    <n v="31931"/>
    <x v="2"/>
  </r>
  <r>
    <x v="95"/>
    <n v="12942"/>
    <x v="3"/>
  </r>
  <r>
    <x v="95"/>
    <n v="79233"/>
    <x v="0"/>
  </r>
  <r>
    <x v="96"/>
    <n v="28192"/>
    <x v="2"/>
  </r>
  <r>
    <x v="96"/>
    <n v="12016"/>
    <x v="3"/>
  </r>
  <r>
    <x v="96"/>
    <n v="68812"/>
    <x v="0"/>
  </r>
  <r>
    <x v="97"/>
    <n v="31266"/>
    <x v="2"/>
  </r>
  <r>
    <x v="97"/>
    <n v="12440"/>
    <x v="3"/>
  </r>
  <r>
    <x v="97"/>
    <n v="75832"/>
    <x v="0"/>
  </r>
  <r>
    <x v="98"/>
    <n v="34904"/>
    <x v="2"/>
  </r>
  <r>
    <x v="98"/>
    <n v="13546"/>
    <x v="3"/>
  </r>
  <r>
    <x v="98"/>
    <n v="79881"/>
    <x v="0"/>
  </r>
  <r>
    <x v="99"/>
    <n v="30239"/>
    <x v="2"/>
  </r>
  <r>
    <x v="99"/>
    <n v="13745"/>
    <x v="3"/>
  </r>
  <r>
    <x v="99"/>
    <n v="79649"/>
    <x v="0"/>
  </r>
  <r>
    <x v="100"/>
    <n v="22518"/>
    <x v="2"/>
  </r>
  <r>
    <x v="100"/>
    <n v="13727"/>
    <x v="3"/>
  </r>
  <r>
    <x v="100"/>
    <n v="79558"/>
    <x v="0"/>
  </r>
  <r>
    <x v="101"/>
    <n v="19126"/>
    <x v="2"/>
  </r>
  <r>
    <x v="101"/>
    <n v="12708"/>
    <x v="3"/>
  </r>
  <r>
    <x v="101"/>
    <n v="75517"/>
    <x v="0"/>
  </r>
  <r>
    <x v="102"/>
    <n v="24399"/>
    <x v="2"/>
  </r>
  <r>
    <x v="102"/>
    <n v="12523"/>
    <x v="3"/>
  </r>
  <r>
    <x v="102"/>
    <n v="81618"/>
    <x v="0"/>
  </r>
  <r>
    <x v="103"/>
    <n v="20676"/>
    <x v="2"/>
  </r>
  <r>
    <x v="103"/>
    <n v="10664"/>
    <x v="3"/>
  </r>
  <r>
    <x v="103"/>
    <n v="69234"/>
    <x v="0"/>
  </r>
  <r>
    <x v="104"/>
    <n v="13675"/>
    <x v="2"/>
  </r>
  <r>
    <x v="104"/>
    <n v="9167"/>
    <x v="3"/>
  </r>
  <r>
    <x v="104"/>
    <n v="58854"/>
    <x v="0"/>
  </r>
  <r>
    <x v="105"/>
    <n v="8439"/>
    <x v="2"/>
  </r>
  <r>
    <x v="105"/>
    <n v="6830"/>
    <x v="3"/>
  </r>
  <r>
    <x v="105"/>
    <n v="46711"/>
    <x v="0"/>
  </r>
  <r>
    <x v="106"/>
    <n v="5650"/>
    <x v="2"/>
  </r>
  <r>
    <x v="106"/>
    <n v="5333"/>
    <x v="3"/>
  </r>
  <r>
    <x v="106"/>
    <n v="37440"/>
    <x v="0"/>
  </r>
  <r>
    <x v="107"/>
    <n v="5663"/>
    <x v="2"/>
  </r>
  <r>
    <x v="107"/>
    <n v="5032"/>
    <x v="3"/>
  </r>
  <r>
    <x v="107"/>
    <n v="37439"/>
    <x v="0"/>
  </r>
  <r>
    <x v="108"/>
    <n v="6805"/>
    <x v="2"/>
  </r>
  <r>
    <x v="108"/>
    <n v="4513"/>
    <x v="3"/>
  </r>
  <r>
    <x v="108"/>
    <n v="35948"/>
    <x v="0"/>
  </r>
  <r>
    <x v="109"/>
    <n v="6672"/>
    <x v="2"/>
  </r>
  <r>
    <x v="109"/>
    <n v="4501"/>
    <x v="3"/>
  </r>
  <r>
    <x v="109"/>
    <n v="36934"/>
    <x v="0"/>
  </r>
  <r>
    <x v="110"/>
    <n v="4588"/>
    <x v="2"/>
  </r>
  <r>
    <x v="110"/>
    <n v="3808"/>
    <x v="3"/>
  </r>
  <r>
    <x v="110"/>
    <n v="1"/>
    <x v="4"/>
  </r>
  <r>
    <x v="110"/>
    <n v="26620"/>
    <x v="0"/>
  </r>
  <r>
    <x v="111"/>
    <n v="7325"/>
    <x v="4"/>
  </r>
  <r>
    <x v="111"/>
    <n v="25136"/>
    <x v="0"/>
  </r>
  <r>
    <x v="112"/>
    <n v="8674"/>
    <x v="4"/>
  </r>
  <r>
    <x v="112"/>
    <n v="31556"/>
    <x v="0"/>
  </r>
  <r>
    <x v="113"/>
    <n v="8516"/>
    <x v="4"/>
  </r>
  <r>
    <x v="113"/>
    <n v="32352"/>
    <x v="0"/>
  </r>
  <r>
    <x v="114"/>
    <n v="7944"/>
    <x v="4"/>
  </r>
  <r>
    <x v="114"/>
    <n v="33024"/>
    <x v="0"/>
  </r>
  <r>
    <x v="115"/>
    <n v="9945"/>
    <x v="4"/>
  </r>
  <r>
    <x v="115"/>
    <n v="38072"/>
    <x v="0"/>
  </r>
  <r>
    <x v="116"/>
    <n v="10570"/>
    <x v="4"/>
  </r>
  <r>
    <x v="116"/>
    <n v="39712"/>
    <x v="0"/>
  </r>
  <r>
    <x v="117"/>
    <n v="10504"/>
    <x v="4"/>
  </r>
  <r>
    <x v="117"/>
    <n v="39108"/>
    <x v="0"/>
  </r>
  <r>
    <x v="118"/>
    <n v="11170"/>
    <x v="4"/>
  </r>
  <r>
    <x v="118"/>
    <n v="38839"/>
    <x v="0"/>
  </r>
  <r>
    <x v="119"/>
    <n v="11302"/>
    <x v="4"/>
  </r>
  <r>
    <x v="119"/>
    <n v="37604"/>
    <x v="0"/>
  </r>
  <r>
    <x v="120"/>
    <n v="13831"/>
    <x v="4"/>
  </r>
  <r>
    <x v="120"/>
    <n v="36928"/>
    <x v="0"/>
  </r>
  <r>
    <x v="121"/>
    <n v="13752"/>
    <x v="4"/>
  </r>
  <r>
    <x v="121"/>
    <n v="38773"/>
    <x v="0"/>
  </r>
  <r>
    <x v="122"/>
    <n v="15828"/>
    <x v="4"/>
  </r>
  <r>
    <x v="122"/>
    <n v="35617"/>
    <x v="0"/>
  </r>
  <r>
    <x v="123"/>
    <n v="44169"/>
    <x v="0"/>
  </r>
  <r>
    <x v="123"/>
    <n v="24093"/>
    <x v="4"/>
  </r>
  <r>
    <x v="124"/>
    <n v="58780"/>
    <x v="0"/>
  </r>
  <r>
    <x v="124"/>
    <n v="26719"/>
    <x v="4"/>
  </r>
  <r>
    <x v="125"/>
    <n v="20847"/>
    <x v="4"/>
  </r>
  <r>
    <x v="125"/>
    <n v="54620"/>
    <x v="0"/>
  </r>
  <r>
    <x v="126"/>
    <n v="50424"/>
    <x v="0"/>
  </r>
  <r>
    <x v="126"/>
    <n v="17987"/>
    <x v="4"/>
  </r>
  <r>
    <x v="127"/>
    <n v="51211"/>
    <x v="0"/>
  </r>
  <r>
    <x v="127"/>
    <n v="14250"/>
    <x v="4"/>
  </r>
  <r>
    <x v="128"/>
    <n v="48040"/>
    <x v="0"/>
  </r>
  <r>
    <x v="128"/>
    <n v="11509"/>
    <x v="4"/>
  </r>
  <r>
    <x v="129"/>
    <n v="10672"/>
    <x v="4"/>
  </r>
  <r>
    <x v="129"/>
    <n v="45509"/>
    <x v="0"/>
  </r>
  <r>
    <x v="130"/>
    <n v="46090"/>
    <x v="0"/>
  </r>
  <r>
    <x v="130"/>
    <n v="11546"/>
    <x v="4"/>
  </r>
  <r>
    <x v="131"/>
    <n v="11998"/>
    <x v="4"/>
  </r>
  <r>
    <x v="131"/>
    <n v="45232"/>
    <x v="0"/>
  </r>
  <r>
    <x v="132"/>
    <n v="36984"/>
    <x v="0"/>
  </r>
  <r>
    <x v="132"/>
    <n v="10535"/>
    <x v="4"/>
  </r>
  <r>
    <x v="133"/>
    <n v="6239"/>
    <x v="4"/>
  </r>
  <r>
    <x v="133"/>
    <n v="25348"/>
    <x v="0"/>
  </r>
  <r>
    <x v="134"/>
    <n v="1077"/>
    <x v="0"/>
  </r>
  <r>
    <x v="134"/>
    <n v="426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75">
  <r>
    <x v="0"/>
    <n v="367"/>
    <x v="0"/>
  </r>
  <r>
    <x v="0"/>
    <n v="1262"/>
    <x v="1"/>
  </r>
  <r>
    <x v="1"/>
    <n v="1028"/>
    <x v="1"/>
  </r>
  <r>
    <x v="1"/>
    <n v="372"/>
    <x v="0"/>
  </r>
  <r>
    <x v="2"/>
    <n v="2"/>
    <x v="2"/>
  </r>
  <r>
    <x v="2"/>
    <n v="327"/>
    <x v="0"/>
  </r>
  <r>
    <x v="2"/>
    <n v="864"/>
    <x v="1"/>
  </r>
  <r>
    <x v="3"/>
    <n v="1"/>
    <x v="2"/>
  </r>
  <r>
    <x v="3"/>
    <n v="322"/>
    <x v="0"/>
  </r>
  <r>
    <x v="3"/>
    <n v="965"/>
    <x v="1"/>
  </r>
  <r>
    <x v="4"/>
    <n v="1460"/>
    <x v="1"/>
  </r>
  <r>
    <x v="4"/>
    <n v="447"/>
    <x v="0"/>
  </r>
  <r>
    <x v="4"/>
    <n v="1"/>
    <x v="2"/>
  </r>
  <r>
    <x v="5"/>
    <n v="1237"/>
    <x v="1"/>
  </r>
  <r>
    <x v="5"/>
    <n v="535"/>
    <x v="0"/>
  </r>
  <r>
    <x v="5"/>
    <n v="1"/>
    <x v="2"/>
  </r>
  <r>
    <x v="6"/>
    <n v="1270"/>
    <x v="1"/>
  </r>
  <r>
    <x v="6"/>
    <n v="645"/>
    <x v="0"/>
  </r>
  <r>
    <x v="7"/>
    <n v="1610"/>
    <x v="1"/>
  </r>
  <r>
    <x v="7"/>
    <n v="860"/>
    <x v="0"/>
  </r>
  <r>
    <x v="7"/>
    <n v="1"/>
    <x v="2"/>
  </r>
  <r>
    <x v="8"/>
    <n v="2437"/>
    <x v="1"/>
  </r>
  <r>
    <x v="8"/>
    <n v="977"/>
    <x v="0"/>
  </r>
  <r>
    <x v="8"/>
    <n v="1"/>
    <x v="2"/>
  </r>
  <r>
    <x v="9"/>
    <n v="4153"/>
    <x v="1"/>
  </r>
  <r>
    <x v="9"/>
    <n v="1756"/>
    <x v="0"/>
  </r>
  <r>
    <x v="10"/>
    <n v="9473"/>
    <x v="1"/>
  </r>
  <r>
    <x v="10"/>
    <n v="3165"/>
    <x v="0"/>
  </r>
  <r>
    <x v="11"/>
    <n v="35832"/>
    <x v="1"/>
  </r>
  <r>
    <x v="11"/>
    <n v="11083"/>
    <x v="0"/>
  </r>
  <r>
    <x v="12"/>
    <n v="58928"/>
    <x v="1"/>
  </r>
  <r>
    <x v="12"/>
    <n v="20793"/>
    <x v="0"/>
  </r>
  <r>
    <x v="12"/>
    <n v="1"/>
    <x v="2"/>
  </r>
  <r>
    <x v="13"/>
    <n v="51841"/>
    <x v="1"/>
  </r>
  <r>
    <x v="13"/>
    <n v="19719"/>
    <x v="0"/>
  </r>
  <r>
    <x v="13"/>
    <n v="1"/>
    <x v="2"/>
  </r>
  <r>
    <x v="14"/>
    <n v="45151"/>
    <x v="1"/>
  </r>
  <r>
    <x v="14"/>
    <n v="15051"/>
    <x v="0"/>
  </r>
  <r>
    <x v="15"/>
    <n v="50507"/>
    <x v="1"/>
  </r>
  <r>
    <x v="15"/>
    <n v="15987"/>
    <x v="0"/>
  </r>
  <r>
    <x v="16"/>
    <n v="52712"/>
    <x v="1"/>
  </r>
  <r>
    <x v="16"/>
    <n v="20069"/>
    <x v="0"/>
  </r>
  <r>
    <x v="16"/>
    <n v="2"/>
    <x v="2"/>
  </r>
  <r>
    <x v="17"/>
    <n v="45436"/>
    <x v="1"/>
  </r>
  <r>
    <x v="17"/>
    <n v="20351"/>
    <x v="0"/>
  </r>
  <r>
    <x v="17"/>
    <n v="3"/>
    <x v="2"/>
  </r>
  <r>
    <x v="18"/>
    <n v="44370"/>
    <x v="1"/>
  </r>
  <r>
    <x v="18"/>
    <n v="23888"/>
    <x v="0"/>
  </r>
  <r>
    <x v="19"/>
    <n v="41309"/>
    <x v="1"/>
  </r>
  <r>
    <x v="19"/>
    <n v="28035"/>
    <x v="0"/>
  </r>
  <r>
    <x v="19"/>
    <n v="1"/>
    <x v="2"/>
  </r>
  <r>
    <x v="20"/>
    <n v="38363"/>
    <x v="1"/>
  </r>
  <r>
    <x v="20"/>
    <n v="24924"/>
    <x v="0"/>
  </r>
  <r>
    <x v="20"/>
    <n v="3"/>
    <x v="2"/>
  </r>
  <r>
    <x v="21"/>
    <n v="41220"/>
    <x v="1"/>
  </r>
  <r>
    <x v="21"/>
    <n v="24933"/>
    <x v="0"/>
  </r>
  <r>
    <x v="21"/>
    <n v="1"/>
    <x v="2"/>
  </r>
  <r>
    <x v="22"/>
    <n v="43421"/>
    <x v="1"/>
  </r>
  <r>
    <x v="22"/>
    <n v="21428"/>
    <x v="0"/>
  </r>
  <r>
    <x v="22"/>
    <n v="1"/>
    <x v="2"/>
  </r>
  <r>
    <x v="23"/>
    <n v="56425"/>
    <x v="1"/>
  </r>
  <r>
    <x v="23"/>
    <n v="22045"/>
    <x v="0"/>
  </r>
  <r>
    <x v="23"/>
    <n v="5"/>
    <x v="2"/>
  </r>
  <r>
    <x v="24"/>
    <n v="51457"/>
    <x v="1"/>
  </r>
  <r>
    <x v="24"/>
    <n v="20459"/>
    <x v="0"/>
  </r>
  <r>
    <x v="24"/>
    <n v="5"/>
    <x v="2"/>
  </r>
  <r>
    <x v="25"/>
    <n v="60305"/>
    <x v="1"/>
  </r>
  <r>
    <x v="25"/>
    <n v="19600"/>
    <x v="0"/>
  </r>
  <r>
    <x v="26"/>
    <n v="57803"/>
    <x v="1"/>
  </r>
  <r>
    <x v="26"/>
    <n v="16113"/>
    <x v="0"/>
  </r>
  <r>
    <x v="26"/>
    <n v="4"/>
    <x v="2"/>
  </r>
  <r>
    <x v="27"/>
    <n v="53674"/>
    <x v="1"/>
  </r>
  <r>
    <x v="27"/>
    <n v="18600"/>
    <x v="0"/>
  </r>
  <r>
    <x v="27"/>
    <n v="5"/>
    <x v="2"/>
  </r>
  <r>
    <x v="28"/>
    <n v="67129"/>
    <x v="1"/>
  </r>
  <r>
    <x v="28"/>
    <n v="24753"/>
    <x v="0"/>
  </r>
  <r>
    <x v="28"/>
    <n v="3"/>
    <x v="2"/>
  </r>
  <r>
    <x v="29"/>
    <n v="69207"/>
    <x v="1"/>
  </r>
  <r>
    <x v="29"/>
    <n v="26052"/>
    <x v="0"/>
  </r>
  <r>
    <x v="29"/>
    <n v="5"/>
    <x v="2"/>
  </r>
  <r>
    <x v="30"/>
    <n v="61845"/>
    <x v="1"/>
  </r>
  <r>
    <x v="30"/>
    <n v="27439"/>
    <x v="0"/>
  </r>
  <r>
    <x v="30"/>
    <n v="2"/>
    <x v="2"/>
  </r>
  <r>
    <x v="31"/>
    <n v="48727"/>
    <x v="1"/>
  </r>
  <r>
    <x v="31"/>
    <n v="27323"/>
    <x v="0"/>
  </r>
  <r>
    <x v="31"/>
    <n v="1"/>
    <x v="2"/>
  </r>
  <r>
    <x v="32"/>
    <n v="42757"/>
    <x v="1"/>
  </r>
  <r>
    <x v="32"/>
    <n v="25505"/>
    <x v="0"/>
  </r>
  <r>
    <x v="32"/>
    <n v="2"/>
    <x v="2"/>
  </r>
  <r>
    <x v="33"/>
    <n v="40940"/>
    <x v="1"/>
  </r>
  <r>
    <x v="33"/>
    <n v="24490"/>
    <x v="0"/>
  </r>
  <r>
    <x v="33"/>
    <n v="2"/>
    <x v="2"/>
  </r>
  <r>
    <x v="34"/>
    <n v="42530"/>
    <x v="1"/>
  </r>
  <r>
    <x v="34"/>
    <n v="19917"/>
    <x v="0"/>
  </r>
  <r>
    <x v="34"/>
    <n v="3"/>
    <x v="2"/>
  </r>
  <r>
    <x v="35"/>
    <n v="51124"/>
    <x v="1"/>
  </r>
  <r>
    <x v="35"/>
    <n v="18777"/>
    <x v="0"/>
  </r>
  <r>
    <x v="35"/>
    <n v="6"/>
    <x v="2"/>
  </r>
  <r>
    <x v="36"/>
    <n v="44348"/>
    <x v="1"/>
  </r>
  <r>
    <x v="36"/>
    <n v="15687"/>
    <x v="0"/>
  </r>
  <r>
    <x v="36"/>
    <n v="4"/>
    <x v="2"/>
  </r>
  <r>
    <x v="37"/>
    <n v="58886"/>
    <x v="1"/>
  </r>
  <r>
    <x v="37"/>
    <n v="15997"/>
    <x v="0"/>
  </r>
  <r>
    <x v="37"/>
    <n v="11"/>
    <x v="2"/>
  </r>
  <r>
    <x v="38"/>
    <n v="60517"/>
    <x v="1"/>
  </r>
  <r>
    <x v="38"/>
    <n v="12185"/>
    <x v="0"/>
  </r>
  <r>
    <x v="38"/>
    <n v="10"/>
    <x v="2"/>
  </r>
  <r>
    <x v="39"/>
    <n v="110476"/>
    <x v="1"/>
  </r>
  <r>
    <x v="39"/>
    <n v="13968"/>
    <x v="0"/>
  </r>
  <r>
    <x v="39"/>
    <n v="6"/>
    <x v="2"/>
  </r>
  <r>
    <x v="40"/>
    <n v="90200"/>
    <x v="1"/>
  </r>
  <r>
    <x v="40"/>
    <n v="16976"/>
    <x v="0"/>
  </r>
  <r>
    <x v="40"/>
    <n v="10"/>
    <x v="2"/>
  </r>
  <r>
    <x v="41"/>
    <n v="85802"/>
    <x v="1"/>
  </r>
  <r>
    <x v="41"/>
    <n v="18378"/>
    <x v="0"/>
  </r>
  <r>
    <x v="41"/>
    <n v="16"/>
    <x v="2"/>
  </r>
  <r>
    <x v="42"/>
    <n v="55706"/>
    <x v="1"/>
  </r>
  <r>
    <x v="42"/>
    <n v="18979"/>
    <x v="0"/>
  </r>
  <r>
    <x v="42"/>
    <n v="25"/>
    <x v="2"/>
  </r>
  <r>
    <x v="43"/>
    <n v="43017"/>
    <x v="1"/>
  </r>
  <r>
    <x v="43"/>
    <n v="20826"/>
    <x v="0"/>
  </r>
  <r>
    <x v="43"/>
    <n v="41"/>
    <x v="2"/>
  </r>
  <r>
    <x v="44"/>
    <n v="28620"/>
    <x v="1"/>
  </r>
  <r>
    <x v="44"/>
    <n v="18245"/>
    <x v="0"/>
  </r>
  <r>
    <x v="44"/>
    <n v="39"/>
    <x v="2"/>
  </r>
  <r>
    <x v="45"/>
    <n v="19297"/>
    <x v="1"/>
  </r>
  <r>
    <x v="45"/>
    <n v="12793"/>
    <x v="0"/>
  </r>
  <r>
    <x v="45"/>
    <n v="48"/>
    <x v="2"/>
  </r>
  <r>
    <x v="46"/>
    <n v="24112"/>
    <x v="1"/>
  </r>
  <r>
    <x v="46"/>
    <n v="13863"/>
    <x v="0"/>
  </r>
  <r>
    <x v="46"/>
    <n v="107"/>
    <x v="2"/>
  </r>
  <r>
    <x v="47"/>
    <n v="31694"/>
    <x v="1"/>
  </r>
  <r>
    <x v="47"/>
    <n v="12939"/>
    <x v="0"/>
  </r>
  <r>
    <x v="47"/>
    <n v="164"/>
    <x v="2"/>
  </r>
  <r>
    <x v="48"/>
    <n v="15941"/>
    <x v="1"/>
  </r>
  <r>
    <x v="48"/>
    <n v="8606"/>
    <x v="0"/>
  </r>
  <r>
    <x v="48"/>
    <n v="215"/>
    <x v="2"/>
  </r>
  <r>
    <x v="49"/>
    <n v="48863"/>
    <x v="1"/>
  </r>
  <r>
    <x v="49"/>
    <n v="12000"/>
    <x v="0"/>
  </r>
  <r>
    <x v="49"/>
    <n v="204"/>
    <x v="2"/>
  </r>
  <r>
    <x v="50"/>
    <n v="118504"/>
    <x v="1"/>
  </r>
  <r>
    <x v="50"/>
    <n v="7878"/>
    <x v="0"/>
  </r>
  <r>
    <x v="50"/>
    <n v="256"/>
    <x v="2"/>
  </r>
  <r>
    <x v="51"/>
    <n v="164658"/>
    <x v="1"/>
  </r>
  <r>
    <x v="51"/>
    <n v="8752"/>
    <x v="0"/>
  </r>
  <r>
    <x v="51"/>
    <n v="234"/>
    <x v="2"/>
  </r>
  <r>
    <x v="52"/>
    <n v="173044"/>
    <x v="1"/>
  </r>
  <r>
    <x v="52"/>
    <n v="11989"/>
    <x v="0"/>
  </r>
  <r>
    <x v="52"/>
    <n v="132"/>
    <x v="2"/>
  </r>
  <r>
    <x v="53"/>
    <n v="165972"/>
    <x v="1"/>
  </r>
  <r>
    <x v="53"/>
    <n v="11449"/>
    <x v="0"/>
  </r>
  <r>
    <x v="53"/>
    <n v="128"/>
    <x v="2"/>
  </r>
  <r>
    <x v="54"/>
    <n v="171300"/>
    <x v="1"/>
  </r>
  <r>
    <x v="54"/>
    <n v="13101"/>
    <x v="0"/>
  </r>
  <r>
    <x v="54"/>
    <n v="88"/>
    <x v="2"/>
  </r>
  <r>
    <x v="55"/>
    <n v="151024"/>
    <x v="1"/>
  </r>
  <r>
    <x v="55"/>
    <n v="17144"/>
    <x v="0"/>
  </r>
  <r>
    <x v="55"/>
    <n v="122"/>
    <x v="2"/>
  </r>
  <r>
    <x v="56"/>
    <n v="107492"/>
    <x v="1"/>
  </r>
  <r>
    <x v="56"/>
    <n v="18641"/>
    <x v="0"/>
  </r>
  <r>
    <x v="56"/>
    <n v="131"/>
    <x v="2"/>
  </r>
  <r>
    <x v="57"/>
    <n v="67176"/>
    <x v="1"/>
  </r>
  <r>
    <x v="57"/>
    <n v="15085"/>
    <x v="0"/>
  </r>
  <r>
    <x v="57"/>
    <n v="145"/>
    <x v="2"/>
  </r>
  <r>
    <x v="58"/>
    <n v="59452"/>
    <x v="1"/>
  </r>
  <r>
    <x v="58"/>
    <n v="14480"/>
    <x v="0"/>
  </r>
  <r>
    <x v="58"/>
    <n v="121"/>
    <x v="2"/>
  </r>
  <r>
    <x v="59"/>
    <n v="74550"/>
    <x v="1"/>
  </r>
  <r>
    <x v="59"/>
    <n v="15076"/>
    <x v="0"/>
  </r>
  <r>
    <x v="59"/>
    <n v="149"/>
    <x v="2"/>
  </r>
  <r>
    <x v="60"/>
    <n v="81495"/>
    <x v="1"/>
  </r>
  <r>
    <x v="60"/>
    <n v="14109"/>
    <x v="0"/>
  </r>
  <r>
    <x v="60"/>
    <n v="161"/>
    <x v="2"/>
  </r>
  <r>
    <x v="61"/>
    <n v="89001"/>
    <x v="1"/>
  </r>
  <r>
    <x v="61"/>
    <n v="12433"/>
    <x v="0"/>
  </r>
  <r>
    <x v="61"/>
    <n v="1704"/>
    <x v="2"/>
  </r>
  <r>
    <x v="62"/>
    <n v="79174"/>
    <x v="1"/>
  </r>
  <r>
    <x v="62"/>
    <n v="9299"/>
    <x v="0"/>
  </r>
  <r>
    <x v="62"/>
    <n v="1537"/>
    <x v="2"/>
  </r>
  <r>
    <x v="63"/>
    <n v="60336"/>
    <x v="1"/>
  </r>
  <r>
    <x v="63"/>
    <n v="9969"/>
    <x v="0"/>
  </r>
  <r>
    <x v="63"/>
    <n v="1442"/>
    <x v="2"/>
  </r>
  <r>
    <x v="64"/>
    <n v="67035"/>
    <x v="1"/>
  </r>
  <r>
    <x v="64"/>
    <n v="12063"/>
    <x v="0"/>
  </r>
  <r>
    <x v="64"/>
    <n v="1558"/>
    <x v="2"/>
  </r>
  <r>
    <x v="65"/>
    <n v="59418"/>
    <x v="1"/>
  </r>
  <r>
    <x v="65"/>
    <n v="13978"/>
    <x v="0"/>
  </r>
  <r>
    <x v="65"/>
    <n v="1497"/>
    <x v="2"/>
  </r>
  <r>
    <x v="66"/>
    <n v="50163"/>
    <x v="1"/>
  </r>
  <r>
    <x v="66"/>
    <n v="15200"/>
    <x v="0"/>
  </r>
  <r>
    <x v="66"/>
    <n v="1210"/>
    <x v="2"/>
  </r>
  <r>
    <x v="67"/>
    <n v="61975"/>
    <x v="1"/>
  </r>
  <r>
    <x v="67"/>
    <n v="16825"/>
    <x v="0"/>
  </r>
  <r>
    <x v="67"/>
    <n v="444"/>
    <x v="2"/>
  </r>
  <r>
    <x v="68"/>
    <n v="81222"/>
    <x v="1"/>
  </r>
  <r>
    <x v="68"/>
    <n v="10618"/>
    <x v="0"/>
  </r>
  <r>
    <x v="68"/>
    <n v="607"/>
    <x v="2"/>
  </r>
  <r>
    <x v="69"/>
    <n v="110323"/>
    <x v="1"/>
  </r>
  <r>
    <x v="69"/>
    <n v="10281"/>
    <x v="0"/>
  </r>
  <r>
    <x v="69"/>
    <n v="507"/>
    <x v="2"/>
  </r>
  <r>
    <x v="70"/>
    <n v="125453"/>
    <x v="1"/>
  </r>
  <r>
    <x v="70"/>
    <n v="9000"/>
    <x v="0"/>
  </r>
  <r>
    <x v="70"/>
    <n v="404"/>
    <x v="2"/>
  </r>
  <r>
    <x v="71"/>
    <n v="138200"/>
    <x v="1"/>
  </r>
  <r>
    <x v="71"/>
    <n v="8395"/>
    <x v="0"/>
  </r>
  <r>
    <x v="71"/>
    <n v="488"/>
    <x v="2"/>
  </r>
  <r>
    <x v="72"/>
    <n v="131264"/>
    <x v="1"/>
  </r>
  <r>
    <x v="72"/>
    <n v="7829"/>
    <x v="0"/>
  </r>
  <r>
    <x v="72"/>
    <n v="446"/>
    <x v="2"/>
  </r>
  <r>
    <x v="73"/>
    <n v="113640"/>
    <x v="1"/>
  </r>
  <r>
    <x v="73"/>
    <n v="9484"/>
    <x v="0"/>
  </r>
  <r>
    <x v="73"/>
    <n v="733"/>
    <x v="2"/>
  </r>
  <r>
    <x v="74"/>
    <n v="88482"/>
    <x v="1"/>
  </r>
  <r>
    <x v="74"/>
    <n v="7262"/>
    <x v="0"/>
  </r>
  <r>
    <x v="74"/>
    <n v="1095"/>
    <x v="2"/>
  </r>
  <r>
    <x v="75"/>
    <n v="57185"/>
    <x v="1"/>
  </r>
  <r>
    <x v="75"/>
    <n v="6646"/>
    <x v="0"/>
  </r>
  <r>
    <x v="75"/>
    <n v="1215"/>
    <x v="2"/>
  </r>
  <r>
    <x v="76"/>
    <n v="49146"/>
    <x v="1"/>
  </r>
  <r>
    <x v="76"/>
    <n v="9210"/>
    <x v="0"/>
  </r>
  <r>
    <x v="76"/>
    <n v="878"/>
    <x v="2"/>
  </r>
  <r>
    <x v="77"/>
    <n v="41588"/>
    <x v="1"/>
  </r>
  <r>
    <x v="77"/>
    <n v="9805"/>
    <x v="0"/>
  </r>
  <r>
    <x v="77"/>
    <n v="1008"/>
    <x v="2"/>
  </r>
  <r>
    <x v="78"/>
    <n v="34765"/>
    <x v="1"/>
  </r>
  <r>
    <x v="78"/>
    <n v="9970"/>
    <x v="0"/>
  </r>
  <r>
    <x v="78"/>
    <n v="771"/>
    <x v="2"/>
  </r>
  <r>
    <x v="79"/>
    <n v="43619"/>
    <x v="1"/>
  </r>
  <r>
    <x v="79"/>
    <n v="12597"/>
    <x v="0"/>
  </r>
  <r>
    <x v="79"/>
    <n v="830"/>
    <x v="2"/>
  </r>
  <r>
    <x v="80"/>
    <n v="48986"/>
    <x v="1"/>
  </r>
  <r>
    <x v="80"/>
    <n v="10705"/>
    <x v="0"/>
  </r>
  <r>
    <x v="80"/>
    <n v="609"/>
    <x v="2"/>
  </r>
  <r>
    <x v="81"/>
    <n v="54104"/>
    <x v="1"/>
  </r>
  <r>
    <x v="81"/>
    <n v="10216"/>
    <x v="0"/>
  </r>
  <r>
    <x v="81"/>
    <n v="598"/>
    <x v="2"/>
  </r>
  <r>
    <x v="82"/>
    <n v="86564"/>
    <x v="1"/>
  </r>
  <r>
    <x v="82"/>
    <n v="8560"/>
    <x v="0"/>
  </r>
  <r>
    <x v="82"/>
    <n v="616"/>
    <x v="2"/>
  </r>
  <r>
    <x v="83"/>
    <n v="95689"/>
    <x v="1"/>
  </r>
  <r>
    <x v="83"/>
    <n v="6571"/>
    <x v="0"/>
  </r>
  <r>
    <x v="83"/>
    <n v="595"/>
    <x v="2"/>
  </r>
  <r>
    <x v="84"/>
    <n v="89572"/>
    <x v="1"/>
  </r>
  <r>
    <x v="84"/>
    <n v="6334"/>
    <x v="0"/>
  </r>
  <r>
    <x v="84"/>
    <n v="534"/>
    <x v="2"/>
  </r>
  <r>
    <x v="85"/>
    <n v="86835"/>
    <x v="1"/>
  </r>
  <r>
    <x v="85"/>
    <n v="7358"/>
    <x v="0"/>
  </r>
  <r>
    <x v="85"/>
    <n v="443"/>
    <x v="2"/>
  </r>
  <r>
    <x v="86"/>
    <n v="78263"/>
    <x v="1"/>
  </r>
  <r>
    <x v="86"/>
    <n v="4755"/>
    <x v="0"/>
  </r>
  <r>
    <x v="86"/>
    <n v="445"/>
    <x v="2"/>
  </r>
  <r>
    <x v="87"/>
    <n v="81119"/>
    <x v="1"/>
  </r>
  <r>
    <x v="87"/>
    <n v="4820"/>
    <x v="0"/>
  </r>
  <r>
    <x v="87"/>
    <n v="389"/>
    <x v="2"/>
  </r>
  <r>
    <x v="88"/>
    <n v="80886"/>
    <x v="1"/>
  </r>
  <r>
    <x v="88"/>
    <n v="6312"/>
    <x v="0"/>
  </r>
  <r>
    <x v="88"/>
    <n v="455"/>
    <x v="2"/>
  </r>
  <r>
    <x v="89"/>
    <n v="68504"/>
    <x v="1"/>
  </r>
  <r>
    <x v="89"/>
    <n v="8472"/>
    <x v="0"/>
  </r>
  <r>
    <x v="89"/>
    <n v="578"/>
    <x v="2"/>
  </r>
  <r>
    <x v="90"/>
    <n v="64048"/>
    <x v="1"/>
  </r>
  <r>
    <x v="90"/>
    <n v="10700"/>
    <x v="0"/>
  </r>
  <r>
    <x v="90"/>
    <n v="724"/>
    <x v="2"/>
  </r>
  <r>
    <x v="91"/>
    <n v="65213"/>
    <x v="1"/>
  </r>
  <r>
    <x v="91"/>
    <n v="10061"/>
    <x v="0"/>
  </r>
  <r>
    <x v="91"/>
    <n v="639"/>
    <x v="2"/>
  </r>
  <r>
    <x v="92"/>
    <n v="78200"/>
    <x v="1"/>
  </r>
  <r>
    <x v="92"/>
    <n v="10422"/>
    <x v="0"/>
  </r>
  <r>
    <x v="92"/>
    <n v="717"/>
    <x v="2"/>
  </r>
  <r>
    <x v="93"/>
    <n v="97065"/>
    <x v="1"/>
  </r>
  <r>
    <x v="93"/>
    <n v="11093"/>
    <x v="0"/>
  </r>
  <r>
    <x v="93"/>
    <n v="599"/>
    <x v="2"/>
  </r>
  <r>
    <x v="94"/>
    <n v="111565"/>
    <x v="1"/>
  </r>
  <r>
    <x v="94"/>
    <n v="11252"/>
    <x v="0"/>
  </r>
  <r>
    <x v="94"/>
    <n v="645"/>
    <x v="2"/>
  </r>
  <r>
    <x v="95"/>
    <n v="112927"/>
    <x v="1"/>
  </r>
  <r>
    <x v="95"/>
    <n v="10537"/>
    <x v="0"/>
  </r>
  <r>
    <x v="95"/>
    <n v="642"/>
    <x v="2"/>
  </r>
  <r>
    <x v="96"/>
    <n v="99881"/>
    <x v="1"/>
  </r>
  <r>
    <x v="96"/>
    <n v="8444"/>
    <x v="0"/>
  </r>
  <r>
    <x v="96"/>
    <n v="695"/>
    <x v="2"/>
  </r>
  <r>
    <x v="97"/>
    <n v="109359"/>
    <x v="1"/>
  </r>
  <r>
    <x v="97"/>
    <n v="9524"/>
    <x v="0"/>
  </r>
  <r>
    <x v="97"/>
    <n v="655"/>
    <x v="2"/>
  </r>
  <r>
    <x v="98"/>
    <n v="119300"/>
    <x v="1"/>
  </r>
  <r>
    <x v="98"/>
    <n v="8323"/>
    <x v="0"/>
  </r>
  <r>
    <x v="98"/>
    <n v="708"/>
    <x v="2"/>
  </r>
  <r>
    <x v="99"/>
    <n v="113005"/>
    <x v="1"/>
  </r>
  <r>
    <x v="99"/>
    <n v="9978"/>
    <x v="0"/>
  </r>
  <r>
    <x v="99"/>
    <n v="650"/>
    <x v="2"/>
  </r>
  <r>
    <x v="100"/>
    <n v="103719"/>
    <x v="1"/>
  </r>
  <r>
    <x v="100"/>
    <n v="11451"/>
    <x v="0"/>
  </r>
  <r>
    <x v="100"/>
    <n v="633"/>
    <x v="2"/>
  </r>
  <r>
    <x v="101"/>
    <n v="95107"/>
    <x v="1"/>
  </r>
  <r>
    <x v="101"/>
    <n v="11640"/>
    <x v="0"/>
  </r>
  <r>
    <x v="101"/>
    <n v="604"/>
    <x v="2"/>
  </r>
  <r>
    <x v="102"/>
    <n v="102480"/>
    <x v="1"/>
  </r>
  <r>
    <x v="102"/>
    <n v="15624"/>
    <x v="0"/>
  </r>
  <r>
    <x v="102"/>
    <n v="436"/>
    <x v="2"/>
  </r>
  <r>
    <x v="103"/>
    <n v="85115"/>
    <x v="1"/>
  </r>
  <r>
    <x v="103"/>
    <n v="14982"/>
    <x v="0"/>
  </r>
  <r>
    <x v="103"/>
    <n v="477"/>
    <x v="2"/>
  </r>
  <r>
    <x v="104"/>
    <n v="66894"/>
    <x v="1"/>
  </r>
  <r>
    <x v="104"/>
    <n v="14165"/>
    <x v="0"/>
  </r>
  <r>
    <x v="104"/>
    <n v="637"/>
    <x v="2"/>
  </r>
  <r>
    <x v="105"/>
    <n v="47860"/>
    <x v="1"/>
  </r>
  <r>
    <x v="105"/>
    <n v="13624"/>
    <x v="0"/>
  </r>
  <r>
    <x v="105"/>
    <n v="496"/>
    <x v="2"/>
  </r>
  <r>
    <x v="106"/>
    <n v="36562"/>
    <x v="1"/>
  </r>
  <r>
    <x v="106"/>
    <n v="11286"/>
    <x v="0"/>
  </r>
  <r>
    <x v="106"/>
    <n v="575"/>
    <x v="2"/>
  </r>
  <r>
    <x v="107"/>
    <n v="35033"/>
    <x v="1"/>
  </r>
  <r>
    <x v="107"/>
    <n v="12595"/>
    <x v="0"/>
  </r>
  <r>
    <x v="107"/>
    <n v="506"/>
    <x v="2"/>
  </r>
  <r>
    <x v="108"/>
    <n v="35077"/>
    <x v="1"/>
  </r>
  <r>
    <x v="108"/>
    <n v="11847"/>
    <x v="0"/>
  </r>
  <r>
    <x v="108"/>
    <n v="342"/>
    <x v="2"/>
  </r>
  <r>
    <x v="109"/>
    <n v="35365"/>
    <x v="1"/>
  </r>
  <r>
    <x v="109"/>
    <n v="12433"/>
    <x v="0"/>
  </r>
  <r>
    <x v="109"/>
    <n v="309"/>
    <x v="2"/>
  </r>
  <r>
    <x v="110"/>
    <n v="26426"/>
    <x v="1"/>
  </r>
  <r>
    <x v="110"/>
    <n v="8221"/>
    <x v="0"/>
  </r>
  <r>
    <x v="110"/>
    <n v="370"/>
    <x v="2"/>
  </r>
  <r>
    <x v="111"/>
    <n v="23600"/>
    <x v="1"/>
  </r>
  <r>
    <x v="111"/>
    <n v="8505"/>
    <x v="0"/>
  </r>
  <r>
    <x v="111"/>
    <n v="356"/>
    <x v="2"/>
  </r>
  <r>
    <x v="112"/>
    <n v="29027"/>
    <x v="1"/>
  </r>
  <r>
    <x v="112"/>
    <n v="10922"/>
    <x v="0"/>
  </r>
  <r>
    <x v="112"/>
    <n v="281"/>
    <x v="2"/>
  </r>
  <r>
    <x v="113"/>
    <n v="28783"/>
    <x v="1"/>
  </r>
  <r>
    <x v="113"/>
    <n v="11991"/>
    <x v="0"/>
  </r>
  <r>
    <x v="113"/>
    <n v="94"/>
    <x v="2"/>
  </r>
  <r>
    <x v="114"/>
    <n v="27454"/>
    <x v="1"/>
  </r>
  <r>
    <x v="114"/>
    <n v="13489"/>
    <x v="0"/>
  </r>
  <r>
    <x v="114"/>
    <n v="25"/>
    <x v="2"/>
  </r>
  <r>
    <x v="115"/>
    <n v="31701"/>
    <x v="1"/>
  </r>
  <r>
    <x v="115"/>
    <n v="16316"/>
    <x v="0"/>
  </r>
  <r>
    <x v="116"/>
    <n v="33633"/>
    <x v="1"/>
  </r>
  <r>
    <x v="116"/>
    <n v="16649"/>
    <x v="0"/>
  </r>
  <r>
    <x v="117"/>
    <n v="34036"/>
    <x v="1"/>
  </r>
  <r>
    <x v="117"/>
    <n v="15576"/>
    <x v="0"/>
  </r>
  <r>
    <x v="118"/>
    <n v="36023"/>
    <x v="1"/>
  </r>
  <r>
    <x v="118"/>
    <n v="13986"/>
    <x v="0"/>
  </r>
  <r>
    <x v="119"/>
    <n v="35867"/>
    <x v="1"/>
  </r>
  <r>
    <x v="119"/>
    <n v="13039"/>
    <x v="0"/>
  </r>
  <r>
    <x v="120"/>
    <n v="39892"/>
    <x v="1"/>
  </r>
  <r>
    <x v="120"/>
    <n v="10867"/>
    <x v="0"/>
  </r>
  <r>
    <x v="121"/>
    <n v="40915"/>
    <x v="1"/>
  </r>
  <r>
    <x v="121"/>
    <n v="11610"/>
    <x v="0"/>
  </r>
  <r>
    <x v="122"/>
    <n v="43058"/>
    <x v="1"/>
  </r>
  <r>
    <x v="122"/>
    <n v="8387"/>
    <x v="0"/>
  </r>
  <r>
    <x v="123"/>
    <n v="9362"/>
    <x v="0"/>
  </r>
  <r>
    <x v="123"/>
    <n v="58900"/>
    <x v="1"/>
  </r>
  <r>
    <x v="124"/>
    <n v="13263"/>
    <x v="0"/>
  </r>
  <r>
    <x v="124"/>
    <n v="72236"/>
    <x v="1"/>
  </r>
  <r>
    <x v="125"/>
    <n v="61051"/>
    <x v="1"/>
  </r>
  <r>
    <x v="125"/>
    <n v="14416"/>
    <x v="0"/>
  </r>
  <r>
    <x v="126"/>
    <n v="15500"/>
    <x v="0"/>
  </r>
  <r>
    <x v="126"/>
    <n v="52911"/>
    <x v="1"/>
  </r>
  <r>
    <x v="127"/>
    <n v="17225"/>
    <x v="0"/>
  </r>
  <r>
    <x v="127"/>
    <n v="48236"/>
    <x v="1"/>
  </r>
  <r>
    <x v="128"/>
    <n v="17221"/>
    <x v="0"/>
  </r>
  <r>
    <x v="128"/>
    <n v="42328"/>
    <x v="1"/>
  </r>
  <r>
    <x v="129"/>
    <n v="39780"/>
    <x v="1"/>
  </r>
  <r>
    <x v="129"/>
    <n v="16401"/>
    <x v="0"/>
  </r>
  <r>
    <x v="130"/>
    <n v="15285"/>
    <x v="0"/>
  </r>
  <r>
    <x v="130"/>
    <n v="42351"/>
    <x v="1"/>
  </r>
  <r>
    <x v="131"/>
    <n v="43420"/>
    <x v="1"/>
  </r>
  <r>
    <x v="131"/>
    <n v="13810"/>
    <x v="0"/>
  </r>
  <r>
    <x v="132"/>
    <n v="10624"/>
    <x v="0"/>
  </r>
  <r>
    <x v="132"/>
    <n v="36895"/>
    <x v="1"/>
  </r>
  <r>
    <x v="133"/>
    <n v="24422"/>
    <x v="1"/>
  </r>
  <r>
    <x v="133"/>
    <n v="7165"/>
    <x v="0"/>
  </r>
  <r>
    <x v="134"/>
    <n v="257"/>
    <x v="0"/>
  </r>
  <r>
    <x v="134"/>
    <n v="1246"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329">
  <r>
    <x v="0"/>
    <n v="3094"/>
    <x v="0"/>
  </r>
  <r>
    <x v="0"/>
    <n v="290"/>
    <x v="1"/>
  </r>
  <r>
    <x v="1"/>
    <n v="277"/>
    <x v="1"/>
  </r>
  <r>
    <x v="1"/>
    <n v="2710"/>
    <x v="0"/>
  </r>
  <r>
    <x v="2"/>
    <n v="2288"/>
    <x v="0"/>
  </r>
  <r>
    <x v="2"/>
    <n v="206"/>
    <x v="1"/>
  </r>
  <r>
    <x v="3"/>
    <n v="301"/>
    <x v="1"/>
  </r>
  <r>
    <x v="3"/>
    <n v="2295"/>
    <x v="0"/>
  </r>
  <r>
    <x v="4"/>
    <n v="441"/>
    <x v="1"/>
  </r>
  <r>
    <x v="4"/>
    <n v="3167"/>
    <x v="0"/>
  </r>
  <r>
    <x v="5"/>
    <n v="3341"/>
    <x v="0"/>
  </r>
  <r>
    <x v="5"/>
    <n v="310"/>
    <x v="1"/>
  </r>
  <r>
    <x v="6"/>
    <n v="4075"/>
    <x v="0"/>
  </r>
  <r>
    <x v="6"/>
    <n v="371"/>
    <x v="1"/>
  </r>
  <r>
    <x v="7"/>
    <n v="429"/>
    <x v="1"/>
  </r>
  <r>
    <x v="7"/>
    <n v="4849"/>
    <x v="0"/>
  </r>
  <r>
    <x v="8"/>
    <n v="6088"/>
    <x v="0"/>
  </r>
  <r>
    <x v="8"/>
    <n v="695"/>
    <x v="1"/>
  </r>
  <r>
    <x v="9"/>
    <n v="10428"/>
    <x v="0"/>
  </r>
  <r>
    <x v="9"/>
    <n v="1063"/>
    <x v="1"/>
  </r>
  <r>
    <x v="10"/>
    <n v="21051"/>
    <x v="0"/>
  </r>
  <r>
    <x v="10"/>
    <n v="2285"/>
    <x v="1"/>
  </r>
  <r>
    <x v="11"/>
    <n v="9866"/>
    <x v="1"/>
  </r>
  <r>
    <x v="11"/>
    <n v="74623"/>
    <x v="0"/>
  </r>
  <r>
    <x v="12"/>
    <n v="15215"/>
    <x v="1"/>
  </r>
  <r>
    <x v="12"/>
    <n v="127998"/>
    <x v="0"/>
  </r>
  <r>
    <x v="13"/>
    <n v="13819"/>
    <x v="1"/>
  </r>
  <r>
    <x v="13"/>
    <n v="118908"/>
    <x v="0"/>
  </r>
  <r>
    <x v="14"/>
    <n v="12884"/>
    <x v="1"/>
  </r>
  <r>
    <x v="14"/>
    <n v="97173"/>
    <x v="0"/>
  </r>
  <r>
    <x v="15"/>
    <n v="13860"/>
    <x v="1"/>
  </r>
  <r>
    <x v="15"/>
    <n v="108450"/>
    <x v="0"/>
  </r>
  <r>
    <x v="16"/>
    <n v="14237"/>
    <x v="1"/>
  </r>
  <r>
    <x v="16"/>
    <n v="123822"/>
    <x v="0"/>
  </r>
  <r>
    <x v="17"/>
    <n v="12564"/>
    <x v="1"/>
  </r>
  <r>
    <x v="17"/>
    <n v="116000"/>
    <x v="0"/>
  </r>
  <r>
    <x v="18"/>
    <n v="12214"/>
    <x v="1"/>
  </r>
  <r>
    <x v="18"/>
    <n v="126858"/>
    <x v="0"/>
  </r>
  <r>
    <x v="19"/>
    <n v="11515"/>
    <x v="1"/>
  </r>
  <r>
    <x v="19"/>
    <n v="135402"/>
    <x v="0"/>
  </r>
  <r>
    <x v="20"/>
    <n v="10948"/>
    <x v="1"/>
  </r>
  <r>
    <x v="20"/>
    <n v="121614"/>
    <x v="0"/>
  </r>
  <r>
    <x v="21"/>
    <n v="11867"/>
    <x v="1"/>
  </r>
  <r>
    <x v="21"/>
    <n v="124126"/>
    <x v="0"/>
  </r>
  <r>
    <x v="22"/>
    <n v="116363"/>
    <x v="0"/>
  </r>
  <r>
    <x v="22"/>
    <n v="13427"/>
    <x v="1"/>
  </r>
  <r>
    <x v="23"/>
    <n v="130961"/>
    <x v="0"/>
  </r>
  <r>
    <x v="23"/>
    <n v="18575"/>
    <x v="1"/>
  </r>
  <r>
    <x v="24"/>
    <n v="18135"/>
    <x v="1"/>
  </r>
  <r>
    <x v="24"/>
    <n v="119955"/>
    <x v="0"/>
  </r>
  <r>
    <x v="25"/>
    <n v="123443"/>
    <x v="0"/>
  </r>
  <r>
    <x v="25"/>
    <n v="22662"/>
    <x v="1"/>
  </r>
  <r>
    <x v="26"/>
    <n v="109970"/>
    <x v="0"/>
  </r>
  <r>
    <x v="26"/>
    <n v="22585"/>
    <x v="1"/>
  </r>
  <r>
    <x v="27"/>
    <n v="117291"/>
    <x v="0"/>
  </r>
  <r>
    <x v="27"/>
    <n v="19622"/>
    <x v="1"/>
  </r>
  <r>
    <x v="28"/>
    <n v="25940"/>
    <x v="1"/>
  </r>
  <r>
    <x v="28"/>
    <n v="151094"/>
    <x v="0"/>
  </r>
  <r>
    <x v="29"/>
    <n v="28685"/>
    <x v="1"/>
  </r>
  <r>
    <x v="29"/>
    <n v="158385"/>
    <x v="0"/>
  </r>
  <r>
    <x v="30"/>
    <n v="25352"/>
    <x v="1"/>
  </r>
  <r>
    <x v="30"/>
    <n v="160817"/>
    <x v="0"/>
  </r>
  <r>
    <x v="31"/>
    <n v="20261"/>
    <x v="1"/>
  </r>
  <r>
    <x v="31"/>
    <n v="149675"/>
    <x v="0"/>
  </r>
  <r>
    <x v="32"/>
    <n v="17391"/>
    <x v="1"/>
  </r>
  <r>
    <x v="32"/>
    <n v="139954"/>
    <x v="0"/>
  </r>
  <r>
    <x v="33"/>
    <n v="16755"/>
    <x v="1"/>
  </r>
  <r>
    <x v="33"/>
    <n v="133387"/>
    <x v="0"/>
  </r>
  <r>
    <x v="34"/>
    <n v="19462"/>
    <x v="1"/>
  </r>
  <r>
    <x v="34"/>
    <n v="120202"/>
    <x v="0"/>
  </r>
  <r>
    <x v="35"/>
    <n v="23165"/>
    <x v="1"/>
  </r>
  <r>
    <x v="35"/>
    <n v="124380"/>
    <x v="0"/>
  </r>
  <r>
    <x v="36"/>
    <n v="21667"/>
    <x v="1"/>
  </r>
  <r>
    <x v="36"/>
    <n v="105626"/>
    <x v="0"/>
  </r>
  <r>
    <x v="37"/>
    <n v="31699"/>
    <x v="1"/>
  </r>
  <r>
    <x v="37"/>
    <n v="115597"/>
    <x v="0"/>
  </r>
  <r>
    <x v="38"/>
    <n v="35311"/>
    <x v="1"/>
  </r>
  <r>
    <x v="38"/>
    <n v="97553"/>
    <x v="0"/>
  </r>
  <r>
    <x v="39"/>
    <n v="140722"/>
    <x v="0"/>
  </r>
  <r>
    <x v="39"/>
    <n v="61159"/>
    <x v="1"/>
  </r>
  <r>
    <x v="40"/>
    <n v="139504"/>
    <x v="0"/>
  </r>
  <r>
    <x v="40"/>
    <n v="42303"/>
    <x v="1"/>
  </r>
  <r>
    <x v="41"/>
    <n v="38887"/>
    <x v="1"/>
  </r>
  <r>
    <x v="41"/>
    <n v="131767"/>
    <x v="0"/>
  </r>
  <r>
    <x v="42"/>
    <n v="104867"/>
    <x v="0"/>
  </r>
  <r>
    <x v="42"/>
    <n v="23755"/>
    <x v="1"/>
  </r>
  <r>
    <x v="43"/>
    <n v="99389"/>
    <x v="0"/>
  </r>
  <r>
    <x v="43"/>
    <n v="17704"/>
    <x v="1"/>
  </r>
  <r>
    <x v="44"/>
    <n v="77863"/>
    <x v="0"/>
  </r>
  <r>
    <x v="44"/>
    <n v="11718"/>
    <x v="1"/>
  </r>
  <r>
    <x v="45"/>
    <n v="7319"/>
    <x v="1"/>
  </r>
  <r>
    <x v="45"/>
    <n v="54547"/>
    <x v="0"/>
  </r>
  <r>
    <x v="46"/>
    <n v="10715"/>
    <x v="1"/>
  </r>
  <r>
    <x v="46"/>
    <n v="59811"/>
    <x v="0"/>
  </r>
  <r>
    <x v="47"/>
    <n v="15988"/>
    <x v="1"/>
  </r>
  <r>
    <x v="47"/>
    <n v="61034"/>
    <x v="0"/>
  </r>
  <r>
    <x v="48"/>
    <n v="7602"/>
    <x v="1"/>
  </r>
  <r>
    <x v="48"/>
    <n v="38507"/>
    <x v="0"/>
  </r>
  <r>
    <x v="49"/>
    <n v="32437"/>
    <x v="1"/>
  </r>
  <r>
    <x v="49"/>
    <n v="62781"/>
    <x v="0"/>
  </r>
  <r>
    <x v="50"/>
    <n v="81682"/>
    <x v="1"/>
  </r>
  <r>
    <x v="50"/>
    <n v="84698"/>
    <x v="0"/>
  </r>
  <r>
    <x v="51"/>
    <n v="105008"/>
    <x v="1"/>
  </r>
  <r>
    <x v="51"/>
    <n v="117107"/>
    <x v="0"/>
  </r>
  <r>
    <x v="52"/>
    <n v="109012"/>
    <x v="1"/>
  </r>
  <r>
    <x v="52"/>
    <n v="133715"/>
    <x v="0"/>
  </r>
  <r>
    <x v="53"/>
    <n v="94316"/>
    <x v="2"/>
  </r>
  <r>
    <x v="53"/>
    <n v="10790"/>
    <x v="3"/>
  </r>
  <r>
    <x v="53"/>
    <n v="128137"/>
    <x v="0"/>
  </r>
  <r>
    <x v="54"/>
    <n v="90532"/>
    <x v="2"/>
  </r>
  <r>
    <x v="54"/>
    <n v="16758"/>
    <x v="3"/>
  </r>
  <r>
    <x v="54"/>
    <n v="139796"/>
    <x v="0"/>
  </r>
  <r>
    <x v="55"/>
    <n v="71785"/>
    <x v="2"/>
  </r>
  <r>
    <x v="55"/>
    <n v="25620"/>
    <x v="3"/>
  </r>
  <r>
    <x v="55"/>
    <n v="144209"/>
    <x v="0"/>
  </r>
  <r>
    <x v="56"/>
    <n v="45076"/>
    <x v="2"/>
  </r>
  <r>
    <x v="56"/>
    <n v="22688"/>
    <x v="3"/>
  </r>
  <r>
    <x v="56"/>
    <n v="127083"/>
    <x v="0"/>
  </r>
  <r>
    <x v="57"/>
    <n v="24616"/>
    <x v="2"/>
  </r>
  <r>
    <x v="57"/>
    <n v="16479"/>
    <x v="3"/>
  </r>
  <r>
    <x v="57"/>
    <n v="92713"/>
    <x v="0"/>
  </r>
  <r>
    <x v="58"/>
    <n v="20960"/>
    <x v="2"/>
  </r>
  <r>
    <x v="58"/>
    <n v="13189"/>
    <x v="3"/>
  </r>
  <r>
    <x v="58"/>
    <n v="84925"/>
    <x v="0"/>
  </r>
  <r>
    <x v="59"/>
    <n v="26485"/>
    <x v="2"/>
  </r>
  <r>
    <x v="59"/>
    <n v="18596"/>
    <x v="3"/>
  </r>
  <r>
    <x v="59"/>
    <n v="96440"/>
    <x v="0"/>
  </r>
  <r>
    <x v="60"/>
    <n v="27581"/>
    <x v="2"/>
  </r>
  <r>
    <x v="60"/>
    <n v="24193"/>
    <x v="3"/>
  </r>
  <r>
    <x v="60"/>
    <n v="98197"/>
    <x v="0"/>
  </r>
  <r>
    <x v="61"/>
    <n v="29818"/>
    <x v="2"/>
  </r>
  <r>
    <x v="61"/>
    <n v="27350"/>
    <x v="3"/>
  </r>
  <r>
    <x v="61"/>
    <n v="99833"/>
    <x v="0"/>
  </r>
  <r>
    <x v="62"/>
    <n v="25147"/>
    <x v="2"/>
  </r>
  <r>
    <x v="62"/>
    <n v="25447"/>
    <x v="3"/>
  </r>
  <r>
    <x v="62"/>
    <n v="84489"/>
    <x v="0"/>
  </r>
  <r>
    <x v="63"/>
    <n v="17822"/>
    <x v="2"/>
  </r>
  <r>
    <x v="63"/>
    <n v="18219"/>
    <x v="3"/>
  </r>
  <r>
    <x v="63"/>
    <n v="76132"/>
    <x v="0"/>
  </r>
  <r>
    <x v="64"/>
    <n v="16871"/>
    <x v="2"/>
  </r>
  <r>
    <x v="64"/>
    <n v="22090"/>
    <x v="3"/>
  </r>
  <r>
    <x v="64"/>
    <n v="89646"/>
    <x v="0"/>
  </r>
  <r>
    <x v="65"/>
    <n v="14743"/>
    <x v="2"/>
  </r>
  <r>
    <x v="65"/>
    <n v="20516"/>
    <x v="3"/>
  </r>
  <r>
    <x v="65"/>
    <n v="89391"/>
    <x v="0"/>
  </r>
  <r>
    <x v="66"/>
    <n v="11942"/>
    <x v="2"/>
  </r>
  <r>
    <x v="66"/>
    <n v="16163"/>
    <x v="3"/>
  </r>
  <r>
    <x v="66"/>
    <n v="86326"/>
    <x v="0"/>
  </r>
  <r>
    <x v="67"/>
    <n v="16486"/>
    <x v="2"/>
  </r>
  <r>
    <x v="67"/>
    <n v="22576"/>
    <x v="3"/>
  </r>
  <r>
    <x v="67"/>
    <n v="93314"/>
    <x v="0"/>
  </r>
  <r>
    <x v="68"/>
    <n v="22364"/>
    <x v="2"/>
  </r>
  <r>
    <x v="68"/>
    <n v="29614"/>
    <x v="3"/>
  </r>
  <r>
    <x v="68"/>
    <n v="88482"/>
    <x v="0"/>
  </r>
  <r>
    <x v="69"/>
    <n v="30080"/>
    <x v="2"/>
  </r>
  <r>
    <x v="69"/>
    <n v="35065"/>
    <x v="3"/>
  </r>
  <r>
    <x v="69"/>
    <n v="110193"/>
    <x v="0"/>
  </r>
  <r>
    <x v="70"/>
    <n v="31037"/>
    <x v="2"/>
  </r>
  <r>
    <x v="70"/>
    <n v="39875"/>
    <x v="3"/>
  </r>
  <r>
    <x v="70"/>
    <n v="119822"/>
    <x v="0"/>
  </r>
  <r>
    <x v="71"/>
    <n v="35348"/>
    <x v="2"/>
  </r>
  <r>
    <x v="71"/>
    <n v="45297"/>
    <x v="3"/>
  </r>
  <r>
    <x v="71"/>
    <n v="127395"/>
    <x v="0"/>
  </r>
  <r>
    <x v="72"/>
    <n v="33931"/>
    <x v="2"/>
  </r>
  <r>
    <x v="72"/>
    <n v="47142"/>
    <x v="3"/>
  </r>
  <r>
    <x v="72"/>
    <n v="119820"/>
    <x v="0"/>
  </r>
  <r>
    <x v="73"/>
    <n v="31736"/>
    <x v="2"/>
  </r>
  <r>
    <x v="73"/>
    <n v="40362"/>
    <x v="3"/>
  </r>
  <r>
    <x v="73"/>
    <n v="113580"/>
    <x v="0"/>
  </r>
  <r>
    <x v="74"/>
    <n v="21057"/>
    <x v="2"/>
  </r>
  <r>
    <x v="74"/>
    <n v="36120"/>
    <x v="3"/>
  </r>
  <r>
    <x v="74"/>
    <n v="90126"/>
    <x v="0"/>
  </r>
  <r>
    <x v="75"/>
    <n v="11170"/>
    <x v="2"/>
  </r>
  <r>
    <x v="75"/>
    <n v="24843"/>
    <x v="3"/>
  </r>
  <r>
    <x v="75"/>
    <n v="63788"/>
    <x v="0"/>
  </r>
  <r>
    <x v="76"/>
    <n v="9996"/>
    <x v="2"/>
  </r>
  <r>
    <x v="76"/>
    <n v="17450"/>
    <x v="3"/>
  </r>
  <r>
    <x v="76"/>
    <n v="68123"/>
    <x v="0"/>
  </r>
  <r>
    <x v="77"/>
    <n v="8025"/>
    <x v="2"/>
  </r>
  <r>
    <x v="77"/>
    <n v="16099"/>
    <x v="3"/>
  </r>
  <r>
    <x v="77"/>
    <n v="64085"/>
    <x v="0"/>
  </r>
  <r>
    <x v="78"/>
    <n v="6765"/>
    <x v="2"/>
  </r>
  <r>
    <x v="78"/>
    <n v="13670"/>
    <x v="3"/>
  </r>
  <r>
    <x v="78"/>
    <n v="61083"/>
    <x v="0"/>
  </r>
  <r>
    <x v="79"/>
    <n v="9383"/>
    <x v="2"/>
  </r>
  <r>
    <x v="79"/>
    <n v="14894"/>
    <x v="3"/>
  </r>
  <r>
    <x v="79"/>
    <n v="77774"/>
    <x v="0"/>
  </r>
  <r>
    <x v="80"/>
    <n v="10389"/>
    <x v="2"/>
  </r>
  <r>
    <x v="80"/>
    <n v="16583"/>
    <x v="3"/>
  </r>
  <r>
    <x v="80"/>
    <n v="77050"/>
    <x v="0"/>
  </r>
  <r>
    <x v="81"/>
    <n v="12046"/>
    <x v="2"/>
  </r>
  <r>
    <x v="81"/>
    <n v="16642"/>
    <x v="3"/>
  </r>
  <r>
    <x v="81"/>
    <n v="81205"/>
    <x v="0"/>
  </r>
  <r>
    <x v="82"/>
    <n v="23990"/>
    <x v="2"/>
  </r>
  <r>
    <x v="82"/>
    <n v="20053"/>
    <x v="3"/>
  </r>
  <r>
    <x v="82"/>
    <n v="98996"/>
    <x v="0"/>
  </r>
  <r>
    <x v="83"/>
    <n v="22830"/>
    <x v="2"/>
  </r>
  <r>
    <x v="83"/>
    <n v="23033"/>
    <x v="3"/>
  </r>
  <r>
    <x v="83"/>
    <n v="102137"/>
    <x v="0"/>
  </r>
  <r>
    <x v="84"/>
    <n v="23833"/>
    <x v="2"/>
  </r>
  <r>
    <x v="84"/>
    <n v="24747"/>
    <x v="3"/>
  </r>
  <r>
    <x v="84"/>
    <n v="92943"/>
    <x v="0"/>
  </r>
  <r>
    <x v="85"/>
    <n v="26599"/>
    <x v="2"/>
  </r>
  <r>
    <x v="85"/>
    <n v="22030"/>
    <x v="3"/>
  </r>
  <r>
    <x v="85"/>
    <n v="93504"/>
    <x v="0"/>
  </r>
  <r>
    <x v="86"/>
    <n v="23479"/>
    <x v="2"/>
  </r>
  <r>
    <x v="86"/>
    <n v="25627"/>
    <x v="3"/>
  </r>
  <r>
    <x v="86"/>
    <n v="78802"/>
    <x v="0"/>
  </r>
  <r>
    <x v="87"/>
    <n v="23792"/>
    <x v="2"/>
  </r>
  <r>
    <x v="87"/>
    <n v="32853"/>
    <x v="3"/>
  </r>
  <r>
    <x v="87"/>
    <n v="84914"/>
    <x v="0"/>
  </r>
  <r>
    <x v="88"/>
    <n v="23075"/>
    <x v="2"/>
  </r>
  <r>
    <x v="88"/>
    <n v="35404"/>
    <x v="3"/>
  </r>
  <r>
    <x v="88"/>
    <n v="93152"/>
    <x v="0"/>
  </r>
  <r>
    <x v="89"/>
    <n v="19537"/>
    <x v="2"/>
  </r>
  <r>
    <x v="89"/>
    <n v="39938"/>
    <x v="3"/>
  </r>
  <r>
    <x v="89"/>
    <n v="94590"/>
    <x v="0"/>
  </r>
  <r>
    <x v="90"/>
    <n v="21051"/>
    <x v="2"/>
  </r>
  <r>
    <x v="90"/>
    <n v="42088"/>
    <x v="3"/>
  </r>
  <r>
    <x v="90"/>
    <n v="95097"/>
    <x v="0"/>
  </r>
  <r>
    <x v="91"/>
    <n v="21726"/>
    <x v="2"/>
  </r>
  <r>
    <x v="91"/>
    <n v="39698"/>
    <x v="3"/>
  </r>
  <r>
    <x v="91"/>
    <n v="95500"/>
    <x v="0"/>
  </r>
  <r>
    <x v="92"/>
    <n v="26853"/>
    <x v="2"/>
  </r>
  <r>
    <x v="92"/>
    <n v="40424"/>
    <x v="3"/>
  </r>
  <r>
    <x v="92"/>
    <n v="104000"/>
    <x v="0"/>
  </r>
  <r>
    <x v="93"/>
    <n v="35820"/>
    <x v="2"/>
  </r>
  <r>
    <x v="93"/>
    <n v="41309"/>
    <x v="3"/>
  </r>
  <r>
    <x v="93"/>
    <n v="117389"/>
    <x v="0"/>
  </r>
  <r>
    <x v="94"/>
    <n v="41650"/>
    <x v="2"/>
  </r>
  <r>
    <x v="94"/>
    <n v="40014"/>
    <x v="3"/>
  </r>
  <r>
    <x v="94"/>
    <n v="125598"/>
    <x v="0"/>
  </r>
  <r>
    <x v="95"/>
    <n v="42712"/>
    <x v="2"/>
  </r>
  <r>
    <x v="95"/>
    <n v="44818"/>
    <x v="3"/>
  </r>
  <r>
    <x v="95"/>
    <n v="126694"/>
    <x v="0"/>
  </r>
  <r>
    <x v="96"/>
    <n v="38258"/>
    <x v="2"/>
  </r>
  <r>
    <x v="96"/>
    <n v="38993"/>
    <x v="3"/>
  </r>
  <r>
    <x v="96"/>
    <n v="107284"/>
    <x v="0"/>
  </r>
  <r>
    <x v="97"/>
    <n v="43005"/>
    <x v="2"/>
  </r>
  <r>
    <x v="97"/>
    <n v="39751"/>
    <x v="3"/>
  </r>
  <r>
    <x v="97"/>
    <n v="117221"/>
    <x v="0"/>
  </r>
  <r>
    <x v="98"/>
    <n v="47434"/>
    <x v="2"/>
  </r>
  <r>
    <x v="98"/>
    <n v="43204"/>
    <x v="3"/>
  </r>
  <r>
    <x v="98"/>
    <n v="119902"/>
    <x v="0"/>
  </r>
  <r>
    <x v="99"/>
    <n v="41186"/>
    <x v="2"/>
  </r>
  <r>
    <x v="99"/>
    <n v="43907"/>
    <x v="3"/>
  </r>
  <r>
    <x v="99"/>
    <n v="122971"/>
    <x v="0"/>
  </r>
  <r>
    <x v="100"/>
    <n v="31293"/>
    <x v="2"/>
  </r>
  <r>
    <x v="100"/>
    <n v="43909"/>
    <x v="3"/>
  </r>
  <r>
    <x v="100"/>
    <n v="126258"/>
    <x v="0"/>
  </r>
  <r>
    <x v="101"/>
    <n v="27425"/>
    <x v="2"/>
  </r>
  <r>
    <x v="101"/>
    <n v="40410"/>
    <x v="3"/>
  </r>
  <r>
    <x v="101"/>
    <n v="124050"/>
    <x v="0"/>
  </r>
  <r>
    <x v="102"/>
    <n v="33701"/>
    <x v="2"/>
  </r>
  <r>
    <x v="102"/>
    <n v="36908"/>
    <x v="3"/>
  </r>
  <r>
    <x v="102"/>
    <n v="139014"/>
    <x v="0"/>
  </r>
  <r>
    <x v="103"/>
    <n v="28315"/>
    <x v="2"/>
  </r>
  <r>
    <x v="103"/>
    <n v="31392"/>
    <x v="3"/>
  </r>
  <r>
    <x v="103"/>
    <n v="123743"/>
    <x v="0"/>
  </r>
  <r>
    <x v="104"/>
    <n v="19469"/>
    <x v="2"/>
  </r>
  <r>
    <x v="104"/>
    <n v="28178"/>
    <x v="3"/>
  </r>
  <r>
    <x v="104"/>
    <n v="110555"/>
    <x v="0"/>
  </r>
  <r>
    <x v="105"/>
    <n v="11892"/>
    <x v="2"/>
  </r>
  <r>
    <x v="105"/>
    <n v="21968"/>
    <x v="3"/>
  </r>
  <r>
    <x v="105"/>
    <n v="91905"/>
    <x v="0"/>
  </r>
  <r>
    <x v="106"/>
    <n v="8042"/>
    <x v="2"/>
  </r>
  <r>
    <x v="106"/>
    <n v="16212"/>
    <x v="3"/>
  </r>
  <r>
    <x v="106"/>
    <n v="74813"/>
    <x v="0"/>
  </r>
  <r>
    <x v="107"/>
    <n v="8266"/>
    <x v="2"/>
  </r>
  <r>
    <x v="107"/>
    <n v="14456"/>
    <x v="3"/>
  </r>
  <r>
    <x v="107"/>
    <n v="76208"/>
    <x v="0"/>
  </r>
  <r>
    <x v="108"/>
    <n v="9988"/>
    <x v="2"/>
  </r>
  <r>
    <x v="108"/>
    <n v="12652"/>
    <x v="3"/>
  </r>
  <r>
    <x v="108"/>
    <n v="74107"/>
    <x v="0"/>
  </r>
  <r>
    <x v="109"/>
    <n v="9968"/>
    <x v="2"/>
  </r>
  <r>
    <x v="109"/>
    <n v="12421"/>
    <x v="3"/>
  </r>
  <r>
    <x v="109"/>
    <n v="76683"/>
    <x v="0"/>
  </r>
  <r>
    <x v="110"/>
    <n v="6731"/>
    <x v="2"/>
  </r>
  <r>
    <x v="110"/>
    <n v="10411"/>
    <x v="3"/>
  </r>
  <r>
    <x v="110"/>
    <n v="6"/>
    <x v="4"/>
  </r>
  <r>
    <x v="110"/>
    <n v="53604"/>
    <x v="0"/>
  </r>
  <r>
    <x v="111"/>
    <n v="14732"/>
    <x v="4"/>
  </r>
  <r>
    <x v="111"/>
    <n v="53677"/>
    <x v="0"/>
  </r>
  <r>
    <x v="112"/>
    <n v="16975"/>
    <x v="4"/>
  </r>
  <r>
    <x v="112"/>
    <n v="69517"/>
    <x v="0"/>
  </r>
  <r>
    <x v="113"/>
    <n v="16247"/>
    <x v="4"/>
  </r>
  <r>
    <x v="113"/>
    <n v="72708"/>
    <x v="0"/>
  </r>
  <r>
    <x v="114"/>
    <n v="14795"/>
    <x v="4"/>
  </r>
  <r>
    <x v="114"/>
    <n v="78474"/>
    <x v="0"/>
  </r>
  <r>
    <x v="115"/>
    <n v="17303"/>
    <x v="4"/>
  </r>
  <r>
    <x v="115"/>
    <n v="91560"/>
    <x v="0"/>
  </r>
  <r>
    <x v="116"/>
    <n v="17845"/>
    <x v="4"/>
  </r>
  <r>
    <x v="116"/>
    <n v="93456"/>
    <x v="0"/>
  </r>
  <r>
    <x v="117"/>
    <n v="18082"/>
    <x v="4"/>
  </r>
  <r>
    <x v="117"/>
    <n v="90124"/>
    <x v="0"/>
  </r>
  <r>
    <x v="118"/>
    <n v="19144"/>
    <x v="4"/>
  </r>
  <r>
    <x v="118"/>
    <n v="85481"/>
    <x v="0"/>
  </r>
  <r>
    <x v="119"/>
    <n v="19529"/>
    <x v="4"/>
  </r>
  <r>
    <x v="119"/>
    <n v="79805"/>
    <x v="0"/>
  </r>
  <r>
    <x v="120"/>
    <n v="22919"/>
    <x v="4"/>
  </r>
  <r>
    <x v="120"/>
    <n v="73815"/>
    <x v="0"/>
  </r>
  <r>
    <x v="121"/>
    <n v="22297"/>
    <x v="4"/>
  </r>
  <r>
    <x v="121"/>
    <n v="77853"/>
    <x v="0"/>
  </r>
  <r>
    <x v="122"/>
    <n v="25518"/>
    <x v="4"/>
  </r>
  <r>
    <x v="122"/>
    <n v="66551"/>
    <x v="0"/>
  </r>
  <r>
    <x v="123"/>
    <n v="79384"/>
    <x v="0"/>
  </r>
  <r>
    <x v="123"/>
    <n v="36949"/>
    <x v="4"/>
  </r>
  <r>
    <x v="124"/>
    <n v="108047"/>
    <x v="0"/>
  </r>
  <r>
    <x v="124"/>
    <n v="41559"/>
    <x v="4"/>
  </r>
  <r>
    <x v="125"/>
    <n v="32104"/>
    <x v="4"/>
  </r>
  <r>
    <x v="125"/>
    <n v="106375"/>
    <x v="0"/>
  </r>
  <r>
    <x v="126"/>
    <n v="104371"/>
    <x v="0"/>
  </r>
  <r>
    <x v="126"/>
    <n v="27611"/>
    <x v="4"/>
  </r>
  <r>
    <x v="127"/>
    <n v="108316"/>
    <x v="0"/>
  </r>
  <r>
    <x v="127"/>
    <n v="22441"/>
    <x v="4"/>
  </r>
  <r>
    <x v="128"/>
    <n v="103703"/>
    <x v="0"/>
  </r>
  <r>
    <x v="128"/>
    <n v="18079"/>
    <x v="4"/>
  </r>
  <r>
    <x v="129"/>
    <n v="17283"/>
    <x v="4"/>
  </r>
  <r>
    <x v="129"/>
    <n v="98950"/>
    <x v="0"/>
  </r>
  <r>
    <x v="130"/>
    <n v="96289"/>
    <x v="0"/>
  </r>
  <r>
    <x v="130"/>
    <n v="18429"/>
    <x v="4"/>
  </r>
  <r>
    <x v="131"/>
    <n v="19457"/>
    <x v="4"/>
  </r>
  <r>
    <x v="131"/>
    <n v="91881"/>
    <x v="0"/>
  </r>
  <r>
    <x v="132"/>
    <n v="72646"/>
    <x v="0"/>
  </r>
  <r>
    <x v="132"/>
    <n v="16961"/>
    <x v="4"/>
  </r>
  <r>
    <x v="133"/>
    <n v="10098"/>
    <x v="4"/>
  </r>
  <r>
    <x v="133"/>
    <n v="49433"/>
    <x v="0"/>
  </r>
  <r>
    <x v="134"/>
    <n v="2050"/>
    <x v="0"/>
  </r>
  <r>
    <x v="134"/>
    <n v="714"/>
    <x v="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512">
  <r>
    <x v="0"/>
    <n v="1679"/>
    <x v="0"/>
  </r>
  <r>
    <x v="0"/>
    <n v="1468"/>
    <x v="1"/>
  </r>
  <r>
    <x v="0"/>
    <n v="237"/>
    <x v="2"/>
  </r>
  <r>
    <x v="1"/>
    <n v="111"/>
    <x v="2"/>
  </r>
  <r>
    <x v="1"/>
    <n v="1664"/>
    <x v="0"/>
  </r>
  <r>
    <x v="1"/>
    <n v="1212"/>
    <x v="1"/>
  </r>
  <r>
    <x v="2"/>
    <n v="1046"/>
    <x v="1"/>
  </r>
  <r>
    <x v="2"/>
    <n v="3"/>
    <x v="3"/>
  </r>
  <r>
    <x v="2"/>
    <n v="84"/>
    <x v="2"/>
  </r>
  <r>
    <x v="2"/>
    <n v="1361"/>
    <x v="0"/>
  </r>
  <r>
    <x v="3"/>
    <n v="1"/>
    <x v="3"/>
  </r>
  <r>
    <x v="3"/>
    <n v="87"/>
    <x v="2"/>
  </r>
  <r>
    <x v="3"/>
    <n v="1349"/>
    <x v="0"/>
  </r>
  <r>
    <x v="3"/>
    <n v="1159"/>
    <x v="1"/>
  </r>
  <r>
    <x v="4"/>
    <n v="1741"/>
    <x v="1"/>
  </r>
  <r>
    <x v="4"/>
    <n v="1768"/>
    <x v="0"/>
  </r>
  <r>
    <x v="4"/>
    <n v="98"/>
    <x v="2"/>
  </r>
  <r>
    <x v="4"/>
    <n v="1"/>
    <x v="3"/>
  </r>
  <r>
    <x v="5"/>
    <n v="1526"/>
    <x v="1"/>
  </r>
  <r>
    <x v="5"/>
    <n v="2005"/>
    <x v="0"/>
  </r>
  <r>
    <x v="5"/>
    <n v="119"/>
    <x v="2"/>
  </r>
  <r>
    <x v="5"/>
    <n v="1"/>
    <x v="3"/>
  </r>
  <r>
    <x v="6"/>
    <n v="1724"/>
    <x v="1"/>
  </r>
  <r>
    <x v="6"/>
    <n v="2592"/>
    <x v="0"/>
  </r>
  <r>
    <x v="6"/>
    <n v="130"/>
    <x v="2"/>
  </r>
  <r>
    <x v="7"/>
    <n v="2076"/>
    <x v="1"/>
  </r>
  <r>
    <x v="7"/>
    <n v="3068"/>
    <x v="0"/>
  </r>
  <r>
    <x v="7"/>
    <n v="133"/>
    <x v="2"/>
  </r>
  <r>
    <x v="7"/>
    <n v="1"/>
    <x v="3"/>
  </r>
  <r>
    <x v="8"/>
    <n v="3135"/>
    <x v="1"/>
  </r>
  <r>
    <x v="8"/>
    <n v="3502"/>
    <x v="0"/>
  </r>
  <r>
    <x v="8"/>
    <n v="145"/>
    <x v="2"/>
  </r>
  <r>
    <x v="8"/>
    <n v="1"/>
    <x v="3"/>
  </r>
  <r>
    <x v="9"/>
    <n v="5315"/>
    <x v="1"/>
  </r>
  <r>
    <x v="9"/>
    <n v="5946"/>
    <x v="0"/>
  </r>
  <r>
    <x v="9"/>
    <n v="230"/>
    <x v="2"/>
  </r>
  <r>
    <x v="10"/>
    <n v="12205"/>
    <x v="1"/>
  </r>
  <r>
    <x v="10"/>
    <n v="10686"/>
    <x v="0"/>
  </r>
  <r>
    <x v="10"/>
    <n v="445"/>
    <x v="2"/>
  </r>
  <r>
    <x v="11"/>
    <n v="47368"/>
    <x v="1"/>
  </r>
  <r>
    <x v="11"/>
    <n v="35733"/>
    <x v="0"/>
  </r>
  <r>
    <x v="11"/>
    <n v="1387"/>
    <x v="2"/>
  </r>
  <r>
    <x v="11"/>
    <n v="1"/>
    <x v="3"/>
  </r>
  <r>
    <x v="12"/>
    <n v="77716"/>
    <x v="1"/>
  </r>
  <r>
    <x v="12"/>
    <n v="63201"/>
    <x v="0"/>
  </r>
  <r>
    <x v="12"/>
    <n v="2295"/>
    <x v="2"/>
  </r>
  <r>
    <x v="12"/>
    <n v="1"/>
    <x v="3"/>
  </r>
  <r>
    <x v="13"/>
    <n v="68679"/>
    <x v="1"/>
  </r>
  <r>
    <x v="13"/>
    <n v="61981"/>
    <x v="0"/>
  </r>
  <r>
    <x v="13"/>
    <n v="2065"/>
    <x v="2"/>
  </r>
  <r>
    <x v="13"/>
    <n v="2"/>
    <x v="3"/>
  </r>
  <r>
    <x v="14"/>
    <n v="60942"/>
    <x v="1"/>
  </r>
  <r>
    <x v="14"/>
    <n v="47293"/>
    <x v="0"/>
  </r>
  <r>
    <x v="14"/>
    <n v="1822"/>
    <x v="2"/>
  </r>
  <r>
    <x v="15"/>
    <n v="67601"/>
    <x v="1"/>
  </r>
  <r>
    <x v="15"/>
    <n v="52939"/>
    <x v="0"/>
  </r>
  <r>
    <x v="15"/>
    <n v="1770"/>
    <x v="2"/>
  </r>
  <r>
    <x v="16"/>
    <n v="70741"/>
    <x v="1"/>
  </r>
  <r>
    <x v="16"/>
    <n v="65517"/>
    <x v="0"/>
  </r>
  <r>
    <x v="16"/>
    <n v="1798"/>
    <x v="2"/>
  </r>
  <r>
    <x v="16"/>
    <n v="3"/>
    <x v="3"/>
  </r>
  <r>
    <x v="17"/>
    <n v="60779"/>
    <x v="1"/>
  </r>
  <r>
    <x v="17"/>
    <n v="66064"/>
    <x v="0"/>
  </r>
  <r>
    <x v="17"/>
    <n v="1716"/>
    <x v="2"/>
  </r>
  <r>
    <x v="17"/>
    <n v="5"/>
    <x v="3"/>
  </r>
  <r>
    <x v="18"/>
    <n v="59444"/>
    <x v="1"/>
  </r>
  <r>
    <x v="18"/>
    <n v="77907"/>
    <x v="0"/>
  </r>
  <r>
    <x v="18"/>
    <n v="1721"/>
    <x v="2"/>
  </r>
  <r>
    <x v="19"/>
    <n v="55523"/>
    <x v="1"/>
  </r>
  <r>
    <x v="19"/>
    <n v="89759"/>
    <x v="0"/>
  </r>
  <r>
    <x v="19"/>
    <n v="1634"/>
    <x v="2"/>
  </r>
  <r>
    <x v="19"/>
    <n v="1"/>
    <x v="3"/>
  </r>
  <r>
    <x v="20"/>
    <n v="51118"/>
    <x v="1"/>
  </r>
  <r>
    <x v="20"/>
    <n v="79978"/>
    <x v="0"/>
  </r>
  <r>
    <x v="20"/>
    <n v="1463"/>
    <x v="2"/>
  </r>
  <r>
    <x v="20"/>
    <n v="3"/>
    <x v="3"/>
  </r>
  <r>
    <x v="21"/>
    <n v="55523"/>
    <x v="1"/>
  </r>
  <r>
    <x v="21"/>
    <n v="78978"/>
    <x v="0"/>
  </r>
  <r>
    <x v="21"/>
    <n v="1491"/>
    <x v="2"/>
  </r>
  <r>
    <x v="21"/>
    <n v="1"/>
    <x v="3"/>
  </r>
  <r>
    <x v="22"/>
    <n v="59251"/>
    <x v="1"/>
  </r>
  <r>
    <x v="22"/>
    <n v="69122"/>
    <x v="0"/>
  </r>
  <r>
    <x v="22"/>
    <n v="1415"/>
    <x v="2"/>
  </r>
  <r>
    <x v="22"/>
    <n v="2"/>
    <x v="3"/>
  </r>
  <r>
    <x v="23"/>
    <n v="77873"/>
    <x v="1"/>
  </r>
  <r>
    <x v="23"/>
    <n v="70005"/>
    <x v="0"/>
  </r>
  <r>
    <x v="23"/>
    <n v="1652"/>
    <x v="2"/>
  </r>
  <r>
    <x v="23"/>
    <n v="6"/>
    <x v="3"/>
  </r>
  <r>
    <x v="24"/>
    <n v="71626"/>
    <x v="1"/>
  </r>
  <r>
    <x v="24"/>
    <n v="64994"/>
    <x v="0"/>
  </r>
  <r>
    <x v="24"/>
    <n v="1465"/>
    <x v="2"/>
  </r>
  <r>
    <x v="24"/>
    <n v="5"/>
    <x v="3"/>
  </r>
  <r>
    <x v="25"/>
    <n v="82774"/>
    <x v="1"/>
  </r>
  <r>
    <x v="25"/>
    <n v="61892"/>
    <x v="0"/>
  </r>
  <r>
    <x v="25"/>
    <n v="1437"/>
    <x v="2"/>
  </r>
  <r>
    <x v="25"/>
    <n v="2"/>
    <x v="3"/>
  </r>
  <r>
    <x v="26"/>
    <n v="79678"/>
    <x v="1"/>
  </r>
  <r>
    <x v="26"/>
    <n v="51462"/>
    <x v="0"/>
  </r>
  <r>
    <x v="26"/>
    <n v="1409"/>
    <x v="2"/>
  </r>
  <r>
    <x v="26"/>
    <n v="6"/>
    <x v="3"/>
  </r>
  <r>
    <x v="27"/>
    <n v="73942"/>
    <x v="1"/>
  </r>
  <r>
    <x v="27"/>
    <n v="61679"/>
    <x v="0"/>
  </r>
  <r>
    <x v="27"/>
    <n v="1286"/>
    <x v="2"/>
  </r>
  <r>
    <x v="27"/>
    <n v="6"/>
    <x v="3"/>
  </r>
  <r>
    <x v="28"/>
    <n v="93388"/>
    <x v="1"/>
  </r>
  <r>
    <x v="28"/>
    <n v="82047"/>
    <x v="0"/>
  </r>
  <r>
    <x v="28"/>
    <n v="1594"/>
    <x v="2"/>
  </r>
  <r>
    <x v="28"/>
    <n v="5"/>
    <x v="3"/>
  </r>
  <r>
    <x v="29"/>
    <n v="97722"/>
    <x v="1"/>
  </r>
  <r>
    <x v="29"/>
    <n v="87754"/>
    <x v="0"/>
  </r>
  <r>
    <x v="29"/>
    <n v="1586"/>
    <x v="2"/>
  </r>
  <r>
    <x v="29"/>
    <n v="8"/>
    <x v="3"/>
  </r>
  <r>
    <x v="30"/>
    <n v="88975"/>
    <x v="1"/>
  </r>
  <r>
    <x v="30"/>
    <n v="95582"/>
    <x v="0"/>
  </r>
  <r>
    <x v="30"/>
    <n v="1610"/>
    <x v="2"/>
  </r>
  <r>
    <x v="30"/>
    <n v="2"/>
    <x v="3"/>
  </r>
  <r>
    <x v="31"/>
    <n v="71782"/>
    <x v="1"/>
  </r>
  <r>
    <x v="31"/>
    <n v="96673"/>
    <x v="0"/>
  </r>
  <r>
    <x v="31"/>
    <n v="1480"/>
    <x v="2"/>
  </r>
  <r>
    <x v="31"/>
    <n v="1"/>
    <x v="3"/>
  </r>
  <r>
    <x v="32"/>
    <n v="62713"/>
    <x v="1"/>
  </r>
  <r>
    <x v="32"/>
    <n v="93076"/>
    <x v="0"/>
  </r>
  <r>
    <x v="32"/>
    <n v="1553"/>
    <x v="2"/>
  </r>
  <r>
    <x v="32"/>
    <n v="3"/>
    <x v="3"/>
  </r>
  <r>
    <x v="33"/>
    <n v="58706"/>
    <x v="1"/>
  </r>
  <r>
    <x v="33"/>
    <n v="89900"/>
    <x v="0"/>
  </r>
  <r>
    <x v="33"/>
    <n v="1532"/>
    <x v="2"/>
  </r>
  <r>
    <x v="33"/>
    <n v="4"/>
    <x v="3"/>
  </r>
  <r>
    <x v="34"/>
    <n v="62425"/>
    <x v="1"/>
  </r>
  <r>
    <x v="34"/>
    <n v="75591"/>
    <x v="0"/>
  </r>
  <r>
    <x v="34"/>
    <n v="1645"/>
    <x v="2"/>
  </r>
  <r>
    <x v="34"/>
    <n v="3"/>
    <x v="3"/>
  </r>
  <r>
    <x v="35"/>
    <n v="74713"/>
    <x v="1"/>
  </r>
  <r>
    <x v="35"/>
    <n v="71078"/>
    <x v="0"/>
  </r>
  <r>
    <x v="35"/>
    <n v="1747"/>
    <x v="2"/>
  </r>
  <r>
    <x v="35"/>
    <n v="7"/>
    <x v="3"/>
  </r>
  <r>
    <x v="36"/>
    <n v="64521"/>
    <x v="1"/>
  </r>
  <r>
    <x v="36"/>
    <n v="61423"/>
    <x v="0"/>
  </r>
  <r>
    <x v="36"/>
    <n v="1342"/>
    <x v="2"/>
  </r>
  <r>
    <x v="36"/>
    <n v="7"/>
    <x v="3"/>
  </r>
  <r>
    <x v="37"/>
    <n v="84864"/>
    <x v="1"/>
  </r>
  <r>
    <x v="37"/>
    <n v="60885"/>
    <x v="0"/>
  </r>
  <r>
    <x v="37"/>
    <n v="1534"/>
    <x v="2"/>
  </r>
  <r>
    <x v="37"/>
    <n v="13"/>
    <x v="3"/>
  </r>
  <r>
    <x v="38"/>
    <n v="85516"/>
    <x v="1"/>
  </r>
  <r>
    <x v="38"/>
    <n v="46033"/>
    <x v="0"/>
  </r>
  <r>
    <x v="38"/>
    <n v="1300"/>
    <x v="2"/>
  </r>
  <r>
    <x v="38"/>
    <n v="15"/>
    <x v="3"/>
  </r>
  <r>
    <x v="39"/>
    <n v="149351"/>
    <x v="1"/>
  </r>
  <r>
    <x v="39"/>
    <n v="50715"/>
    <x v="0"/>
  </r>
  <r>
    <x v="39"/>
    <n v="1805"/>
    <x v="2"/>
  </r>
  <r>
    <x v="39"/>
    <n v="10"/>
    <x v="3"/>
  </r>
  <r>
    <x v="40"/>
    <n v="120970"/>
    <x v="1"/>
  </r>
  <r>
    <x v="40"/>
    <n v="59260"/>
    <x v="0"/>
  </r>
  <r>
    <x v="40"/>
    <n v="1564"/>
    <x v="2"/>
  </r>
  <r>
    <x v="40"/>
    <n v="13"/>
    <x v="3"/>
  </r>
  <r>
    <x v="41"/>
    <n v="112349"/>
    <x v="1"/>
  </r>
  <r>
    <x v="41"/>
    <n v="56979"/>
    <x v="0"/>
  </r>
  <r>
    <x v="41"/>
    <n v="1309"/>
    <x v="2"/>
  </r>
  <r>
    <x v="41"/>
    <n v="17"/>
    <x v="3"/>
  </r>
  <r>
    <x v="42"/>
    <n v="71908"/>
    <x v="1"/>
  </r>
  <r>
    <x v="42"/>
    <n v="55862"/>
    <x v="0"/>
  </r>
  <r>
    <x v="42"/>
    <n v="811"/>
    <x v="2"/>
  </r>
  <r>
    <x v="42"/>
    <n v="41"/>
    <x v="3"/>
  </r>
  <r>
    <x v="43"/>
    <n v="55871"/>
    <x v="1"/>
  </r>
  <r>
    <x v="43"/>
    <n v="60469"/>
    <x v="0"/>
  </r>
  <r>
    <x v="43"/>
    <n v="631"/>
    <x v="2"/>
  </r>
  <r>
    <x v="43"/>
    <n v="122"/>
    <x v="3"/>
  </r>
  <r>
    <x v="44"/>
    <n v="37258"/>
    <x v="1"/>
  </r>
  <r>
    <x v="44"/>
    <n v="51835"/>
    <x v="0"/>
  </r>
  <r>
    <x v="44"/>
    <n v="399"/>
    <x v="2"/>
  </r>
  <r>
    <x v="44"/>
    <n v="89"/>
    <x v="3"/>
  </r>
  <r>
    <x v="45"/>
    <n v="25239"/>
    <x v="1"/>
  </r>
  <r>
    <x v="45"/>
    <n v="36240"/>
    <x v="0"/>
  </r>
  <r>
    <x v="45"/>
    <n v="287"/>
    <x v="2"/>
  </r>
  <r>
    <x v="45"/>
    <n v="100"/>
    <x v="3"/>
  </r>
  <r>
    <x v="46"/>
    <n v="31011"/>
    <x v="1"/>
  </r>
  <r>
    <x v="46"/>
    <n v="38876"/>
    <x v="0"/>
  </r>
  <r>
    <x v="46"/>
    <n v="320"/>
    <x v="2"/>
  </r>
  <r>
    <x v="46"/>
    <n v="319"/>
    <x v="3"/>
  </r>
  <r>
    <x v="47"/>
    <n v="40193"/>
    <x v="1"/>
  </r>
  <r>
    <x v="47"/>
    <n v="35887"/>
    <x v="0"/>
  </r>
  <r>
    <x v="47"/>
    <n v="501"/>
    <x v="2"/>
  </r>
  <r>
    <x v="47"/>
    <n v="441"/>
    <x v="3"/>
  </r>
  <r>
    <x v="48"/>
    <n v="20647"/>
    <x v="1"/>
  </r>
  <r>
    <x v="48"/>
    <n v="24614"/>
    <x v="0"/>
  </r>
  <r>
    <x v="48"/>
    <n v="255"/>
    <x v="2"/>
  </r>
  <r>
    <x v="48"/>
    <n v="593"/>
    <x v="3"/>
  </r>
  <r>
    <x v="49"/>
    <n v="60390"/>
    <x v="1"/>
  </r>
  <r>
    <x v="49"/>
    <n v="33352"/>
    <x v="0"/>
  </r>
  <r>
    <x v="49"/>
    <n v="859"/>
    <x v="2"/>
  </r>
  <r>
    <x v="49"/>
    <n v="617"/>
    <x v="3"/>
  </r>
  <r>
    <x v="50"/>
    <n v="142551"/>
    <x v="1"/>
  </r>
  <r>
    <x v="50"/>
    <n v="21058"/>
    <x v="0"/>
  </r>
  <r>
    <x v="50"/>
    <n v="2080"/>
    <x v="2"/>
  </r>
  <r>
    <x v="50"/>
    <n v="691"/>
    <x v="3"/>
  </r>
  <r>
    <x v="51"/>
    <n v="195296"/>
    <x v="1"/>
  </r>
  <r>
    <x v="51"/>
    <n v="23754"/>
    <x v="0"/>
  </r>
  <r>
    <x v="51"/>
    <n v="2392"/>
    <x v="2"/>
  </r>
  <r>
    <x v="51"/>
    <n v="673"/>
    <x v="3"/>
  </r>
  <r>
    <x v="52"/>
    <n v="206057"/>
    <x v="1"/>
  </r>
  <r>
    <x v="52"/>
    <n v="33872"/>
    <x v="0"/>
  </r>
  <r>
    <x v="52"/>
    <n v="2486"/>
    <x v="2"/>
  </r>
  <r>
    <x v="52"/>
    <n v="312"/>
    <x v="3"/>
  </r>
  <r>
    <x v="53"/>
    <n v="195331"/>
    <x v="1"/>
  </r>
  <r>
    <x v="53"/>
    <n v="32396"/>
    <x v="0"/>
  </r>
  <r>
    <x v="53"/>
    <n v="5241"/>
    <x v="2"/>
  </r>
  <r>
    <x v="53"/>
    <n v="275"/>
    <x v="3"/>
  </r>
  <r>
    <x v="54"/>
    <n v="199887"/>
    <x v="1"/>
  </r>
  <r>
    <x v="54"/>
    <n v="36015"/>
    <x v="0"/>
  </r>
  <r>
    <x v="54"/>
    <n v="10999"/>
    <x v="2"/>
  </r>
  <r>
    <x v="54"/>
    <n v="185"/>
    <x v="3"/>
  </r>
  <r>
    <x v="55"/>
    <n v="177436"/>
    <x v="1"/>
  </r>
  <r>
    <x v="55"/>
    <n v="46717"/>
    <x v="0"/>
  </r>
  <r>
    <x v="55"/>
    <n v="17240"/>
    <x v="2"/>
  </r>
  <r>
    <x v="55"/>
    <n v="221"/>
    <x v="3"/>
  </r>
  <r>
    <x v="56"/>
    <n v="126848"/>
    <x v="1"/>
  </r>
  <r>
    <x v="56"/>
    <n v="52113"/>
    <x v="0"/>
  </r>
  <r>
    <x v="56"/>
    <n v="15625"/>
    <x v="2"/>
  </r>
  <r>
    <x v="56"/>
    <n v="261"/>
    <x v="3"/>
  </r>
  <r>
    <x v="57"/>
    <n v="80269"/>
    <x v="1"/>
  </r>
  <r>
    <x v="57"/>
    <n v="42940"/>
    <x v="0"/>
  </r>
  <r>
    <x v="57"/>
    <n v="10307"/>
    <x v="2"/>
  </r>
  <r>
    <x v="57"/>
    <n v="292"/>
    <x v="3"/>
  </r>
  <r>
    <x v="58"/>
    <n v="70553"/>
    <x v="1"/>
  </r>
  <r>
    <x v="58"/>
    <n v="40333"/>
    <x v="0"/>
  </r>
  <r>
    <x v="58"/>
    <n v="7916"/>
    <x v="2"/>
  </r>
  <r>
    <x v="58"/>
    <n v="272"/>
    <x v="3"/>
  </r>
  <r>
    <x v="59"/>
    <n v="87853"/>
    <x v="1"/>
  </r>
  <r>
    <x v="59"/>
    <n v="42529"/>
    <x v="0"/>
  </r>
  <r>
    <x v="59"/>
    <n v="10797"/>
    <x v="2"/>
  </r>
  <r>
    <x v="59"/>
    <n v="342"/>
    <x v="3"/>
  </r>
  <r>
    <x v="60"/>
    <n v="95694"/>
    <x v="1"/>
  </r>
  <r>
    <x v="60"/>
    <n v="39868"/>
    <x v="0"/>
  </r>
  <r>
    <x v="60"/>
    <n v="14023"/>
    <x v="2"/>
  </r>
  <r>
    <x v="60"/>
    <n v="386"/>
    <x v="3"/>
  </r>
  <r>
    <x v="61"/>
    <n v="104090"/>
    <x v="1"/>
  </r>
  <r>
    <x v="61"/>
    <n v="32990"/>
    <x v="0"/>
  </r>
  <r>
    <x v="61"/>
    <n v="16981"/>
    <x v="2"/>
  </r>
  <r>
    <x v="61"/>
    <n v="2940"/>
    <x v="3"/>
  </r>
  <r>
    <x v="62"/>
    <n v="92611"/>
    <x v="1"/>
  </r>
  <r>
    <x v="62"/>
    <n v="24007"/>
    <x v="0"/>
  </r>
  <r>
    <x v="62"/>
    <n v="15865"/>
    <x v="2"/>
  </r>
  <r>
    <x v="62"/>
    <n v="2600"/>
    <x v="3"/>
  </r>
  <r>
    <x v="63"/>
    <n v="70714"/>
    <x v="1"/>
  </r>
  <r>
    <x v="63"/>
    <n v="26517"/>
    <x v="0"/>
  </r>
  <r>
    <x v="63"/>
    <n v="12471"/>
    <x v="2"/>
  </r>
  <r>
    <x v="63"/>
    <n v="2471"/>
    <x v="3"/>
  </r>
  <r>
    <x v="64"/>
    <n v="78056"/>
    <x v="1"/>
  </r>
  <r>
    <x v="64"/>
    <n v="32725"/>
    <x v="0"/>
  </r>
  <r>
    <x v="64"/>
    <n v="15106"/>
    <x v="2"/>
  </r>
  <r>
    <x v="64"/>
    <n v="2720"/>
    <x v="3"/>
  </r>
  <r>
    <x v="65"/>
    <n v="69761"/>
    <x v="1"/>
  </r>
  <r>
    <x v="65"/>
    <n v="38338"/>
    <x v="0"/>
  </r>
  <r>
    <x v="65"/>
    <n v="13999"/>
    <x v="2"/>
  </r>
  <r>
    <x v="65"/>
    <n v="2552"/>
    <x v="3"/>
  </r>
  <r>
    <x v="66"/>
    <n v="59275"/>
    <x v="1"/>
  </r>
  <r>
    <x v="66"/>
    <n v="42298"/>
    <x v="0"/>
  </r>
  <r>
    <x v="66"/>
    <n v="10738"/>
    <x v="2"/>
  </r>
  <r>
    <x v="66"/>
    <n v="2120"/>
    <x v="3"/>
  </r>
  <r>
    <x v="67"/>
    <n v="72502"/>
    <x v="1"/>
  </r>
  <r>
    <x v="67"/>
    <n v="45035"/>
    <x v="0"/>
  </r>
  <r>
    <x v="67"/>
    <n v="13788"/>
    <x v="2"/>
  </r>
  <r>
    <x v="67"/>
    <n v="1051"/>
    <x v="3"/>
  </r>
  <r>
    <x v="68"/>
    <n v="94552"/>
    <x v="1"/>
  </r>
  <r>
    <x v="68"/>
    <n v="27440"/>
    <x v="0"/>
  </r>
  <r>
    <x v="68"/>
    <n v="17097"/>
    <x v="2"/>
  </r>
  <r>
    <x v="68"/>
    <n v="1371"/>
    <x v="3"/>
  </r>
  <r>
    <x v="69"/>
    <n v="127669"/>
    <x v="1"/>
  </r>
  <r>
    <x v="69"/>
    <n v="26600"/>
    <x v="0"/>
  </r>
  <r>
    <x v="69"/>
    <n v="19801"/>
    <x v="2"/>
  </r>
  <r>
    <x v="69"/>
    <n v="1268"/>
    <x v="3"/>
  </r>
  <r>
    <x v="70"/>
    <n v="144682"/>
    <x v="1"/>
  </r>
  <r>
    <x v="70"/>
    <n v="23710"/>
    <x v="0"/>
  </r>
  <r>
    <x v="70"/>
    <n v="21283"/>
    <x v="2"/>
  </r>
  <r>
    <x v="70"/>
    <n v="1059"/>
    <x v="3"/>
  </r>
  <r>
    <x v="71"/>
    <n v="159725"/>
    <x v="1"/>
  </r>
  <r>
    <x v="71"/>
    <n v="23134"/>
    <x v="0"/>
  </r>
  <r>
    <x v="71"/>
    <n v="23970"/>
    <x v="2"/>
  </r>
  <r>
    <x v="71"/>
    <n v="1211"/>
    <x v="3"/>
  </r>
  <r>
    <x v="72"/>
    <n v="151110"/>
    <x v="1"/>
  </r>
  <r>
    <x v="72"/>
    <n v="21811"/>
    <x v="0"/>
  </r>
  <r>
    <x v="72"/>
    <n v="26744"/>
    <x v="2"/>
  </r>
  <r>
    <x v="72"/>
    <n v="1228"/>
    <x v="3"/>
  </r>
  <r>
    <x v="73"/>
    <n v="132760"/>
    <x v="1"/>
  </r>
  <r>
    <x v="73"/>
    <n v="25761"/>
    <x v="0"/>
  </r>
  <r>
    <x v="73"/>
    <n v="25576"/>
    <x v="2"/>
  </r>
  <r>
    <x v="73"/>
    <n v="1581"/>
    <x v="3"/>
  </r>
  <r>
    <x v="74"/>
    <n v="102610"/>
    <x v="1"/>
  </r>
  <r>
    <x v="74"/>
    <n v="18886"/>
    <x v="0"/>
  </r>
  <r>
    <x v="74"/>
    <n v="23483"/>
    <x v="2"/>
  </r>
  <r>
    <x v="74"/>
    <n v="2324"/>
    <x v="3"/>
  </r>
  <r>
    <x v="75"/>
    <n v="64624"/>
    <x v="1"/>
  </r>
  <r>
    <x v="75"/>
    <n v="14760"/>
    <x v="0"/>
  </r>
  <r>
    <x v="75"/>
    <n v="17904"/>
    <x v="2"/>
  </r>
  <r>
    <x v="75"/>
    <n v="2513"/>
    <x v="3"/>
  </r>
  <r>
    <x v="76"/>
    <n v="56903"/>
    <x v="1"/>
  </r>
  <r>
    <x v="76"/>
    <n v="23441"/>
    <x v="0"/>
  </r>
  <r>
    <x v="76"/>
    <n v="13374"/>
    <x v="2"/>
  </r>
  <r>
    <x v="76"/>
    <n v="1851"/>
    <x v="3"/>
  </r>
  <r>
    <x v="77"/>
    <n v="48075"/>
    <x v="1"/>
  </r>
  <r>
    <x v="77"/>
    <n v="25937"/>
    <x v="0"/>
  </r>
  <r>
    <x v="77"/>
    <n v="12054"/>
    <x v="2"/>
  </r>
  <r>
    <x v="77"/>
    <n v="2143"/>
    <x v="3"/>
  </r>
  <r>
    <x v="78"/>
    <n v="40851"/>
    <x v="1"/>
  </r>
  <r>
    <x v="78"/>
    <n v="28385"/>
    <x v="0"/>
  </r>
  <r>
    <x v="78"/>
    <n v="10483"/>
    <x v="2"/>
  </r>
  <r>
    <x v="78"/>
    <n v="1799"/>
    <x v="3"/>
  </r>
  <r>
    <x v="79"/>
    <n v="51337"/>
    <x v="1"/>
  </r>
  <r>
    <x v="79"/>
    <n v="37390"/>
    <x v="0"/>
  </r>
  <r>
    <x v="79"/>
    <n v="11570"/>
    <x v="2"/>
  </r>
  <r>
    <x v="79"/>
    <n v="1754"/>
    <x v="3"/>
  </r>
  <r>
    <x v="80"/>
    <n v="57314"/>
    <x v="1"/>
  </r>
  <r>
    <x v="80"/>
    <n v="32968"/>
    <x v="0"/>
  </r>
  <r>
    <x v="80"/>
    <n v="12293"/>
    <x v="2"/>
  </r>
  <r>
    <x v="80"/>
    <n v="1447"/>
    <x v="3"/>
  </r>
  <r>
    <x v="81"/>
    <n v="63523"/>
    <x v="1"/>
  </r>
  <r>
    <x v="81"/>
    <n v="31907"/>
    <x v="0"/>
  </r>
  <r>
    <x v="81"/>
    <n v="13197"/>
    <x v="2"/>
  </r>
  <r>
    <x v="81"/>
    <n v="1266"/>
    <x v="3"/>
  </r>
  <r>
    <x v="82"/>
    <n v="100246"/>
    <x v="1"/>
  </r>
  <r>
    <x v="82"/>
    <n v="26269"/>
    <x v="0"/>
  </r>
  <r>
    <x v="82"/>
    <n v="15246"/>
    <x v="2"/>
  </r>
  <r>
    <x v="82"/>
    <n v="1278"/>
    <x v="3"/>
  </r>
  <r>
    <x v="83"/>
    <n v="110032"/>
    <x v="1"/>
  </r>
  <r>
    <x v="83"/>
    <n v="19185"/>
    <x v="0"/>
  </r>
  <r>
    <x v="83"/>
    <n v="17511"/>
    <x v="2"/>
  </r>
  <r>
    <x v="83"/>
    <n v="1272"/>
    <x v="3"/>
  </r>
  <r>
    <x v="84"/>
    <n v="103400"/>
    <x v="1"/>
  </r>
  <r>
    <x v="84"/>
    <n v="19041"/>
    <x v="0"/>
  </r>
  <r>
    <x v="84"/>
    <n v="17965"/>
    <x v="2"/>
  </r>
  <r>
    <x v="84"/>
    <n v="1117"/>
    <x v="3"/>
  </r>
  <r>
    <x v="85"/>
    <n v="101749"/>
    <x v="1"/>
  </r>
  <r>
    <x v="85"/>
    <n v="22374"/>
    <x v="0"/>
  </r>
  <r>
    <x v="85"/>
    <n v="17000"/>
    <x v="2"/>
  </r>
  <r>
    <x v="85"/>
    <n v="1010"/>
    <x v="3"/>
  </r>
  <r>
    <x v="86"/>
    <n v="91387"/>
    <x v="1"/>
  </r>
  <r>
    <x v="86"/>
    <n v="14175"/>
    <x v="0"/>
  </r>
  <r>
    <x v="86"/>
    <n v="21322"/>
    <x v="2"/>
  </r>
  <r>
    <x v="86"/>
    <n v="1024"/>
    <x v="3"/>
  </r>
  <r>
    <x v="87"/>
    <n v="94733"/>
    <x v="1"/>
  </r>
  <r>
    <x v="87"/>
    <n v="14570"/>
    <x v="0"/>
  </r>
  <r>
    <x v="87"/>
    <n v="31372"/>
    <x v="2"/>
  </r>
  <r>
    <x v="87"/>
    <n v="884"/>
    <x v="3"/>
  </r>
  <r>
    <x v="88"/>
    <n v="94954"/>
    <x v="1"/>
  </r>
  <r>
    <x v="88"/>
    <n v="19251"/>
    <x v="0"/>
  </r>
  <r>
    <x v="88"/>
    <n v="36518"/>
    <x v="2"/>
  </r>
  <r>
    <x v="88"/>
    <n v="908"/>
    <x v="3"/>
  </r>
  <r>
    <x v="89"/>
    <n v="81621"/>
    <x v="1"/>
  </r>
  <r>
    <x v="89"/>
    <n v="28239"/>
    <x v="0"/>
  </r>
  <r>
    <x v="89"/>
    <n v="42915"/>
    <x v="2"/>
  </r>
  <r>
    <x v="89"/>
    <n v="1290"/>
    <x v="3"/>
  </r>
  <r>
    <x v="90"/>
    <n v="75842"/>
    <x v="1"/>
  </r>
  <r>
    <x v="90"/>
    <n v="34940"/>
    <x v="0"/>
  </r>
  <r>
    <x v="90"/>
    <n v="45971"/>
    <x v="2"/>
  </r>
  <r>
    <x v="90"/>
    <n v="1483"/>
    <x v="3"/>
  </r>
  <r>
    <x v="91"/>
    <n v="76995"/>
    <x v="1"/>
  </r>
  <r>
    <x v="91"/>
    <n v="34898"/>
    <x v="0"/>
  </r>
  <r>
    <x v="91"/>
    <n v="43691"/>
    <x v="2"/>
  </r>
  <r>
    <x v="91"/>
    <n v="1340"/>
    <x v="3"/>
  </r>
  <r>
    <x v="92"/>
    <n v="92921"/>
    <x v="1"/>
  </r>
  <r>
    <x v="92"/>
    <n v="36014"/>
    <x v="0"/>
  </r>
  <r>
    <x v="92"/>
    <n v="40793"/>
    <x v="2"/>
  </r>
  <r>
    <x v="92"/>
    <n v="1549"/>
    <x v="3"/>
  </r>
  <r>
    <x v="93"/>
    <n v="115744"/>
    <x v="1"/>
  </r>
  <r>
    <x v="93"/>
    <n v="37344"/>
    <x v="0"/>
  </r>
  <r>
    <x v="93"/>
    <n v="40118"/>
    <x v="2"/>
  </r>
  <r>
    <x v="93"/>
    <n v="1312"/>
    <x v="3"/>
  </r>
  <r>
    <x v="94"/>
    <n v="132925"/>
    <x v="1"/>
  </r>
  <r>
    <x v="94"/>
    <n v="37205"/>
    <x v="0"/>
  </r>
  <r>
    <x v="94"/>
    <n v="35669"/>
    <x v="2"/>
  </r>
  <r>
    <x v="94"/>
    <n v="1463"/>
    <x v="3"/>
  </r>
  <r>
    <x v="95"/>
    <n v="135602"/>
    <x v="1"/>
  </r>
  <r>
    <x v="95"/>
    <n v="36076"/>
    <x v="0"/>
  </r>
  <r>
    <x v="95"/>
    <n v="41177"/>
    <x v="2"/>
  </r>
  <r>
    <x v="95"/>
    <n v="1369"/>
    <x v="3"/>
  </r>
  <r>
    <x v="96"/>
    <n v="120174"/>
    <x v="1"/>
  </r>
  <r>
    <x v="96"/>
    <n v="28776"/>
    <x v="0"/>
  </r>
  <r>
    <x v="96"/>
    <n v="34074"/>
    <x v="2"/>
  </r>
  <r>
    <x v="96"/>
    <n v="1511"/>
    <x v="3"/>
  </r>
  <r>
    <x v="97"/>
    <n v="132741"/>
    <x v="1"/>
  </r>
  <r>
    <x v="97"/>
    <n v="31148"/>
    <x v="0"/>
  </r>
  <r>
    <x v="97"/>
    <n v="34581"/>
    <x v="2"/>
  </r>
  <r>
    <x v="97"/>
    <n v="1507"/>
    <x v="3"/>
  </r>
  <r>
    <x v="98"/>
    <n v="143863"/>
    <x v="1"/>
  </r>
  <r>
    <x v="98"/>
    <n v="27996"/>
    <x v="0"/>
  </r>
  <r>
    <x v="98"/>
    <n v="37309"/>
    <x v="2"/>
  </r>
  <r>
    <x v="98"/>
    <n v="1372"/>
    <x v="3"/>
  </r>
  <r>
    <x v="99"/>
    <n v="135495"/>
    <x v="1"/>
  </r>
  <r>
    <x v="99"/>
    <n v="33128"/>
    <x v="0"/>
  </r>
  <r>
    <x v="99"/>
    <n v="38148"/>
    <x v="2"/>
  </r>
  <r>
    <x v="99"/>
    <n v="1293"/>
    <x v="3"/>
  </r>
  <r>
    <x v="100"/>
    <n v="124278"/>
    <x v="1"/>
  </r>
  <r>
    <x v="100"/>
    <n v="37230"/>
    <x v="0"/>
  </r>
  <r>
    <x v="100"/>
    <n v="38694"/>
    <x v="2"/>
  </r>
  <r>
    <x v="100"/>
    <n v="1258"/>
    <x v="3"/>
  </r>
  <r>
    <x v="101"/>
    <n v="114998"/>
    <x v="1"/>
  </r>
  <r>
    <x v="101"/>
    <n v="39661"/>
    <x v="0"/>
  </r>
  <r>
    <x v="101"/>
    <n v="36066"/>
    <x v="2"/>
  </r>
  <r>
    <x v="101"/>
    <n v="1160"/>
    <x v="3"/>
  </r>
  <r>
    <x v="102"/>
    <n v="123608"/>
    <x v="1"/>
  </r>
  <r>
    <x v="102"/>
    <n v="53155"/>
    <x v="0"/>
  </r>
  <r>
    <x v="102"/>
    <n v="32031"/>
    <x v="2"/>
  </r>
  <r>
    <x v="102"/>
    <n v="829"/>
    <x v="3"/>
  </r>
  <r>
    <x v="103"/>
    <n v="102442"/>
    <x v="1"/>
  </r>
  <r>
    <x v="103"/>
    <n v="52023"/>
    <x v="0"/>
  </r>
  <r>
    <x v="103"/>
    <n v="28050"/>
    <x v="2"/>
  </r>
  <r>
    <x v="103"/>
    <n v="935"/>
    <x v="3"/>
  </r>
  <r>
    <x v="104"/>
    <n v="81323"/>
    <x v="1"/>
  </r>
  <r>
    <x v="104"/>
    <n v="49315"/>
    <x v="0"/>
  </r>
  <r>
    <x v="104"/>
    <n v="26408"/>
    <x v="2"/>
  </r>
  <r>
    <x v="104"/>
    <n v="1156"/>
    <x v="3"/>
  </r>
  <r>
    <x v="105"/>
    <n v="57751"/>
    <x v="1"/>
  </r>
  <r>
    <x v="105"/>
    <n v="45803"/>
    <x v="0"/>
  </r>
  <r>
    <x v="105"/>
    <n v="21270"/>
    <x v="2"/>
  </r>
  <r>
    <x v="105"/>
    <n v="941"/>
    <x v="3"/>
  </r>
  <r>
    <x v="106"/>
    <n v="43790"/>
    <x v="1"/>
  </r>
  <r>
    <x v="106"/>
    <n v="38553"/>
    <x v="0"/>
  </r>
  <r>
    <x v="106"/>
    <n v="15568"/>
    <x v="2"/>
  </r>
  <r>
    <x v="106"/>
    <n v="1156"/>
    <x v="3"/>
  </r>
  <r>
    <x v="107"/>
    <n v="42219"/>
    <x v="1"/>
  </r>
  <r>
    <x v="107"/>
    <n v="42185"/>
    <x v="0"/>
  </r>
  <r>
    <x v="107"/>
    <n v="13435"/>
    <x v="2"/>
  </r>
  <r>
    <x v="107"/>
    <n v="1091"/>
    <x v="3"/>
  </r>
  <r>
    <x v="108"/>
    <n v="43339"/>
    <x v="1"/>
  </r>
  <r>
    <x v="108"/>
    <n v="41227"/>
    <x v="0"/>
  </r>
  <r>
    <x v="108"/>
    <n v="11391"/>
    <x v="2"/>
  </r>
  <r>
    <x v="108"/>
    <n v="790"/>
    <x v="3"/>
  </r>
  <r>
    <x v="109"/>
    <n v="43722"/>
    <x v="1"/>
  </r>
  <r>
    <x v="109"/>
    <n v="43545"/>
    <x v="0"/>
  </r>
  <r>
    <x v="109"/>
    <n v="11123"/>
    <x v="2"/>
  </r>
  <r>
    <x v="109"/>
    <n v="682"/>
    <x v="3"/>
  </r>
  <r>
    <x v="110"/>
    <n v="32064"/>
    <x v="1"/>
  </r>
  <r>
    <x v="110"/>
    <n v="28653"/>
    <x v="0"/>
  </r>
  <r>
    <x v="110"/>
    <n v="9232"/>
    <x v="2"/>
  </r>
  <r>
    <x v="110"/>
    <n v="803"/>
    <x v="3"/>
  </r>
  <r>
    <x v="111"/>
    <n v="28871"/>
    <x v="1"/>
  </r>
  <r>
    <x v="111"/>
    <n v="31223"/>
    <x v="0"/>
  </r>
  <r>
    <x v="111"/>
    <n v="7551"/>
    <x v="2"/>
  </r>
  <r>
    <x v="111"/>
    <n v="764"/>
    <x v="3"/>
  </r>
  <r>
    <x v="112"/>
    <n v="36137"/>
    <x v="1"/>
  </r>
  <r>
    <x v="112"/>
    <n v="41931"/>
    <x v="0"/>
  </r>
  <r>
    <x v="112"/>
    <n v="7864"/>
    <x v="2"/>
  </r>
  <r>
    <x v="112"/>
    <n v="560"/>
    <x v="3"/>
  </r>
  <r>
    <x v="113"/>
    <n v="35698"/>
    <x v="1"/>
  </r>
  <r>
    <x v="113"/>
    <n v="45803"/>
    <x v="0"/>
  </r>
  <r>
    <x v="113"/>
    <n v="7314"/>
    <x v="2"/>
  </r>
  <r>
    <x v="113"/>
    <n v="140"/>
    <x v="3"/>
  </r>
  <r>
    <x v="114"/>
    <n v="34088"/>
    <x v="1"/>
  </r>
  <r>
    <x v="114"/>
    <n v="52996"/>
    <x v="0"/>
  </r>
  <r>
    <x v="114"/>
    <n v="6129"/>
    <x v="2"/>
  </r>
  <r>
    <x v="114"/>
    <n v="56"/>
    <x v="3"/>
  </r>
  <r>
    <x v="115"/>
    <n v="40264"/>
    <x v="1"/>
  </r>
  <r>
    <x v="115"/>
    <n v="63277"/>
    <x v="0"/>
  </r>
  <r>
    <x v="115"/>
    <n v="5322"/>
    <x v="2"/>
  </r>
  <r>
    <x v="116"/>
    <n v="42500"/>
    <x v="1"/>
  </r>
  <r>
    <x v="116"/>
    <n v="63877"/>
    <x v="0"/>
  </r>
  <r>
    <x v="116"/>
    <n v="4924"/>
    <x v="2"/>
  </r>
  <r>
    <x v="117"/>
    <n v="43572"/>
    <x v="1"/>
  </r>
  <r>
    <x v="117"/>
    <n v="59599"/>
    <x v="0"/>
  </r>
  <r>
    <x v="117"/>
    <n v="5035"/>
    <x v="2"/>
  </r>
  <r>
    <x v="118"/>
    <n v="46063"/>
    <x v="1"/>
  </r>
  <r>
    <x v="118"/>
    <n v="53419"/>
    <x v="0"/>
  </r>
  <r>
    <x v="118"/>
    <n v="5143"/>
    <x v="2"/>
  </r>
  <r>
    <x v="119"/>
    <n v="46013"/>
    <x v="1"/>
  </r>
  <r>
    <x v="119"/>
    <n v="48357"/>
    <x v="0"/>
  </r>
  <r>
    <x v="119"/>
    <n v="4964"/>
    <x v="2"/>
  </r>
  <r>
    <x v="120"/>
    <n v="51726"/>
    <x v="1"/>
  </r>
  <r>
    <x v="120"/>
    <n v="40697"/>
    <x v="0"/>
  </r>
  <r>
    <x v="120"/>
    <n v="4311"/>
    <x v="2"/>
  </r>
  <r>
    <x v="121"/>
    <n v="52342"/>
    <x v="1"/>
  </r>
  <r>
    <x v="121"/>
    <n v="43294"/>
    <x v="0"/>
  </r>
  <r>
    <x v="121"/>
    <n v="4514"/>
    <x v="2"/>
  </r>
  <r>
    <x v="122"/>
    <n v="56241"/>
    <x v="1"/>
  </r>
  <r>
    <x v="122"/>
    <n v="31801"/>
    <x v="0"/>
  </r>
  <r>
    <x v="122"/>
    <n v="4027"/>
    <x v="2"/>
  </r>
  <r>
    <x v="123"/>
    <n v="76500"/>
    <x v="1"/>
  </r>
  <r>
    <x v="123"/>
    <n v="35520"/>
    <x v="0"/>
  </r>
  <r>
    <x v="123"/>
    <n v="4313"/>
    <x v="2"/>
  </r>
  <r>
    <x v="124"/>
    <n v="94046"/>
    <x v="1"/>
  </r>
  <r>
    <x v="124"/>
    <n v="50658"/>
    <x v="0"/>
  </r>
  <r>
    <x v="124"/>
    <n v="4902"/>
    <x v="2"/>
  </r>
  <r>
    <x v="125"/>
    <n v="78361"/>
    <x v="1"/>
  </r>
  <r>
    <x v="125"/>
    <n v="55517"/>
    <x v="0"/>
  </r>
  <r>
    <x v="125"/>
    <n v="4601"/>
    <x v="2"/>
  </r>
  <r>
    <x v="126"/>
    <n v="67848"/>
    <x v="1"/>
  </r>
  <r>
    <x v="126"/>
    <n v="60315"/>
    <x v="0"/>
  </r>
  <r>
    <x v="126"/>
    <n v="3819"/>
    <x v="2"/>
  </r>
  <r>
    <x v="127"/>
    <n v="61465"/>
    <x v="1"/>
  </r>
  <r>
    <x v="127"/>
    <n v="65562"/>
    <x v="0"/>
  </r>
  <r>
    <x v="127"/>
    <n v="3730"/>
    <x v="2"/>
  </r>
  <r>
    <x v="128"/>
    <n v="53634"/>
    <x v="1"/>
  </r>
  <r>
    <x v="128"/>
    <n v="64902"/>
    <x v="0"/>
  </r>
  <r>
    <x v="128"/>
    <n v="3246"/>
    <x v="2"/>
  </r>
  <r>
    <x v="129"/>
    <n v="51029"/>
    <x v="1"/>
  </r>
  <r>
    <x v="129"/>
    <n v="61982"/>
    <x v="0"/>
  </r>
  <r>
    <x v="129"/>
    <n v="3222"/>
    <x v="2"/>
  </r>
  <r>
    <x v="130"/>
    <n v="57151"/>
    <x v="0"/>
  </r>
  <r>
    <x v="130"/>
    <n v="3122"/>
    <x v="2"/>
  </r>
  <r>
    <x v="130"/>
    <n v="54445"/>
    <x v="1"/>
  </r>
  <r>
    <x v="131"/>
    <n v="2924"/>
    <x v="2"/>
  </r>
  <r>
    <x v="131"/>
    <n v="52121"/>
    <x v="0"/>
  </r>
  <r>
    <x v="131"/>
    <n v="56293"/>
    <x v="1"/>
  </r>
  <r>
    <x v="132"/>
    <n v="48257"/>
    <x v="1"/>
  </r>
  <r>
    <x v="132"/>
    <n v="2083"/>
    <x v="2"/>
  </r>
  <r>
    <x v="132"/>
    <n v="39267"/>
    <x v="0"/>
  </r>
  <r>
    <x v="133"/>
    <n v="1595"/>
    <x v="2"/>
  </r>
  <r>
    <x v="133"/>
    <n v="26581"/>
    <x v="0"/>
  </r>
  <r>
    <x v="133"/>
    <n v="31355"/>
    <x v="1"/>
  </r>
  <r>
    <x v="134"/>
    <n v="154"/>
    <x v="2"/>
  </r>
  <r>
    <x v="134"/>
    <n v="987"/>
    <x v="0"/>
  </r>
  <r>
    <x v="134"/>
    <n v="16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1:Q126" firstHeaderRow="1" firstDataRow="2" firstDataCol="1"/>
  <pivotFields count="3">
    <pivotField axis="axisRow" showAll="0" defaultSubtota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</pivotField>
    <pivotField dataField="1" showAll="0"/>
    <pivotField axis="axisCol" showAll="0">
      <items count="7">
        <item x="0"/>
        <item x="3"/>
        <item x="1"/>
        <item x="2"/>
        <item x="4"/>
        <item x="5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B1:BH139" firstHeaderRow="1" firstDataRow="2" firstDataCol="1"/>
  <pivotFields count="3">
    <pivotField axis="axisRow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</pivotFields>
  <rowFields count="1">
    <field x="0"/>
  </rowFields>
  <rowItems count="1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N1:AS138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A1:AF126" firstHeaderRow="1" firstDataRow="2" firstDataCol="1"/>
  <pivotFields count="3"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dataField="1" showAll="0"/>
    <pivotField axis="axisCol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5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AA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2"/>
        <item x="3"/>
        <item x="0"/>
        <item x="1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5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7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7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Z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4">
        <item x="2"/>
        <item x="0"/>
        <item x="1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8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L4:R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8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V4:AA141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>
      <items count="5">
        <item x="2"/>
        <item x="3"/>
        <item x="0"/>
        <item x="1"/>
        <item t="default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(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2" connectionId="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Query from Agency_13" backgroundRefresh="0" adjustColumnWidth="0" connectionId="1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4.xml><?xml version="1.0" encoding="utf-8"?>
<queryTable xmlns="http://schemas.openxmlformats.org/spreadsheetml/2006/main" name="Query from Agency_14" backgroundRefresh="0" adjustColumnWidth="0" connectionId="1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queryTables/queryTable5.xml><?xml version="1.0" encoding="utf-8"?>
<queryTable xmlns="http://schemas.openxmlformats.org/spreadsheetml/2006/main" name="Query from Agency_13" backgroundRefresh="0" adjustColumnWidth="0" connectionId="5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6.xml><?xml version="1.0" encoding="utf-8"?>
<queryTable xmlns="http://schemas.openxmlformats.org/spreadsheetml/2006/main" name="Query from Agency_14" backgroundRefresh="0" adjustColumnWidth="0" connectionId="4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queryTables/queryTable7.xml><?xml version="1.0" encoding="utf-8"?>
<queryTable xmlns="http://schemas.openxmlformats.org/spreadsheetml/2006/main" name="Query from Agency_13" backgroundRefresh="0" adjustColumnWidth="0" connectionId="3" autoFormatId="16" applyNumberFormats="0" applyBorderFormats="0" applyFontFormats="0" applyPatternFormats="0" applyAlignmentFormats="0" applyWidthHeightFormats="0">
  <queryTableRefresh nextId="81">
    <queryTableFields count="3">
      <queryTableField id="78" name="pmtdate" tableColumnId="1"/>
      <queryTableField id="79" name="count()" tableColumnId="2"/>
      <queryTableField id="80" name="HARPStatus" tableColumnId="3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4" backgroundRefresh="0" adjustColumnWidth="0" connectionId="2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79" name="count()" tableColumnId="2"/>
      <queryTableField id="81" name="MHAStatus" tableColumnId="4"/>
    </queryTableFields>
    <queryTableDeletedFields count="1">
      <deletedField name="refinancible_satoAdj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2" name="CurrentMtgRatesDataTable82529" displayName="CurrentMtgRatesDataTable82529" ref="A4:C332" tableType="queryTable" totalsRowShown="0" headerRowDxfId="29" dataDxfId="28">
  <tableColumns count="3">
    <tableColumn id="1" uniqueName="1" name="pmtdate" queryTableFieldId="78" dataDxfId="22"/>
    <tableColumn id="2" uniqueName="2" name="count()" queryTableFieldId="79" dataDxfId="21"/>
    <tableColumn id="3" uniqueName="3" name="HARPStatus" queryTableFieldId="80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825294" displayName="CurrentMtgRatesDataTable825294" ref="F4:H503" tableType="queryTable" totalsRowShown="0" headerRowDxfId="27" dataDxfId="26">
  <tableColumns count="3">
    <tableColumn id="1" uniqueName="1" name="pmtdate" queryTableFieldId="78" dataDxfId="25"/>
    <tableColumn id="2" uniqueName="2" name="count()" queryTableFieldId="79" dataDxfId="24"/>
    <tableColumn id="4" uniqueName="4" name="MHAStatus" queryTableFieldId="81" dataDxfId="2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CurrentMtgRatesDataTable825297" displayName="CurrentMtgRatesDataTable825297" ref="A4:C333" tableType="queryTable" totalsRowShown="0" headerRowDxfId="9" dataDxfId="8">
  <tableColumns count="3">
    <tableColumn id="1" uniqueName="1" name="pmtdate" queryTableFieldId="78" dataDxfId="5"/>
    <tableColumn id="2" uniqueName="2" name="count()" queryTableFieldId="79" dataDxfId="4"/>
    <tableColumn id="3" uniqueName="3" name="HARPStatus" queryTableFieldId="80" dataDxfId="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CurrentMtgRatesDataTable8252948" displayName="CurrentMtgRatesDataTable8252948" ref="F4:H379" tableType="queryTable" totalsRowShown="0" headerRowDxfId="7" dataDxfId="6">
  <tableColumns count="3">
    <tableColumn id="1" uniqueName="1" name="pmtdate" queryTableFieldId="78" dataDxfId="2"/>
    <tableColumn id="2" uniqueName="2" name="count()" queryTableFieldId="79" dataDxfId="1"/>
    <tableColumn id="4" uniqueName="4" name="MHAStatus" queryTableFieldId="81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CurrentMtgRatesDataTable825295" displayName="CurrentMtgRatesDataTable825295" ref="A4:C333" tableType="queryTable" totalsRowShown="0" headerRowDxfId="19" dataDxfId="18">
  <tableColumns count="3">
    <tableColumn id="1" uniqueName="1" name="pmtdate" queryTableFieldId="78" dataDxfId="15"/>
    <tableColumn id="2" uniqueName="2" name="count()" queryTableFieldId="79" dataDxfId="14"/>
    <tableColumn id="3" uniqueName="3" name="HARPStatus" queryTableFieldId="80" dataDxfId="1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CurrentMtgRatesDataTable8252946" displayName="CurrentMtgRatesDataTable8252946" ref="F4:H516" tableType="queryTable" totalsRowShown="0" headerRowDxfId="17" dataDxfId="16">
  <tableColumns count="3">
    <tableColumn id="1" uniqueName="1" name="pmtdate" queryTableFieldId="78" dataDxfId="12"/>
    <tableColumn id="2" uniqueName="2" name="count()" queryTableFieldId="79" dataDxfId="11"/>
    <tableColumn id="4" uniqueName="4" name="MHAStatus" queryTableFieldId="81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queryTable" Target="../queryTables/query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queryTable" Target="../queryTables/query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4"/>
  <sheetViews>
    <sheetView workbookViewId="0">
      <selection activeCell="BK35" sqref="BK35"/>
    </sheetView>
  </sheetViews>
  <sheetFormatPr defaultRowHeight="15" x14ac:dyDescent="0.25"/>
  <cols>
    <col min="1" max="1" width="13.85546875" bestFit="1" customWidth="1"/>
    <col min="2" max="2" width="7.42578125" bestFit="1" customWidth="1"/>
    <col min="3" max="3" width="11.28515625" bestFit="1" customWidth="1"/>
    <col min="10" max="10" width="14.140625" customWidth="1"/>
    <col min="11" max="11" width="16.28515625" bestFit="1" customWidth="1"/>
    <col min="12" max="13" width="8" customWidth="1"/>
    <col min="14" max="14" width="10.85546875" customWidth="1"/>
    <col min="15" max="15" width="9.5703125" customWidth="1"/>
    <col min="16" max="16" width="7.28515625" customWidth="1"/>
    <col min="17" max="17" width="11.28515625" customWidth="1"/>
    <col min="21" max="21" width="13.85546875" bestFit="1" customWidth="1"/>
    <col min="22" max="22" width="7.42578125" customWidth="1"/>
    <col min="23" max="23" width="18.42578125" bestFit="1" customWidth="1"/>
    <col min="27" max="27" width="14.140625" customWidth="1"/>
    <col min="28" max="28" width="16.28515625" bestFit="1" customWidth="1"/>
    <col min="29" max="29" width="18.7109375" bestFit="1" customWidth="1"/>
    <col min="30" max="30" width="12.7109375" bestFit="1" customWidth="1"/>
    <col min="31" max="31" width="7.28515625" customWidth="1"/>
    <col min="32" max="32" width="11.28515625" bestFit="1" customWidth="1"/>
    <col min="40" max="40" width="14.140625" customWidth="1"/>
    <col min="41" max="41" width="16.28515625" bestFit="1" customWidth="1"/>
    <col min="42" max="42" width="9.85546875" customWidth="1"/>
    <col min="43" max="43" width="8" customWidth="1"/>
    <col min="44" max="44" width="13.28515625" bestFit="1" customWidth="1"/>
    <col min="45" max="45" width="11.28515625" bestFit="1" customWidth="1"/>
    <col min="54" max="54" width="14.140625" customWidth="1"/>
    <col min="55" max="55" width="16.28515625" bestFit="1" customWidth="1"/>
    <col min="56" max="56" width="9.85546875" bestFit="1" customWidth="1"/>
    <col min="57" max="57" width="8" customWidth="1"/>
    <col min="58" max="58" width="13.28515625" bestFit="1" customWidth="1"/>
    <col min="59" max="59" width="7.28515625" customWidth="1"/>
    <col min="60" max="60" width="11.28515625" bestFit="1" customWidth="1"/>
  </cols>
  <sheetData>
    <row r="1" spans="1:60" x14ac:dyDescent="0.25">
      <c r="A1" t="s">
        <v>12</v>
      </c>
      <c r="B1" t="s">
        <v>0</v>
      </c>
      <c r="C1" t="s">
        <v>1</v>
      </c>
      <c r="J1" s="2" t="s">
        <v>11</v>
      </c>
      <c r="K1" s="2" t="s">
        <v>10</v>
      </c>
      <c r="U1" t="s">
        <v>12</v>
      </c>
      <c r="V1" t="s">
        <v>0</v>
      </c>
      <c r="W1" t="s">
        <v>13</v>
      </c>
      <c r="AA1" s="2" t="s">
        <v>11</v>
      </c>
      <c r="AB1" s="2" t="s">
        <v>10</v>
      </c>
      <c r="AI1" t="s">
        <v>26</v>
      </c>
      <c r="AJ1" t="s">
        <v>0</v>
      </c>
      <c r="AK1" t="s">
        <v>21</v>
      </c>
      <c r="AN1" s="2" t="s">
        <v>11</v>
      </c>
      <c r="AO1" s="2" t="s">
        <v>10</v>
      </c>
      <c r="AW1" t="s">
        <v>26</v>
      </c>
      <c r="AX1" t="s">
        <v>0</v>
      </c>
      <c r="AY1" t="s">
        <v>21</v>
      </c>
      <c r="BB1" s="2" t="s">
        <v>11</v>
      </c>
      <c r="BC1" s="2" t="s">
        <v>10</v>
      </c>
    </row>
    <row r="2" spans="1:60" x14ac:dyDescent="0.25">
      <c r="A2" s="1">
        <v>38687</v>
      </c>
      <c r="B2">
        <v>19057</v>
      </c>
      <c r="C2" t="s">
        <v>3</v>
      </c>
      <c r="J2" s="2" t="s">
        <v>7</v>
      </c>
      <c r="K2" t="s">
        <v>3</v>
      </c>
      <c r="L2" t="s">
        <v>5</v>
      </c>
      <c r="M2" t="s">
        <v>2</v>
      </c>
      <c r="N2" t="s">
        <v>4</v>
      </c>
      <c r="O2" t="s">
        <v>6</v>
      </c>
      <c r="P2" t="s">
        <v>8</v>
      </c>
      <c r="Q2" t="s">
        <v>9</v>
      </c>
      <c r="U2" s="1">
        <v>38687</v>
      </c>
      <c r="V2">
        <v>1771</v>
      </c>
      <c r="W2" t="s">
        <v>14</v>
      </c>
      <c r="AA2" s="2" t="s">
        <v>7</v>
      </c>
      <c r="AB2" t="s">
        <v>14</v>
      </c>
      <c r="AC2" t="s">
        <v>16</v>
      </c>
      <c r="AD2" t="s">
        <v>15</v>
      </c>
      <c r="AE2" t="s">
        <v>8</v>
      </c>
      <c r="AF2" t="s">
        <v>9</v>
      </c>
      <c r="AI2" s="1">
        <v>38353</v>
      </c>
      <c r="AJ2">
        <v>1751</v>
      </c>
      <c r="AK2" t="s">
        <v>22</v>
      </c>
      <c r="AN2" s="2" t="s">
        <v>7</v>
      </c>
      <c r="AO2" t="s">
        <v>23</v>
      </c>
      <c r="AP2" t="s">
        <v>25</v>
      </c>
      <c r="AQ2" t="s">
        <v>22</v>
      </c>
      <c r="AR2" t="s">
        <v>24</v>
      </c>
      <c r="AS2" t="s">
        <v>9</v>
      </c>
      <c r="AW2" s="1">
        <v>38353</v>
      </c>
      <c r="AX2">
        <v>19296</v>
      </c>
      <c r="AY2" t="s">
        <v>23</v>
      </c>
      <c r="BB2" s="2" t="s">
        <v>7</v>
      </c>
      <c r="BC2" t="s">
        <v>23</v>
      </c>
      <c r="BD2" t="s">
        <v>25</v>
      </c>
      <c r="BE2" t="s">
        <v>22</v>
      </c>
      <c r="BF2" t="s">
        <v>24</v>
      </c>
      <c r="BG2" t="s">
        <v>8</v>
      </c>
      <c r="BH2" t="s">
        <v>9</v>
      </c>
    </row>
    <row r="3" spans="1:60" x14ac:dyDescent="0.25">
      <c r="A3" s="1">
        <v>38687</v>
      </c>
      <c r="B3">
        <v>116679</v>
      </c>
      <c r="C3" t="s">
        <v>2</v>
      </c>
      <c r="J3" s="3">
        <v>38687</v>
      </c>
      <c r="K3" s="5">
        <v>19057</v>
      </c>
      <c r="L3" s="5"/>
      <c r="M3" s="5">
        <v>116679</v>
      </c>
      <c r="N3" s="5"/>
      <c r="O3" s="5"/>
      <c r="P3" s="5"/>
      <c r="Q3" s="5">
        <v>135736</v>
      </c>
      <c r="U3" s="1">
        <v>38687</v>
      </c>
      <c r="V3">
        <v>64164</v>
      </c>
      <c r="W3" t="s">
        <v>15</v>
      </c>
      <c r="AA3" s="3">
        <v>38687</v>
      </c>
      <c r="AB3" s="5">
        <v>1771</v>
      </c>
      <c r="AC3" s="5">
        <v>69801</v>
      </c>
      <c r="AD3" s="5">
        <v>64164</v>
      </c>
      <c r="AE3" s="5"/>
      <c r="AF3" s="5">
        <v>135736</v>
      </c>
      <c r="AI3" s="1">
        <v>38353</v>
      </c>
      <c r="AJ3">
        <v>226</v>
      </c>
      <c r="AK3" t="s">
        <v>23</v>
      </c>
      <c r="AN3" s="3">
        <v>38353</v>
      </c>
      <c r="AO3" s="5">
        <v>226</v>
      </c>
      <c r="AP3" s="5"/>
      <c r="AQ3" s="5">
        <v>1751</v>
      </c>
      <c r="AR3" s="5"/>
      <c r="AS3" s="5">
        <v>1977</v>
      </c>
      <c r="AW3" s="1">
        <v>38353</v>
      </c>
      <c r="AX3">
        <v>18274</v>
      </c>
      <c r="AY3" t="s">
        <v>22</v>
      </c>
      <c r="BB3" s="3">
        <v>38353</v>
      </c>
      <c r="BC3" s="5">
        <v>19296</v>
      </c>
      <c r="BD3" s="5"/>
      <c r="BE3" s="5">
        <v>18274</v>
      </c>
      <c r="BF3" s="5"/>
      <c r="BG3" s="5"/>
      <c r="BH3" s="5">
        <v>37570</v>
      </c>
    </row>
    <row r="4" spans="1:60" x14ac:dyDescent="0.25">
      <c r="A4" s="1">
        <v>38718</v>
      </c>
      <c r="B4">
        <v>15165</v>
      </c>
      <c r="C4" t="s">
        <v>3</v>
      </c>
      <c r="J4" s="3">
        <v>38718</v>
      </c>
      <c r="K4" s="5">
        <v>15165</v>
      </c>
      <c r="L4" s="5"/>
      <c r="M4" s="5">
        <v>101038</v>
      </c>
      <c r="N4" s="5"/>
      <c r="O4" s="5"/>
      <c r="P4" s="5"/>
      <c r="Q4" s="5">
        <v>116203</v>
      </c>
      <c r="U4" s="1">
        <v>38687</v>
      </c>
      <c r="V4">
        <v>69801</v>
      </c>
      <c r="W4" t="s">
        <v>16</v>
      </c>
      <c r="AA4" s="3">
        <v>38718</v>
      </c>
      <c r="AB4" s="5">
        <v>1707</v>
      </c>
      <c r="AC4" s="5">
        <v>56048</v>
      </c>
      <c r="AD4" s="5">
        <v>58448</v>
      </c>
      <c r="AE4" s="5"/>
      <c r="AF4" s="5">
        <v>116203</v>
      </c>
      <c r="AI4" s="1">
        <v>38384</v>
      </c>
      <c r="AJ4">
        <v>237</v>
      </c>
      <c r="AK4" t="s">
        <v>23</v>
      </c>
      <c r="AN4" s="3">
        <v>38384</v>
      </c>
      <c r="AO4" s="5">
        <v>237</v>
      </c>
      <c r="AP4" s="5"/>
      <c r="AQ4" s="5">
        <v>1713</v>
      </c>
      <c r="AR4" s="5"/>
      <c r="AS4" s="5">
        <v>1950</v>
      </c>
      <c r="AW4" s="1">
        <v>38384</v>
      </c>
      <c r="AX4">
        <v>17818</v>
      </c>
      <c r="AY4" t="s">
        <v>22</v>
      </c>
      <c r="BB4" s="3">
        <v>38384</v>
      </c>
      <c r="BC4" s="5">
        <v>19367</v>
      </c>
      <c r="BD4" s="5"/>
      <c r="BE4" s="5">
        <v>17818</v>
      </c>
      <c r="BF4" s="5"/>
      <c r="BG4" s="5"/>
      <c r="BH4" s="5">
        <v>37185</v>
      </c>
    </row>
    <row r="5" spans="1:60" x14ac:dyDescent="0.25">
      <c r="A5" s="1">
        <v>38718</v>
      </c>
      <c r="B5">
        <v>101038</v>
      </c>
      <c r="C5" t="s">
        <v>2</v>
      </c>
      <c r="J5" s="3">
        <v>38749</v>
      </c>
      <c r="K5" s="5">
        <v>13726</v>
      </c>
      <c r="L5" s="5"/>
      <c r="M5" s="5">
        <v>85924</v>
      </c>
      <c r="N5" s="5"/>
      <c r="O5" s="5"/>
      <c r="P5" s="5"/>
      <c r="Q5" s="5">
        <v>99650</v>
      </c>
      <c r="U5" s="1">
        <v>38718</v>
      </c>
      <c r="V5">
        <v>58448</v>
      </c>
      <c r="W5" t="s">
        <v>15</v>
      </c>
      <c r="AA5" s="3">
        <v>38749</v>
      </c>
      <c r="AB5" s="5">
        <v>1596</v>
      </c>
      <c r="AC5" s="5">
        <v>48505</v>
      </c>
      <c r="AD5" s="5">
        <v>49549</v>
      </c>
      <c r="AE5" s="5"/>
      <c r="AF5" s="5">
        <v>99650</v>
      </c>
      <c r="AI5" s="1">
        <v>38384</v>
      </c>
      <c r="AJ5">
        <v>1713</v>
      </c>
      <c r="AK5" t="s">
        <v>22</v>
      </c>
      <c r="AN5" s="3">
        <v>38412</v>
      </c>
      <c r="AO5" s="5">
        <v>165</v>
      </c>
      <c r="AP5" s="5"/>
      <c r="AQ5" s="5">
        <v>1379</v>
      </c>
      <c r="AR5" s="5"/>
      <c r="AS5" s="5">
        <v>1544</v>
      </c>
      <c r="AW5" s="1">
        <v>38384</v>
      </c>
      <c r="AX5">
        <v>19367</v>
      </c>
      <c r="AY5" t="s">
        <v>23</v>
      </c>
      <c r="BB5" s="3">
        <v>38412</v>
      </c>
      <c r="BC5" s="5">
        <v>16217</v>
      </c>
      <c r="BD5" s="5"/>
      <c r="BE5" s="5">
        <v>14430</v>
      </c>
      <c r="BF5" s="5"/>
      <c r="BG5" s="5"/>
      <c r="BH5" s="5">
        <v>30647</v>
      </c>
    </row>
    <row r="6" spans="1:60" x14ac:dyDescent="0.25">
      <c r="A6" s="1">
        <v>38749</v>
      </c>
      <c r="B6">
        <v>13726</v>
      </c>
      <c r="C6" t="s">
        <v>3</v>
      </c>
      <c r="J6" s="3">
        <v>38777</v>
      </c>
      <c r="K6" s="5">
        <v>13317</v>
      </c>
      <c r="L6" s="5"/>
      <c r="M6" s="5">
        <v>85045</v>
      </c>
      <c r="N6" s="5"/>
      <c r="O6" s="5"/>
      <c r="P6" s="5"/>
      <c r="Q6" s="5">
        <v>98362</v>
      </c>
      <c r="U6" s="1">
        <v>38718</v>
      </c>
      <c r="V6">
        <v>56048</v>
      </c>
      <c r="W6" t="s">
        <v>16</v>
      </c>
      <c r="AA6" s="3">
        <v>38777</v>
      </c>
      <c r="AB6" s="5">
        <v>1821</v>
      </c>
      <c r="AC6" s="5">
        <v>45628</v>
      </c>
      <c r="AD6" s="5">
        <v>50913</v>
      </c>
      <c r="AE6" s="5"/>
      <c r="AF6" s="5">
        <v>98362</v>
      </c>
      <c r="AI6" s="1">
        <v>38412</v>
      </c>
      <c r="AJ6">
        <v>1379</v>
      </c>
      <c r="AK6" t="s">
        <v>22</v>
      </c>
      <c r="AN6" s="3">
        <v>38443</v>
      </c>
      <c r="AO6" s="5">
        <v>248</v>
      </c>
      <c r="AP6" s="5"/>
      <c r="AQ6" s="5">
        <v>1406</v>
      </c>
      <c r="AR6" s="5"/>
      <c r="AS6" s="5">
        <v>1654</v>
      </c>
      <c r="AW6" s="1">
        <v>38412</v>
      </c>
      <c r="AX6">
        <v>16217</v>
      </c>
      <c r="AY6" t="s">
        <v>23</v>
      </c>
      <c r="BB6" s="3">
        <v>38443</v>
      </c>
      <c r="BC6" s="5">
        <v>18282</v>
      </c>
      <c r="BD6" s="5"/>
      <c r="BE6" s="5">
        <v>16447</v>
      </c>
      <c r="BF6" s="5"/>
      <c r="BG6" s="5"/>
      <c r="BH6" s="5">
        <v>34729</v>
      </c>
    </row>
    <row r="7" spans="1:60" x14ac:dyDescent="0.25">
      <c r="A7" s="1">
        <v>38749</v>
      </c>
      <c r="B7">
        <v>85924</v>
      </c>
      <c r="C7" t="s">
        <v>2</v>
      </c>
      <c r="J7" s="3">
        <v>38808</v>
      </c>
      <c r="K7" s="5">
        <v>13740</v>
      </c>
      <c r="L7" s="5"/>
      <c r="M7" s="5">
        <v>91876</v>
      </c>
      <c r="N7" s="5"/>
      <c r="O7" s="5"/>
      <c r="P7" s="5"/>
      <c r="Q7" s="5">
        <v>105616</v>
      </c>
      <c r="U7" s="1">
        <v>38718</v>
      </c>
      <c r="V7">
        <v>1707</v>
      </c>
      <c r="W7" t="s">
        <v>14</v>
      </c>
      <c r="AA7" s="3">
        <v>38808</v>
      </c>
      <c r="AB7" s="5">
        <v>1451</v>
      </c>
      <c r="AC7" s="5">
        <v>50072</v>
      </c>
      <c r="AD7" s="5">
        <v>54093</v>
      </c>
      <c r="AE7" s="5"/>
      <c r="AF7" s="5">
        <v>105616</v>
      </c>
      <c r="AI7" s="1">
        <v>38412</v>
      </c>
      <c r="AJ7">
        <v>165</v>
      </c>
      <c r="AK7" t="s">
        <v>23</v>
      </c>
      <c r="AN7" s="3">
        <v>38473</v>
      </c>
      <c r="AO7" s="5">
        <v>357</v>
      </c>
      <c r="AP7" s="5"/>
      <c r="AQ7" s="5">
        <v>1954</v>
      </c>
      <c r="AR7" s="5"/>
      <c r="AS7" s="5">
        <v>2311</v>
      </c>
      <c r="AW7" s="1">
        <v>38412</v>
      </c>
      <c r="AX7">
        <v>14430</v>
      </c>
      <c r="AY7" t="s">
        <v>22</v>
      </c>
      <c r="BB7" s="3">
        <v>38473</v>
      </c>
      <c r="BC7" s="5">
        <v>22945</v>
      </c>
      <c r="BD7" s="5"/>
      <c r="BE7" s="5">
        <v>21208</v>
      </c>
      <c r="BF7" s="5"/>
      <c r="BG7" s="5"/>
      <c r="BH7" s="5">
        <v>44153</v>
      </c>
    </row>
    <row r="8" spans="1:60" x14ac:dyDescent="0.25">
      <c r="A8" s="1">
        <v>38777</v>
      </c>
      <c r="B8">
        <v>13317</v>
      </c>
      <c r="C8" t="s">
        <v>3</v>
      </c>
      <c r="J8" s="3">
        <v>38838</v>
      </c>
      <c r="K8" s="5">
        <v>11485</v>
      </c>
      <c r="L8" s="5"/>
      <c r="M8" s="5">
        <v>83181</v>
      </c>
      <c r="N8" s="5"/>
      <c r="O8" s="5"/>
      <c r="P8" s="5"/>
      <c r="Q8" s="5">
        <v>94666</v>
      </c>
      <c r="U8" s="1">
        <v>38749</v>
      </c>
      <c r="V8">
        <v>49549</v>
      </c>
      <c r="W8" t="s">
        <v>15</v>
      </c>
      <c r="AA8" s="3">
        <v>38838</v>
      </c>
      <c r="AB8" s="5">
        <v>1286</v>
      </c>
      <c r="AC8" s="5">
        <v>50281</v>
      </c>
      <c r="AD8" s="5">
        <v>43099</v>
      </c>
      <c r="AE8" s="5"/>
      <c r="AF8" s="5">
        <v>94666</v>
      </c>
      <c r="AI8" s="1">
        <v>38443</v>
      </c>
      <c r="AJ8">
        <v>248</v>
      </c>
      <c r="AK8" t="s">
        <v>23</v>
      </c>
      <c r="AN8" s="3">
        <v>38504</v>
      </c>
      <c r="AO8" s="5">
        <v>256</v>
      </c>
      <c r="AP8" s="5"/>
      <c r="AQ8" s="5">
        <v>2080</v>
      </c>
      <c r="AR8" s="5"/>
      <c r="AS8" s="5">
        <v>2336</v>
      </c>
      <c r="AW8" s="1">
        <v>38443</v>
      </c>
      <c r="AX8">
        <v>16447</v>
      </c>
      <c r="AY8" t="s">
        <v>22</v>
      </c>
      <c r="BB8" s="3">
        <v>38504</v>
      </c>
      <c r="BC8" s="5">
        <v>17249</v>
      </c>
      <c r="BD8" s="5"/>
      <c r="BE8" s="5">
        <v>20814</v>
      </c>
      <c r="BF8" s="5"/>
      <c r="BG8" s="5"/>
      <c r="BH8" s="5">
        <v>38063</v>
      </c>
    </row>
    <row r="9" spans="1:60" x14ac:dyDescent="0.25">
      <c r="A9" s="1">
        <v>38777</v>
      </c>
      <c r="B9">
        <v>85045</v>
      </c>
      <c r="C9" t="s">
        <v>2</v>
      </c>
      <c r="J9" s="3">
        <v>38869</v>
      </c>
      <c r="K9" s="5">
        <v>11763</v>
      </c>
      <c r="L9" s="5"/>
      <c r="M9" s="5">
        <v>96000</v>
      </c>
      <c r="N9" s="5"/>
      <c r="O9" s="5"/>
      <c r="P9" s="5"/>
      <c r="Q9" s="5">
        <v>107763</v>
      </c>
      <c r="U9" s="1">
        <v>38749</v>
      </c>
      <c r="V9">
        <v>48505</v>
      </c>
      <c r="W9" t="s">
        <v>16</v>
      </c>
      <c r="AA9" s="3">
        <v>38869</v>
      </c>
      <c r="AB9" s="5">
        <v>1464</v>
      </c>
      <c r="AC9" s="5">
        <v>60815</v>
      </c>
      <c r="AD9" s="5">
        <v>45484</v>
      </c>
      <c r="AE9" s="5"/>
      <c r="AF9" s="5">
        <v>107763</v>
      </c>
      <c r="AI9" s="1">
        <v>38443</v>
      </c>
      <c r="AJ9">
        <v>1406</v>
      </c>
      <c r="AK9" t="s">
        <v>22</v>
      </c>
      <c r="AN9" s="3">
        <v>38534</v>
      </c>
      <c r="AO9" s="5">
        <v>314</v>
      </c>
      <c r="AP9" s="5"/>
      <c r="AQ9" s="5">
        <v>2676</v>
      </c>
      <c r="AR9" s="5"/>
      <c r="AS9" s="5">
        <v>2990</v>
      </c>
      <c r="AW9" s="1">
        <v>38443</v>
      </c>
      <c r="AX9">
        <v>18282</v>
      </c>
      <c r="AY9" t="s">
        <v>23</v>
      </c>
      <c r="BB9" s="3">
        <v>38534</v>
      </c>
      <c r="BC9" s="5">
        <v>20889</v>
      </c>
      <c r="BD9" s="5"/>
      <c r="BE9" s="5">
        <v>25422</v>
      </c>
      <c r="BF9" s="5"/>
      <c r="BG9" s="5"/>
      <c r="BH9" s="5">
        <v>46311</v>
      </c>
    </row>
    <row r="10" spans="1:60" x14ac:dyDescent="0.25">
      <c r="A10" s="1">
        <v>38808</v>
      </c>
      <c r="B10">
        <v>13740</v>
      </c>
      <c r="C10" t="s">
        <v>3</v>
      </c>
      <c r="J10" s="3">
        <v>38899</v>
      </c>
      <c r="K10" s="5">
        <v>10532</v>
      </c>
      <c r="L10" s="5"/>
      <c r="M10" s="5">
        <v>94899</v>
      </c>
      <c r="N10" s="5"/>
      <c r="O10" s="5"/>
      <c r="P10" s="5"/>
      <c r="Q10" s="5">
        <v>105431</v>
      </c>
      <c r="U10" s="1">
        <v>38749</v>
      </c>
      <c r="V10">
        <v>1596</v>
      </c>
      <c r="W10" t="s">
        <v>14</v>
      </c>
      <c r="AA10" s="3">
        <v>38899</v>
      </c>
      <c r="AB10" s="5">
        <v>1287</v>
      </c>
      <c r="AC10" s="5">
        <v>62896</v>
      </c>
      <c r="AD10" s="5">
        <v>41248</v>
      </c>
      <c r="AE10" s="5"/>
      <c r="AF10" s="5">
        <v>105431</v>
      </c>
      <c r="AI10" s="1">
        <v>38473</v>
      </c>
      <c r="AJ10">
        <v>357</v>
      </c>
      <c r="AK10" t="s">
        <v>23</v>
      </c>
      <c r="AN10" s="3">
        <v>38565</v>
      </c>
      <c r="AO10" s="5">
        <v>372</v>
      </c>
      <c r="AP10" s="5"/>
      <c r="AQ10" s="5">
        <v>3211</v>
      </c>
      <c r="AR10" s="5"/>
      <c r="AS10" s="5">
        <v>3583</v>
      </c>
      <c r="AW10" s="1">
        <v>38473</v>
      </c>
      <c r="AX10">
        <v>22945</v>
      </c>
      <c r="AY10" t="s">
        <v>23</v>
      </c>
      <c r="BB10" s="3">
        <v>38565</v>
      </c>
      <c r="BC10" s="5">
        <v>27493</v>
      </c>
      <c r="BD10" s="5"/>
      <c r="BE10" s="5">
        <v>32384</v>
      </c>
      <c r="BF10" s="5"/>
      <c r="BG10" s="5"/>
      <c r="BH10" s="5">
        <v>59877</v>
      </c>
    </row>
    <row r="11" spans="1:60" x14ac:dyDescent="0.25">
      <c r="A11" s="1">
        <v>38808</v>
      </c>
      <c r="B11">
        <v>91876</v>
      </c>
      <c r="C11" t="s">
        <v>2</v>
      </c>
      <c r="J11" s="3">
        <v>38930</v>
      </c>
      <c r="K11" s="5">
        <v>11293</v>
      </c>
      <c r="L11" s="5"/>
      <c r="M11" s="5">
        <v>106784</v>
      </c>
      <c r="N11" s="5"/>
      <c r="O11" s="5"/>
      <c r="P11" s="5"/>
      <c r="Q11" s="5">
        <v>118077</v>
      </c>
      <c r="U11" s="1">
        <v>38777</v>
      </c>
      <c r="V11">
        <v>50913</v>
      </c>
      <c r="W11" t="s">
        <v>15</v>
      </c>
      <c r="AA11" s="3">
        <v>38930</v>
      </c>
      <c r="AB11" s="5">
        <v>1273</v>
      </c>
      <c r="AC11" s="5">
        <v>74272</v>
      </c>
      <c r="AD11" s="5">
        <v>42532</v>
      </c>
      <c r="AE11" s="5"/>
      <c r="AF11" s="5">
        <v>118077</v>
      </c>
      <c r="AI11" s="1">
        <v>38473</v>
      </c>
      <c r="AJ11">
        <v>1954</v>
      </c>
      <c r="AK11" t="s">
        <v>22</v>
      </c>
      <c r="AN11" s="3">
        <v>38596</v>
      </c>
      <c r="AO11" s="5">
        <v>617</v>
      </c>
      <c r="AP11" s="5"/>
      <c r="AQ11" s="5">
        <v>4048</v>
      </c>
      <c r="AR11" s="5"/>
      <c r="AS11" s="5">
        <v>4665</v>
      </c>
      <c r="AW11" s="1">
        <v>38473</v>
      </c>
      <c r="AX11">
        <v>21208</v>
      </c>
      <c r="AY11" t="s">
        <v>22</v>
      </c>
      <c r="BB11" s="3">
        <v>38596</v>
      </c>
      <c r="BC11" s="5">
        <v>31231</v>
      </c>
      <c r="BD11" s="5"/>
      <c r="BE11" s="5">
        <v>29845</v>
      </c>
      <c r="BF11" s="5"/>
      <c r="BG11" s="5"/>
      <c r="BH11" s="5">
        <v>61076</v>
      </c>
    </row>
    <row r="12" spans="1:60" x14ac:dyDescent="0.25">
      <c r="A12" s="1">
        <v>38838</v>
      </c>
      <c r="B12">
        <v>11485</v>
      </c>
      <c r="C12" t="s">
        <v>3</v>
      </c>
      <c r="J12" s="3">
        <v>38961</v>
      </c>
      <c r="K12" s="5">
        <v>11420</v>
      </c>
      <c r="L12" s="5"/>
      <c r="M12" s="5">
        <v>107277</v>
      </c>
      <c r="N12" s="5"/>
      <c r="O12" s="5"/>
      <c r="P12" s="5"/>
      <c r="Q12" s="5">
        <v>118697</v>
      </c>
      <c r="U12" s="1">
        <v>38777</v>
      </c>
      <c r="V12">
        <v>45628</v>
      </c>
      <c r="W12" t="s">
        <v>16</v>
      </c>
      <c r="AA12" s="3">
        <v>38961</v>
      </c>
      <c r="AB12" s="5">
        <v>1279</v>
      </c>
      <c r="AC12" s="5">
        <v>74289</v>
      </c>
      <c r="AD12" s="5">
        <v>43129</v>
      </c>
      <c r="AE12" s="5"/>
      <c r="AF12" s="5">
        <v>118697</v>
      </c>
      <c r="AI12" s="1">
        <v>38504</v>
      </c>
      <c r="AJ12">
        <v>256</v>
      </c>
      <c r="AK12" t="s">
        <v>23</v>
      </c>
      <c r="AN12" s="3">
        <v>38626</v>
      </c>
      <c r="AO12" s="5">
        <v>996</v>
      </c>
      <c r="AP12" s="5"/>
      <c r="AQ12" s="5">
        <v>7481</v>
      </c>
      <c r="AR12" s="5"/>
      <c r="AS12" s="5">
        <v>8477</v>
      </c>
      <c r="AW12" s="1">
        <v>38504</v>
      </c>
      <c r="AX12">
        <v>20814</v>
      </c>
      <c r="AY12" t="s">
        <v>22</v>
      </c>
      <c r="BB12" s="3">
        <v>38626</v>
      </c>
      <c r="BC12" s="5">
        <v>30344</v>
      </c>
      <c r="BD12" s="5"/>
      <c r="BE12" s="5">
        <v>29919</v>
      </c>
      <c r="BF12" s="5"/>
      <c r="BG12" s="5"/>
      <c r="BH12" s="5">
        <v>60263</v>
      </c>
    </row>
    <row r="13" spans="1:60" x14ac:dyDescent="0.25">
      <c r="A13" s="1">
        <v>38838</v>
      </c>
      <c r="B13">
        <v>83181</v>
      </c>
      <c r="C13" t="s">
        <v>2</v>
      </c>
      <c r="J13" s="3">
        <v>38991</v>
      </c>
      <c r="K13" s="5">
        <v>11613</v>
      </c>
      <c r="L13" s="5"/>
      <c r="M13" s="5">
        <v>92041</v>
      </c>
      <c r="N13" s="5"/>
      <c r="O13" s="5"/>
      <c r="P13" s="5"/>
      <c r="Q13" s="5">
        <v>103654</v>
      </c>
      <c r="U13" s="1">
        <v>38777</v>
      </c>
      <c r="V13">
        <v>1821</v>
      </c>
      <c r="W13" t="s">
        <v>14</v>
      </c>
      <c r="AA13" s="3">
        <v>38991</v>
      </c>
      <c r="AB13" s="5">
        <v>1152</v>
      </c>
      <c r="AC13" s="5">
        <v>59427</v>
      </c>
      <c r="AD13" s="5">
        <v>43075</v>
      </c>
      <c r="AE13" s="5"/>
      <c r="AF13" s="5">
        <v>103654</v>
      </c>
      <c r="AI13" s="1">
        <v>38504</v>
      </c>
      <c r="AJ13">
        <v>2080</v>
      </c>
      <c r="AK13" t="s">
        <v>22</v>
      </c>
      <c r="AN13" s="3">
        <v>38657</v>
      </c>
      <c r="AO13" s="5">
        <v>2199</v>
      </c>
      <c r="AP13" s="5"/>
      <c r="AQ13" s="5">
        <v>15991</v>
      </c>
      <c r="AR13" s="5"/>
      <c r="AS13" s="5">
        <v>18190</v>
      </c>
      <c r="AW13" s="1">
        <v>38504</v>
      </c>
      <c r="AX13">
        <v>17249</v>
      </c>
      <c r="AY13" t="s">
        <v>23</v>
      </c>
      <c r="BB13" s="3">
        <v>38657</v>
      </c>
      <c r="BC13" s="5">
        <v>27266</v>
      </c>
      <c r="BD13" s="5"/>
      <c r="BE13" s="5">
        <v>25968</v>
      </c>
      <c r="BF13" s="5"/>
      <c r="BG13" s="5"/>
      <c r="BH13" s="5">
        <v>53234</v>
      </c>
    </row>
    <row r="14" spans="1:60" x14ac:dyDescent="0.25">
      <c r="A14" s="1">
        <v>38869</v>
      </c>
      <c r="B14">
        <v>11763</v>
      </c>
      <c r="C14" t="s">
        <v>3</v>
      </c>
      <c r="J14" s="3">
        <v>39022</v>
      </c>
      <c r="K14" s="5">
        <v>13547</v>
      </c>
      <c r="L14" s="5"/>
      <c r="M14" s="5">
        <v>83109</v>
      </c>
      <c r="N14" s="5"/>
      <c r="O14" s="5"/>
      <c r="P14" s="5"/>
      <c r="Q14" s="5">
        <v>96656</v>
      </c>
      <c r="U14" s="1">
        <v>38808</v>
      </c>
      <c r="V14">
        <v>54093</v>
      </c>
      <c r="W14" t="s">
        <v>15</v>
      </c>
      <c r="AA14" s="3">
        <v>39022</v>
      </c>
      <c r="AB14" s="5">
        <v>1107</v>
      </c>
      <c r="AC14" s="5">
        <v>48845</v>
      </c>
      <c r="AD14" s="5">
        <v>46704</v>
      </c>
      <c r="AE14" s="5"/>
      <c r="AF14" s="5">
        <v>96656</v>
      </c>
      <c r="AI14" s="1">
        <v>38534</v>
      </c>
      <c r="AJ14">
        <v>314</v>
      </c>
      <c r="AK14" t="s">
        <v>23</v>
      </c>
      <c r="AN14" s="3">
        <v>38687</v>
      </c>
      <c r="AO14" s="5">
        <v>9660</v>
      </c>
      <c r="AP14" s="5"/>
      <c r="AQ14" s="5">
        <v>58394</v>
      </c>
      <c r="AR14" s="5"/>
      <c r="AS14" s="5">
        <v>68054</v>
      </c>
      <c r="AW14" s="1">
        <v>38534</v>
      </c>
      <c r="AX14">
        <v>25422</v>
      </c>
      <c r="AY14" t="s">
        <v>22</v>
      </c>
      <c r="BB14" s="3">
        <v>38687</v>
      </c>
      <c r="BC14" s="5">
        <v>26896</v>
      </c>
      <c r="BD14" s="5"/>
      <c r="BE14" s="5">
        <v>23032</v>
      </c>
      <c r="BF14" s="5"/>
      <c r="BG14" s="5"/>
      <c r="BH14" s="5">
        <v>49928</v>
      </c>
    </row>
    <row r="15" spans="1:60" x14ac:dyDescent="0.25">
      <c r="A15" s="1">
        <v>38869</v>
      </c>
      <c r="B15">
        <v>96000</v>
      </c>
      <c r="C15" t="s">
        <v>2</v>
      </c>
      <c r="J15" s="3">
        <v>39052</v>
      </c>
      <c r="K15" s="5">
        <v>18639</v>
      </c>
      <c r="L15" s="5"/>
      <c r="M15" s="5">
        <v>109560</v>
      </c>
      <c r="N15" s="5"/>
      <c r="O15" s="5"/>
      <c r="P15" s="5"/>
      <c r="Q15" s="5">
        <v>128199</v>
      </c>
      <c r="U15" s="1">
        <v>38808</v>
      </c>
      <c r="V15">
        <v>50072</v>
      </c>
      <c r="W15" t="s">
        <v>16</v>
      </c>
      <c r="AA15" s="3">
        <v>39052</v>
      </c>
      <c r="AB15" s="5">
        <v>1423</v>
      </c>
      <c r="AC15" s="5">
        <v>65808</v>
      </c>
      <c r="AD15" s="5">
        <v>60968</v>
      </c>
      <c r="AE15" s="5"/>
      <c r="AF15" s="5">
        <v>128199</v>
      </c>
      <c r="AI15" s="1">
        <v>38534</v>
      </c>
      <c r="AJ15">
        <v>2676</v>
      </c>
      <c r="AK15" t="s">
        <v>22</v>
      </c>
      <c r="AN15" s="3">
        <v>38718</v>
      </c>
      <c r="AO15" s="5">
        <v>14686</v>
      </c>
      <c r="AP15" s="5"/>
      <c r="AQ15" s="5">
        <v>96347</v>
      </c>
      <c r="AR15" s="5"/>
      <c r="AS15" s="5">
        <v>111033</v>
      </c>
      <c r="AW15" s="1">
        <v>38534</v>
      </c>
      <c r="AX15">
        <v>20889</v>
      </c>
      <c r="AY15" t="s">
        <v>23</v>
      </c>
      <c r="BB15" s="3">
        <v>38718</v>
      </c>
      <c r="BC15" s="5">
        <v>20216</v>
      </c>
      <c r="BD15" s="5"/>
      <c r="BE15" s="5">
        <v>19087</v>
      </c>
      <c r="BF15" s="5"/>
      <c r="BG15" s="5"/>
      <c r="BH15" s="5">
        <v>39303</v>
      </c>
    </row>
    <row r="16" spans="1:60" x14ac:dyDescent="0.25">
      <c r="A16" s="1">
        <v>38899</v>
      </c>
      <c r="B16">
        <v>10532</v>
      </c>
      <c r="C16" t="s">
        <v>3</v>
      </c>
      <c r="J16" s="3">
        <v>39083</v>
      </c>
      <c r="K16" s="5">
        <v>16054</v>
      </c>
      <c r="L16" s="5"/>
      <c r="M16" s="5">
        <v>90090</v>
      </c>
      <c r="N16" s="5"/>
      <c r="O16" s="5"/>
      <c r="P16" s="5"/>
      <c r="Q16" s="5">
        <v>106144</v>
      </c>
      <c r="U16" s="1">
        <v>38808</v>
      </c>
      <c r="V16">
        <v>1451</v>
      </c>
      <c r="W16" t="s">
        <v>14</v>
      </c>
      <c r="AA16" s="3">
        <v>39083</v>
      </c>
      <c r="AB16" s="5">
        <v>1046</v>
      </c>
      <c r="AC16" s="5">
        <v>52477</v>
      </c>
      <c r="AD16" s="5">
        <v>52621</v>
      </c>
      <c r="AE16" s="5"/>
      <c r="AF16" s="5">
        <v>106144</v>
      </c>
      <c r="AI16" s="1">
        <v>38565</v>
      </c>
      <c r="AJ16">
        <v>372</v>
      </c>
      <c r="AK16" t="s">
        <v>23</v>
      </c>
      <c r="AN16" s="3">
        <v>38749</v>
      </c>
      <c r="AO16" s="5">
        <v>13545</v>
      </c>
      <c r="AP16" s="5"/>
      <c r="AQ16" s="5">
        <v>93070</v>
      </c>
      <c r="AR16" s="5"/>
      <c r="AS16" s="5">
        <v>106615</v>
      </c>
      <c r="AW16" s="1">
        <v>38565</v>
      </c>
      <c r="AX16">
        <v>32384</v>
      </c>
      <c r="AY16" t="s">
        <v>22</v>
      </c>
      <c r="BB16" s="3">
        <v>38749</v>
      </c>
      <c r="BC16" s="5">
        <v>16824</v>
      </c>
      <c r="BD16" s="5"/>
      <c r="BE16" s="5">
        <v>17037</v>
      </c>
      <c r="BF16" s="5"/>
      <c r="BG16" s="5"/>
      <c r="BH16" s="5">
        <v>33861</v>
      </c>
    </row>
    <row r="17" spans="1:60" x14ac:dyDescent="0.25">
      <c r="A17" s="1">
        <v>38899</v>
      </c>
      <c r="B17">
        <v>94899</v>
      </c>
      <c r="C17" t="s">
        <v>2</v>
      </c>
      <c r="J17" s="3">
        <v>39114</v>
      </c>
      <c r="K17" s="5">
        <v>23045</v>
      </c>
      <c r="L17" s="5"/>
      <c r="M17" s="5">
        <v>105785</v>
      </c>
      <c r="N17" s="5"/>
      <c r="O17" s="5"/>
      <c r="P17" s="5"/>
      <c r="Q17" s="5">
        <v>128830</v>
      </c>
      <c r="U17" s="1">
        <v>38838</v>
      </c>
      <c r="V17">
        <v>43099</v>
      </c>
      <c r="W17" t="s">
        <v>15</v>
      </c>
      <c r="AA17" s="3">
        <v>39114</v>
      </c>
      <c r="AB17" s="5">
        <v>1203</v>
      </c>
      <c r="AC17" s="5">
        <v>56557</v>
      </c>
      <c r="AD17" s="5">
        <v>71070</v>
      </c>
      <c r="AE17" s="5"/>
      <c r="AF17" s="5">
        <v>128830</v>
      </c>
      <c r="AI17" s="1">
        <v>38565</v>
      </c>
      <c r="AJ17">
        <v>3211</v>
      </c>
      <c r="AK17" t="s">
        <v>22</v>
      </c>
      <c r="AN17" s="3">
        <v>38777</v>
      </c>
      <c r="AO17" s="5">
        <v>12671</v>
      </c>
      <c r="AP17" s="5"/>
      <c r="AQ17" s="5">
        <v>77021</v>
      </c>
      <c r="AR17" s="5"/>
      <c r="AS17" s="5">
        <v>89692</v>
      </c>
      <c r="AW17" s="1">
        <v>38565</v>
      </c>
      <c r="AX17">
        <v>27493</v>
      </c>
      <c r="AY17" t="s">
        <v>23</v>
      </c>
      <c r="BB17" s="3">
        <v>38777</v>
      </c>
      <c r="BC17" s="5">
        <v>14656</v>
      </c>
      <c r="BD17" s="5"/>
      <c r="BE17" s="5">
        <v>13255</v>
      </c>
      <c r="BF17" s="5"/>
      <c r="BG17" s="5"/>
      <c r="BH17" s="5">
        <v>27911</v>
      </c>
    </row>
    <row r="18" spans="1:60" x14ac:dyDescent="0.25">
      <c r="A18" s="1">
        <v>38930</v>
      </c>
      <c r="B18">
        <v>11293</v>
      </c>
      <c r="C18" t="s">
        <v>3</v>
      </c>
      <c r="J18" s="3">
        <v>39142</v>
      </c>
      <c r="K18" s="5">
        <v>21585</v>
      </c>
      <c r="L18" s="5"/>
      <c r="M18" s="5">
        <v>107547</v>
      </c>
      <c r="N18" s="5"/>
      <c r="O18" s="5"/>
      <c r="P18" s="5"/>
      <c r="Q18" s="5">
        <v>129132</v>
      </c>
      <c r="U18" s="1">
        <v>38838</v>
      </c>
      <c r="V18">
        <v>50281</v>
      </c>
      <c r="W18" t="s">
        <v>16</v>
      </c>
      <c r="AA18" s="3">
        <v>39142</v>
      </c>
      <c r="AB18" s="5">
        <v>1354</v>
      </c>
      <c r="AC18" s="5">
        <v>60614</v>
      </c>
      <c r="AD18" s="5">
        <v>67164</v>
      </c>
      <c r="AE18" s="5"/>
      <c r="AF18" s="5">
        <v>129132</v>
      </c>
      <c r="AI18" s="1">
        <v>38596</v>
      </c>
      <c r="AJ18">
        <v>4048</v>
      </c>
      <c r="AK18" t="s">
        <v>22</v>
      </c>
      <c r="AN18" s="3">
        <v>38808</v>
      </c>
      <c r="AO18" s="5">
        <v>13588</v>
      </c>
      <c r="AP18" s="5"/>
      <c r="AQ18" s="5">
        <v>86488</v>
      </c>
      <c r="AR18" s="5"/>
      <c r="AS18" s="5">
        <v>100076</v>
      </c>
      <c r="AW18" s="1">
        <v>38596</v>
      </c>
      <c r="AX18">
        <v>31231</v>
      </c>
      <c r="AY18" t="s">
        <v>23</v>
      </c>
      <c r="BB18" s="3">
        <v>38808</v>
      </c>
      <c r="BC18" s="5">
        <v>16622</v>
      </c>
      <c r="BD18" s="5"/>
      <c r="BE18" s="5">
        <v>15658</v>
      </c>
      <c r="BF18" s="5"/>
      <c r="BG18" s="5"/>
      <c r="BH18" s="5">
        <v>32280</v>
      </c>
    </row>
    <row r="19" spans="1:60" x14ac:dyDescent="0.25">
      <c r="A19" s="1">
        <v>38930</v>
      </c>
      <c r="B19">
        <v>106784</v>
      </c>
      <c r="C19" t="s">
        <v>2</v>
      </c>
      <c r="J19" s="3">
        <v>39173</v>
      </c>
      <c r="K19" s="5">
        <v>20927</v>
      </c>
      <c r="L19" s="5"/>
      <c r="M19" s="5">
        <v>100318</v>
      </c>
      <c r="N19" s="5"/>
      <c r="O19" s="5"/>
      <c r="P19" s="5"/>
      <c r="Q19" s="5">
        <v>121245</v>
      </c>
      <c r="U19" s="1">
        <v>38838</v>
      </c>
      <c r="V19">
        <v>1286</v>
      </c>
      <c r="W19" t="s">
        <v>14</v>
      </c>
      <c r="AA19" s="3">
        <v>39173</v>
      </c>
      <c r="AB19" s="5">
        <v>1198</v>
      </c>
      <c r="AC19" s="5">
        <v>55862</v>
      </c>
      <c r="AD19" s="5">
        <v>64185</v>
      </c>
      <c r="AE19" s="5"/>
      <c r="AF19" s="5">
        <v>121245</v>
      </c>
      <c r="AI19" s="1">
        <v>38596</v>
      </c>
      <c r="AJ19">
        <v>617</v>
      </c>
      <c r="AK19" t="s">
        <v>23</v>
      </c>
      <c r="AN19" s="3">
        <v>38838</v>
      </c>
      <c r="AO19" s="5">
        <v>13902</v>
      </c>
      <c r="AP19" s="5"/>
      <c r="AQ19" s="5">
        <v>99743</v>
      </c>
      <c r="AR19" s="5"/>
      <c r="AS19" s="5">
        <v>113645</v>
      </c>
      <c r="AW19" s="1">
        <v>38596</v>
      </c>
      <c r="AX19">
        <v>29845</v>
      </c>
      <c r="AY19" t="s">
        <v>22</v>
      </c>
      <c r="BB19" s="3">
        <v>38838</v>
      </c>
      <c r="BC19" s="5">
        <v>19203</v>
      </c>
      <c r="BD19" s="5"/>
      <c r="BE19" s="5">
        <v>20502</v>
      </c>
      <c r="BF19" s="5"/>
      <c r="BG19" s="5"/>
      <c r="BH19" s="5">
        <v>39705</v>
      </c>
    </row>
    <row r="20" spans="1:60" x14ac:dyDescent="0.25">
      <c r="A20" s="1">
        <v>38961</v>
      </c>
      <c r="B20">
        <v>11420</v>
      </c>
      <c r="C20" t="s">
        <v>3</v>
      </c>
      <c r="J20" s="3">
        <v>39203</v>
      </c>
      <c r="K20" s="5">
        <v>23119</v>
      </c>
      <c r="L20" s="5"/>
      <c r="M20" s="5">
        <v>111446</v>
      </c>
      <c r="N20" s="5"/>
      <c r="O20" s="5"/>
      <c r="P20" s="5"/>
      <c r="Q20" s="5">
        <v>134565</v>
      </c>
      <c r="U20" s="1">
        <v>38869</v>
      </c>
      <c r="V20">
        <v>45484</v>
      </c>
      <c r="W20" t="s">
        <v>15</v>
      </c>
      <c r="AA20" s="3">
        <v>39203</v>
      </c>
      <c r="AB20" s="5">
        <v>1274</v>
      </c>
      <c r="AC20" s="5">
        <v>63827</v>
      </c>
      <c r="AD20" s="5">
        <v>69464</v>
      </c>
      <c r="AE20" s="5"/>
      <c r="AF20" s="5">
        <v>134565</v>
      </c>
      <c r="AI20" s="1">
        <v>38626</v>
      </c>
      <c r="AJ20">
        <v>996</v>
      </c>
      <c r="AK20" t="s">
        <v>23</v>
      </c>
      <c r="AN20" s="3">
        <v>38869</v>
      </c>
      <c r="AO20" s="5">
        <v>12297</v>
      </c>
      <c r="AP20" s="5"/>
      <c r="AQ20" s="5">
        <v>94688</v>
      </c>
      <c r="AR20" s="5"/>
      <c r="AS20" s="5">
        <v>106985</v>
      </c>
      <c r="AW20" s="1">
        <v>38626</v>
      </c>
      <c r="AX20">
        <v>29919</v>
      </c>
      <c r="AY20" t="s">
        <v>22</v>
      </c>
      <c r="BB20" s="3">
        <v>38869</v>
      </c>
      <c r="BC20" s="5">
        <v>16151</v>
      </c>
      <c r="BD20" s="5"/>
      <c r="BE20" s="5">
        <v>19385</v>
      </c>
      <c r="BF20" s="5"/>
      <c r="BG20" s="5"/>
      <c r="BH20" s="5">
        <v>35536</v>
      </c>
    </row>
    <row r="21" spans="1:60" x14ac:dyDescent="0.25">
      <c r="A21" s="1">
        <v>38961</v>
      </c>
      <c r="B21">
        <v>107277</v>
      </c>
      <c r="C21" t="s">
        <v>2</v>
      </c>
      <c r="J21" s="3">
        <v>39234</v>
      </c>
      <c r="K21" s="5">
        <v>20337</v>
      </c>
      <c r="L21" s="5"/>
      <c r="M21" s="5">
        <v>112135</v>
      </c>
      <c r="N21" s="5"/>
      <c r="O21" s="5"/>
      <c r="P21" s="5"/>
      <c r="Q21" s="5">
        <v>132472</v>
      </c>
      <c r="U21" s="1">
        <v>38869</v>
      </c>
      <c r="V21">
        <v>60815</v>
      </c>
      <c r="W21" t="s">
        <v>16</v>
      </c>
      <c r="AA21" s="3">
        <v>39234</v>
      </c>
      <c r="AB21" s="5">
        <v>1295</v>
      </c>
      <c r="AC21" s="5">
        <v>69687</v>
      </c>
      <c r="AD21" s="5">
        <v>61490</v>
      </c>
      <c r="AE21" s="5"/>
      <c r="AF21" s="5">
        <v>132472</v>
      </c>
      <c r="AI21" s="1">
        <v>38626</v>
      </c>
      <c r="AJ21">
        <v>7481</v>
      </c>
      <c r="AK21" t="s">
        <v>22</v>
      </c>
      <c r="AN21" s="3">
        <v>38899</v>
      </c>
      <c r="AO21" s="5">
        <v>11912</v>
      </c>
      <c r="AP21" s="5"/>
      <c r="AQ21" s="5">
        <v>102712</v>
      </c>
      <c r="AR21" s="5"/>
      <c r="AS21" s="5">
        <v>114624</v>
      </c>
      <c r="AW21" s="1">
        <v>38626</v>
      </c>
      <c r="AX21">
        <v>30344</v>
      </c>
      <c r="AY21" t="s">
        <v>23</v>
      </c>
      <c r="BB21" s="3">
        <v>38899</v>
      </c>
      <c r="BC21" s="5">
        <v>15699</v>
      </c>
      <c r="BD21" s="5"/>
      <c r="BE21" s="5">
        <v>21324</v>
      </c>
      <c r="BF21" s="5"/>
      <c r="BG21" s="5"/>
      <c r="BH21" s="5">
        <v>37023</v>
      </c>
    </row>
    <row r="22" spans="1:60" x14ac:dyDescent="0.25">
      <c r="A22" s="1">
        <v>38991</v>
      </c>
      <c r="B22">
        <v>11613</v>
      </c>
      <c r="C22" t="s">
        <v>3</v>
      </c>
      <c r="J22" s="3">
        <v>39264</v>
      </c>
      <c r="K22" s="5">
        <v>17646</v>
      </c>
      <c r="L22" s="5"/>
      <c r="M22" s="5">
        <v>100566</v>
      </c>
      <c r="N22" s="5"/>
      <c r="O22" s="5"/>
      <c r="P22" s="5"/>
      <c r="Q22" s="5">
        <v>118212</v>
      </c>
      <c r="U22" s="1">
        <v>38869</v>
      </c>
      <c r="V22">
        <v>1464</v>
      </c>
      <c r="W22" t="s">
        <v>14</v>
      </c>
      <c r="AA22" s="3">
        <v>39264</v>
      </c>
      <c r="AB22" s="5">
        <v>1176</v>
      </c>
      <c r="AC22" s="5">
        <v>63220</v>
      </c>
      <c r="AD22" s="5">
        <v>53816</v>
      </c>
      <c r="AE22" s="5"/>
      <c r="AF22" s="5">
        <v>118212</v>
      </c>
      <c r="AI22" s="1">
        <v>38657</v>
      </c>
      <c r="AJ22">
        <v>15991</v>
      </c>
      <c r="AK22" t="s">
        <v>22</v>
      </c>
      <c r="AN22" s="3">
        <v>38930</v>
      </c>
      <c r="AO22" s="5">
        <v>11212</v>
      </c>
      <c r="AP22" s="5"/>
      <c r="AQ22" s="5">
        <v>111389</v>
      </c>
      <c r="AR22" s="5"/>
      <c r="AS22" s="5">
        <v>122601</v>
      </c>
      <c r="AW22" s="1">
        <v>38657</v>
      </c>
      <c r="AX22">
        <v>27266</v>
      </c>
      <c r="AY22" t="s">
        <v>23</v>
      </c>
      <c r="BB22" s="3">
        <v>38930</v>
      </c>
      <c r="BC22" s="5">
        <v>13990</v>
      </c>
      <c r="BD22" s="5"/>
      <c r="BE22" s="5">
        <v>21062</v>
      </c>
      <c r="BF22" s="5"/>
      <c r="BG22" s="5"/>
      <c r="BH22" s="5">
        <v>35052</v>
      </c>
    </row>
    <row r="23" spans="1:60" x14ac:dyDescent="0.25">
      <c r="A23" s="1">
        <v>38991</v>
      </c>
      <c r="B23">
        <v>92041</v>
      </c>
      <c r="C23" t="s">
        <v>2</v>
      </c>
      <c r="J23" s="3">
        <v>39295</v>
      </c>
      <c r="K23" s="5">
        <v>17169</v>
      </c>
      <c r="L23" s="5"/>
      <c r="M23" s="5">
        <v>117065</v>
      </c>
      <c r="N23" s="5"/>
      <c r="O23" s="5"/>
      <c r="P23" s="5"/>
      <c r="Q23" s="5">
        <v>134234</v>
      </c>
      <c r="U23" s="1">
        <v>38899</v>
      </c>
      <c r="V23">
        <v>41248</v>
      </c>
      <c r="W23" t="s">
        <v>15</v>
      </c>
      <c r="AA23" s="3">
        <v>39295</v>
      </c>
      <c r="AB23" s="5">
        <v>1317</v>
      </c>
      <c r="AC23" s="5">
        <v>77551</v>
      </c>
      <c r="AD23" s="5">
        <v>55366</v>
      </c>
      <c r="AE23" s="5"/>
      <c r="AF23" s="5">
        <v>134234</v>
      </c>
      <c r="AI23" s="1">
        <v>38657</v>
      </c>
      <c r="AJ23">
        <v>2199</v>
      </c>
      <c r="AK23" t="s">
        <v>23</v>
      </c>
      <c r="AN23" s="3">
        <v>38961</v>
      </c>
      <c r="AO23" s="5">
        <v>10662</v>
      </c>
      <c r="AP23" s="5"/>
      <c r="AQ23" s="5">
        <v>101464</v>
      </c>
      <c r="AR23" s="5"/>
      <c r="AS23" s="5">
        <v>112126</v>
      </c>
      <c r="AW23" s="1">
        <v>38657</v>
      </c>
      <c r="AX23">
        <v>25968</v>
      </c>
      <c r="AY23" t="s">
        <v>22</v>
      </c>
      <c r="BB23" s="3">
        <v>38961</v>
      </c>
      <c r="BC23" s="5">
        <v>12747</v>
      </c>
      <c r="BD23" s="5"/>
      <c r="BE23" s="5">
        <v>18244</v>
      </c>
      <c r="BF23" s="5"/>
      <c r="BG23" s="5"/>
      <c r="BH23" s="5">
        <v>30991</v>
      </c>
    </row>
    <row r="24" spans="1:60" x14ac:dyDescent="0.25">
      <c r="A24" s="1">
        <v>39022</v>
      </c>
      <c r="B24">
        <v>83109</v>
      </c>
      <c r="C24" t="s">
        <v>2</v>
      </c>
      <c r="J24" s="3">
        <v>39326</v>
      </c>
      <c r="K24" s="5">
        <v>17527</v>
      </c>
      <c r="L24" s="5"/>
      <c r="M24" s="5">
        <v>136772</v>
      </c>
      <c r="N24" s="5"/>
      <c r="O24" s="5"/>
      <c r="P24" s="5"/>
      <c r="Q24" s="5">
        <v>154299</v>
      </c>
      <c r="U24" s="1">
        <v>38899</v>
      </c>
      <c r="V24">
        <v>62896</v>
      </c>
      <c r="W24" t="s">
        <v>16</v>
      </c>
      <c r="AA24" s="3">
        <v>39326</v>
      </c>
      <c r="AB24" s="5">
        <v>1309</v>
      </c>
      <c r="AC24" s="5">
        <v>97102</v>
      </c>
      <c r="AD24" s="5">
        <v>55888</v>
      </c>
      <c r="AE24" s="5"/>
      <c r="AF24" s="5">
        <v>154299</v>
      </c>
      <c r="AI24" s="1">
        <v>38687</v>
      </c>
      <c r="AJ24">
        <v>9660</v>
      </c>
      <c r="AK24" t="s">
        <v>23</v>
      </c>
      <c r="AN24" s="3">
        <v>38991</v>
      </c>
      <c r="AO24" s="5">
        <v>11537</v>
      </c>
      <c r="AP24" s="5"/>
      <c r="AQ24" s="5">
        <v>102383</v>
      </c>
      <c r="AR24" s="5"/>
      <c r="AS24" s="5">
        <v>113920</v>
      </c>
      <c r="AW24" s="1">
        <v>38687</v>
      </c>
      <c r="AX24">
        <v>23032</v>
      </c>
      <c r="AY24" t="s">
        <v>22</v>
      </c>
      <c r="BB24" s="3">
        <v>38991</v>
      </c>
      <c r="BC24" s="5">
        <v>15647</v>
      </c>
      <c r="BD24" s="5"/>
      <c r="BE24" s="5">
        <v>21523</v>
      </c>
      <c r="BF24" s="5"/>
      <c r="BG24" s="5"/>
      <c r="BH24" s="5">
        <v>37170</v>
      </c>
    </row>
    <row r="25" spans="1:60" x14ac:dyDescent="0.25">
      <c r="A25" s="1">
        <v>39022</v>
      </c>
      <c r="B25">
        <v>13547</v>
      </c>
      <c r="C25" t="s">
        <v>3</v>
      </c>
      <c r="J25" s="3">
        <v>39356</v>
      </c>
      <c r="K25" s="5">
        <v>17939</v>
      </c>
      <c r="L25" s="5"/>
      <c r="M25" s="5">
        <v>108346</v>
      </c>
      <c r="N25" s="5"/>
      <c r="O25" s="5"/>
      <c r="P25" s="5"/>
      <c r="Q25" s="5">
        <v>126285</v>
      </c>
      <c r="U25" s="1">
        <v>38899</v>
      </c>
      <c r="V25">
        <v>1287</v>
      </c>
      <c r="W25" t="s">
        <v>14</v>
      </c>
      <c r="AA25" s="3">
        <v>39356</v>
      </c>
      <c r="AB25" s="5">
        <v>1507</v>
      </c>
      <c r="AC25" s="5">
        <v>72966</v>
      </c>
      <c r="AD25" s="5">
        <v>51812</v>
      </c>
      <c r="AE25" s="5"/>
      <c r="AF25" s="5">
        <v>126285</v>
      </c>
      <c r="AI25" s="1">
        <v>38687</v>
      </c>
      <c r="AJ25">
        <v>58394</v>
      </c>
      <c r="AK25" t="s">
        <v>22</v>
      </c>
      <c r="AN25" s="3">
        <v>39022</v>
      </c>
      <c r="AO25" s="5">
        <v>12948</v>
      </c>
      <c r="AP25" s="5"/>
      <c r="AQ25" s="5">
        <v>96093</v>
      </c>
      <c r="AR25" s="5"/>
      <c r="AS25" s="5">
        <v>109041</v>
      </c>
      <c r="AW25" s="1">
        <v>38687</v>
      </c>
      <c r="AX25">
        <v>26896</v>
      </c>
      <c r="AY25" t="s">
        <v>23</v>
      </c>
      <c r="BB25" s="3">
        <v>39022</v>
      </c>
      <c r="BC25" s="5">
        <v>16622</v>
      </c>
      <c r="BD25" s="5"/>
      <c r="BE25" s="5">
        <v>20834</v>
      </c>
      <c r="BF25" s="5"/>
      <c r="BG25" s="5"/>
      <c r="BH25" s="5">
        <v>37456</v>
      </c>
    </row>
    <row r="26" spans="1:60" x14ac:dyDescent="0.25">
      <c r="A26" s="1">
        <v>39052</v>
      </c>
      <c r="B26">
        <v>109560</v>
      </c>
      <c r="C26" t="s">
        <v>2</v>
      </c>
      <c r="J26" s="3">
        <v>39387</v>
      </c>
      <c r="K26" s="5">
        <v>22061</v>
      </c>
      <c r="L26" s="5"/>
      <c r="M26" s="5">
        <v>118469</v>
      </c>
      <c r="N26" s="5"/>
      <c r="O26" s="5"/>
      <c r="P26" s="5"/>
      <c r="Q26" s="5">
        <v>140530</v>
      </c>
      <c r="U26" s="1">
        <v>38930</v>
      </c>
      <c r="V26">
        <v>42532</v>
      </c>
      <c r="W26" t="s">
        <v>15</v>
      </c>
      <c r="AA26" s="3">
        <v>39387</v>
      </c>
      <c r="AB26" s="5">
        <v>1555</v>
      </c>
      <c r="AC26" s="5">
        <v>77897</v>
      </c>
      <c r="AD26" s="5">
        <v>61078</v>
      </c>
      <c r="AE26" s="5"/>
      <c r="AF26" s="5">
        <v>140530</v>
      </c>
      <c r="AI26" s="1">
        <v>38718</v>
      </c>
      <c r="AJ26">
        <v>96347</v>
      </c>
      <c r="AK26" t="s">
        <v>22</v>
      </c>
      <c r="AN26" s="3">
        <v>39052</v>
      </c>
      <c r="AO26" s="5">
        <v>17880</v>
      </c>
      <c r="AP26" s="5"/>
      <c r="AQ26" s="5">
        <v>107332</v>
      </c>
      <c r="AR26" s="5"/>
      <c r="AS26" s="5">
        <v>125212</v>
      </c>
      <c r="AW26" s="1">
        <v>38718</v>
      </c>
      <c r="AX26">
        <v>19087</v>
      </c>
      <c r="AY26" t="s">
        <v>22</v>
      </c>
      <c r="BB26" s="3">
        <v>39052</v>
      </c>
      <c r="BC26" s="5">
        <v>20654</v>
      </c>
      <c r="BD26" s="5"/>
      <c r="BE26" s="5">
        <v>21144</v>
      </c>
      <c r="BF26" s="5"/>
      <c r="BG26" s="5"/>
      <c r="BH26" s="5">
        <v>41798</v>
      </c>
    </row>
    <row r="27" spans="1:60" x14ac:dyDescent="0.25">
      <c r="A27" s="1">
        <v>39052</v>
      </c>
      <c r="B27">
        <v>18639</v>
      </c>
      <c r="C27" t="s">
        <v>3</v>
      </c>
      <c r="J27" s="3">
        <v>39417</v>
      </c>
      <c r="K27" s="5">
        <v>23242</v>
      </c>
      <c r="L27" s="5"/>
      <c r="M27" s="5">
        <v>108670</v>
      </c>
      <c r="N27" s="5"/>
      <c r="O27" s="5"/>
      <c r="P27" s="5"/>
      <c r="Q27" s="5">
        <v>131912</v>
      </c>
      <c r="U27" s="1">
        <v>38930</v>
      </c>
      <c r="V27">
        <v>74272</v>
      </c>
      <c r="W27" t="s">
        <v>16</v>
      </c>
      <c r="AA27" s="3">
        <v>39417</v>
      </c>
      <c r="AB27" s="5">
        <v>1580</v>
      </c>
      <c r="AC27" s="5">
        <v>69883</v>
      </c>
      <c r="AD27" s="5">
        <v>60449</v>
      </c>
      <c r="AE27" s="5"/>
      <c r="AF27" s="5">
        <v>131912</v>
      </c>
      <c r="AI27" s="1">
        <v>38718</v>
      </c>
      <c r="AJ27">
        <v>14686</v>
      </c>
      <c r="AK27" t="s">
        <v>23</v>
      </c>
      <c r="AN27" s="3">
        <v>39083</v>
      </c>
      <c r="AO27" s="5">
        <v>17232</v>
      </c>
      <c r="AP27" s="5"/>
      <c r="AQ27" s="5">
        <v>98456</v>
      </c>
      <c r="AR27" s="5"/>
      <c r="AS27" s="5">
        <v>115688</v>
      </c>
      <c r="AW27" s="1">
        <v>38718</v>
      </c>
      <c r="AX27">
        <v>20216</v>
      </c>
      <c r="AY27" t="s">
        <v>23</v>
      </c>
      <c r="BB27" s="3">
        <v>39083</v>
      </c>
      <c r="BC27" s="5">
        <v>19393</v>
      </c>
      <c r="BD27" s="5"/>
      <c r="BE27" s="5">
        <v>20779</v>
      </c>
      <c r="BF27" s="5"/>
      <c r="BG27" s="5"/>
      <c r="BH27" s="5">
        <v>40172</v>
      </c>
    </row>
    <row r="28" spans="1:60" x14ac:dyDescent="0.25">
      <c r="A28" s="1">
        <v>39083</v>
      </c>
      <c r="B28">
        <v>16054</v>
      </c>
      <c r="C28" t="s">
        <v>3</v>
      </c>
      <c r="J28" s="3">
        <v>39448</v>
      </c>
      <c r="K28" s="5">
        <v>25971</v>
      </c>
      <c r="L28" s="5"/>
      <c r="M28" s="5">
        <v>90455</v>
      </c>
      <c r="N28" s="5"/>
      <c r="O28" s="5"/>
      <c r="P28" s="5"/>
      <c r="Q28" s="5">
        <v>116426</v>
      </c>
      <c r="U28" s="1">
        <v>38930</v>
      </c>
      <c r="V28">
        <v>1273</v>
      </c>
      <c r="W28" t="s">
        <v>14</v>
      </c>
      <c r="AA28" s="3">
        <v>39448</v>
      </c>
      <c r="AB28" s="5">
        <v>1271</v>
      </c>
      <c r="AC28" s="5">
        <v>54557</v>
      </c>
      <c r="AD28" s="5">
        <v>60598</v>
      </c>
      <c r="AE28" s="5"/>
      <c r="AF28" s="5">
        <v>116426</v>
      </c>
      <c r="AI28" s="1">
        <v>38749</v>
      </c>
      <c r="AJ28">
        <v>93070</v>
      </c>
      <c r="AK28" t="s">
        <v>22</v>
      </c>
      <c r="AN28" s="3">
        <v>39114</v>
      </c>
      <c r="AO28" s="5">
        <v>21209</v>
      </c>
      <c r="AP28" s="5"/>
      <c r="AQ28" s="5">
        <v>99305</v>
      </c>
      <c r="AR28" s="5"/>
      <c r="AS28" s="5">
        <v>120514</v>
      </c>
      <c r="AW28" s="1">
        <v>38749</v>
      </c>
      <c r="AX28">
        <v>17037</v>
      </c>
      <c r="AY28" t="s">
        <v>22</v>
      </c>
      <c r="BB28" s="3">
        <v>39114</v>
      </c>
      <c r="BC28" s="5">
        <v>22776</v>
      </c>
      <c r="BD28" s="5"/>
      <c r="BE28" s="5">
        <v>21525</v>
      </c>
      <c r="BF28" s="5"/>
      <c r="BG28" s="5"/>
      <c r="BH28" s="5">
        <v>44301</v>
      </c>
    </row>
    <row r="29" spans="1:60" x14ac:dyDescent="0.25">
      <c r="A29" s="1">
        <v>39083</v>
      </c>
      <c r="B29">
        <v>90090</v>
      </c>
      <c r="C29" t="s">
        <v>2</v>
      </c>
      <c r="J29" s="3">
        <v>39479</v>
      </c>
      <c r="K29" s="5">
        <v>41508</v>
      </c>
      <c r="L29" s="5"/>
      <c r="M29" s="5">
        <v>124215</v>
      </c>
      <c r="N29" s="5"/>
      <c r="O29" s="5"/>
      <c r="P29" s="5"/>
      <c r="Q29" s="5">
        <v>165723</v>
      </c>
      <c r="U29" s="1">
        <v>38961</v>
      </c>
      <c r="V29">
        <v>43129</v>
      </c>
      <c r="W29" t="s">
        <v>15</v>
      </c>
      <c r="AA29" s="3">
        <v>39479</v>
      </c>
      <c r="AB29" s="5">
        <v>1484</v>
      </c>
      <c r="AC29" s="5">
        <v>72837</v>
      </c>
      <c r="AD29" s="5">
        <v>91402</v>
      </c>
      <c r="AE29" s="5"/>
      <c r="AF29" s="5">
        <v>165723</v>
      </c>
      <c r="AI29" s="1">
        <v>38749</v>
      </c>
      <c r="AJ29">
        <v>13545</v>
      </c>
      <c r="AK29" t="s">
        <v>23</v>
      </c>
      <c r="AN29" s="3">
        <v>39142</v>
      </c>
      <c r="AO29" s="5">
        <v>20923</v>
      </c>
      <c r="AP29" s="5"/>
      <c r="AQ29" s="5">
        <v>86895</v>
      </c>
      <c r="AR29" s="5"/>
      <c r="AS29" s="5">
        <v>107818</v>
      </c>
      <c r="AW29" s="1">
        <v>38749</v>
      </c>
      <c r="AX29">
        <v>16824</v>
      </c>
      <c r="AY29" t="s">
        <v>23</v>
      </c>
      <c r="BB29" s="3">
        <v>39142</v>
      </c>
      <c r="BC29" s="5">
        <v>22740</v>
      </c>
      <c r="BD29" s="5"/>
      <c r="BE29" s="5">
        <v>18020</v>
      </c>
      <c r="BF29" s="5"/>
      <c r="BG29" s="5"/>
      <c r="BH29" s="5">
        <v>40760</v>
      </c>
    </row>
    <row r="30" spans="1:60" x14ac:dyDescent="0.25">
      <c r="A30" s="1">
        <v>39114</v>
      </c>
      <c r="B30">
        <v>105785</v>
      </c>
      <c r="C30" t="s">
        <v>2</v>
      </c>
      <c r="J30" s="3">
        <v>39508</v>
      </c>
      <c r="K30" s="5">
        <v>49873</v>
      </c>
      <c r="L30" s="5"/>
      <c r="M30" s="5">
        <v>88535</v>
      </c>
      <c r="N30" s="5"/>
      <c r="O30" s="5"/>
      <c r="P30" s="5"/>
      <c r="Q30" s="5">
        <v>138408</v>
      </c>
      <c r="U30" s="1">
        <v>38961</v>
      </c>
      <c r="V30">
        <v>74289</v>
      </c>
      <c r="W30" t="s">
        <v>16</v>
      </c>
      <c r="AA30" s="3">
        <v>39508</v>
      </c>
      <c r="AB30" s="5">
        <v>1372</v>
      </c>
      <c r="AC30" s="5">
        <v>43659</v>
      </c>
      <c r="AD30" s="5">
        <v>93377</v>
      </c>
      <c r="AE30" s="5"/>
      <c r="AF30" s="5">
        <v>138408</v>
      </c>
      <c r="AI30" s="1">
        <v>38777</v>
      </c>
      <c r="AJ30">
        <v>77021</v>
      </c>
      <c r="AK30" t="s">
        <v>22</v>
      </c>
      <c r="AN30" s="3">
        <v>39173</v>
      </c>
      <c r="AO30" s="5">
        <v>18017</v>
      </c>
      <c r="AP30" s="5"/>
      <c r="AQ30" s="5">
        <v>93294</v>
      </c>
      <c r="AR30" s="5"/>
      <c r="AS30" s="5">
        <v>111311</v>
      </c>
      <c r="AW30" s="1">
        <v>38777</v>
      </c>
      <c r="AX30">
        <v>13255</v>
      </c>
      <c r="AY30" t="s">
        <v>22</v>
      </c>
      <c r="BB30" s="3">
        <v>39173</v>
      </c>
      <c r="BC30" s="5">
        <v>20586</v>
      </c>
      <c r="BD30" s="5"/>
      <c r="BE30" s="5">
        <v>18869</v>
      </c>
      <c r="BF30" s="5"/>
      <c r="BG30" s="5"/>
      <c r="BH30" s="5">
        <v>39455</v>
      </c>
    </row>
    <row r="31" spans="1:60" x14ac:dyDescent="0.25">
      <c r="A31" s="1">
        <v>39114</v>
      </c>
      <c r="B31">
        <v>23045</v>
      </c>
      <c r="C31" t="s">
        <v>3</v>
      </c>
      <c r="J31" s="3">
        <v>39539</v>
      </c>
      <c r="K31" s="5">
        <v>44733</v>
      </c>
      <c r="L31" s="5"/>
      <c r="M31" s="5">
        <v>98952</v>
      </c>
      <c r="N31" s="5"/>
      <c r="O31" s="5"/>
      <c r="P31" s="5"/>
      <c r="Q31" s="5">
        <v>143685</v>
      </c>
      <c r="U31" s="1">
        <v>38961</v>
      </c>
      <c r="V31">
        <v>1279</v>
      </c>
      <c r="W31" t="s">
        <v>14</v>
      </c>
      <c r="AA31" s="3">
        <v>39539</v>
      </c>
      <c r="AB31" s="5">
        <v>1368</v>
      </c>
      <c r="AC31" s="5">
        <v>50960</v>
      </c>
      <c r="AD31" s="5">
        <v>91357</v>
      </c>
      <c r="AE31" s="5"/>
      <c r="AF31" s="5">
        <v>143685</v>
      </c>
      <c r="AI31" s="1">
        <v>38777</v>
      </c>
      <c r="AJ31">
        <v>12671</v>
      </c>
      <c r="AK31" t="s">
        <v>23</v>
      </c>
      <c r="AN31" s="3">
        <v>39203</v>
      </c>
      <c r="AO31" s="5">
        <v>22875</v>
      </c>
      <c r="AP31" s="5"/>
      <c r="AQ31" s="5">
        <v>118081</v>
      </c>
      <c r="AR31" s="5"/>
      <c r="AS31" s="5">
        <v>140956</v>
      </c>
      <c r="AW31" s="1">
        <v>38777</v>
      </c>
      <c r="AX31">
        <v>14656</v>
      </c>
      <c r="AY31" t="s">
        <v>23</v>
      </c>
      <c r="BB31" s="3">
        <v>39203</v>
      </c>
      <c r="BC31" s="5">
        <v>25028</v>
      </c>
      <c r="BD31" s="5"/>
      <c r="BE31" s="5">
        <v>25321</v>
      </c>
      <c r="BF31" s="5"/>
      <c r="BG31" s="5"/>
      <c r="BH31" s="5">
        <v>50349</v>
      </c>
    </row>
    <row r="32" spans="1:60" x14ac:dyDescent="0.25">
      <c r="A32" s="1">
        <v>39142</v>
      </c>
      <c r="B32">
        <v>107547</v>
      </c>
      <c r="C32" t="s">
        <v>2</v>
      </c>
      <c r="J32" s="3">
        <v>39569</v>
      </c>
      <c r="K32" s="5">
        <v>41194</v>
      </c>
      <c r="L32" s="5"/>
      <c r="M32" s="5">
        <v>110414</v>
      </c>
      <c r="N32" s="5"/>
      <c r="O32" s="5"/>
      <c r="P32" s="5"/>
      <c r="Q32" s="5">
        <v>151608</v>
      </c>
      <c r="U32" s="1">
        <v>38991</v>
      </c>
      <c r="V32">
        <v>43075</v>
      </c>
      <c r="W32" t="s">
        <v>15</v>
      </c>
      <c r="AA32" s="3">
        <v>39569</v>
      </c>
      <c r="AB32" s="5">
        <v>1404</v>
      </c>
      <c r="AC32" s="5">
        <v>58452</v>
      </c>
      <c r="AD32" s="5">
        <v>91752</v>
      </c>
      <c r="AE32" s="5"/>
      <c r="AF32" s="5">
        <v>151608</v>
      </c>
      <c r="AI32" s="1">
        <v>38808</v>
      </c>
      <c r="AJ32">
        <v>86488</v>
      </c>
      <c r="AK32" t="s">
        <v>22</v>
      </c>
      <c r="AN32" s="3">
        <v>39234</v>
      </c>
      <c r="AO32" s="5">
        <v>24801</v>
      </c>
      <c r="AP32" s="5"/>
      <c r="AQ32" s="5">
        <v>122699</v>
      </c>
      <c r="AR32" s="5"/>
      <c r="AS32" s="5">
        <v>147500</v>
      </c>
      <c r="AW32" s="1">
        <v>38808</v>
      </c>
      <c r="AX32">
        <v>15658</v>
      </c>
      <c r="AY32" t="s">
        <v>22</v>
      </c>
      <c r="BB32" s="3">
        <v>39234</v>
      </c>
      <c r="BC32" s="5">
        <v>26551</v>
      </c>
      <c r="BD32" s="5"/>
      <c r="BE32" s="5">
        <v>27815</v>
      </c>
      <c r="BF32" s="5"/>
      <c r="BG32" s="5"/>
      <c r="BH32" s="5">
        <v>54366</v>
      </c>
    </row>
    <row r="33" spans="1:60" x14ac:dyDescent="0.25">
      <c r="A33" s="1">
        <v>39142</v>
      </c>
      <c r="B33">
        <v>21585</v>
      </c>
      <c r="C33" t="s">
        <v>3</v>
      </c>
      <c r="J33" s="3">
        <v>39600</v>
      </c>
      <c r="K33" s="5">
        <v>30865</v>
      </c>
      <c r="L33" s="5"/>
      <c r="M33" s="5">
        <v>108177</v>
      </c>
      <c r="N33" s="5"/>
      <c r="O33" s="5"/>
      <c r="P33" s="5"/>
      <c r="Q33" s="5">
        <v>139042</v>
      </c>
      <c r="U33" s="1">
        <v>38991</v>
      </c>
      <c r="V33">
        <v>59427</v>
      </c>
      <c r="W33" t="s">
        <v>16</v>
      </c>
      <c r="AA33" s="3">
        <v>39600</v>
      </c>
      <c r="AB33" s="5">
        <v>1370</v>
      </c>
      <c r="AC33" s="5">
        <v>67055</v>
      </c>
      <c r="AD33" s="5">
        <v>70617</v>
      </c>
      <c r="AE33" s="5"/>
      <c r="AF33" s="5">
        <v>139042</v>
      </c>
      <c r="AI33" s="1">
        <v>38808</v>
      </c>
      <c r="AJ33">
        <v>13588</v>
      </c>
      <c r="AK33" t="s">
        <v>23</v>
      </c>
      <c r="AN33" s="3">
        <v>39264</v>
      </c>
      <c r="AO33" s="5">
        <v>21810</v>
      </c>
      <c r="AP33" s="5"/>
      <c r="AQ33" s="5">
        <v>125488</v>
      </c>
      <c r="AR33" s="5"/>
      <c r="AS33" s="5">
        <v>147298</v>
      </c>
      <c r="AW33" s="1">
        <v>38808</v>
      </c>
      <c r="AX33">
        <v>16622</v>
      </c>
      <c r="AY33" t="s">
        <v>23</v>
      </c>
      <c r="BB33" s="3">
        <v>39264</v>
      </c>
      <c r="BC33" s="5">
        <v>26375</v>
      </c>
      <c r="BD33" s="5"/>
      <c r="BE33" s="5">
        <v>32290</v>
      </c>
      <c r="BF33" s="5"/>
      <c r="BG33" s="5"/>
      <c r="BH33" s="5">
        <v>58665</v>
      </c>
    </row>
    <row r="34" spans="1:60" x14ac:dyDescent="0.25">
      <c r="A34" s="1">
        <v>39173</v>
      </c>
      <c r="B34">
        <v>100318</v>
      </c>
      <c r="C34" t="s">
        <v>2</v>
      </c>
      <c r="J34" s="3">
        <v>39630</v>
      </c>
      <c r="K34" s="5">
        <v>15169</v>
      </c>
      <c r="L34" s="5"/>
      <c r="M34" s="5">
        <v>62302</v>
      </c>
      <c r="N34" s="5"/>
      <c r="O34" s="5"/>
      <c r="P34" s="5"/>
      <c r="Q34" s="5">
        <v>77471</v>
      </c>
      <c r="U34" s="1">
        <v>38991</v>
      </c>
      <c r="V34">
        <v>1152</v>
      </c>
      <c r="W34" t="s">
        <v>14</v>
      </c>
      <c r="AA34" s="3">
        <v>39630</v>
      </c>
      <c r="AB34" s="5">
        <v>427</v>
      </c>
      <c r="AC34" s="5">
        <v>41004</v>
      </c>
      <c r="AD34" s="5">
        <v>36040</v>
      </c>
      <c r="AE34" s="5"/>
      <c r="AF34" s="5">
        <v>77471</v>
      </c>
      <c r="AI34" s="1">
        <v>38838</v>
      </c>
      <c r="AJ34">
        <v>99743</v>
      </c>
      <c r="AK34" t="s">
        <v>22</v>
      </c>
      <c r="AN34" s="3">
        <v>39295</v>
      </c>
      <c r="AO34" s="5">
        <v>17435</v>
      </c>
      <c r="AP34" s="5"/>
      <c r="AQ34" s="5">
        <v>118350</v>
      </c>
      <c r="AR34" s="5"/>
      <c r="AS34" s="5">
        <v>135785</v>
      </c>
      <c r="AW34" s="1">
        <v>38838</v>
      </c>
      <c r="AX34">
        <v>20502</v>
      </c>
      <c r="AY34" t="s">
        <v>22</v>
      </c>
      <c r="BB34" s="3">
        <v>39295</v>
      </c>
      <c r="BC34" s="5">
        <v>21015</v>
      </c>
      <c r="BD34" s="5"/>
      <c r="BE34" s="5">
        <v>29663</v>
      </c>
      <c r="BF34" s="5"/>
      <c r="BG34" s="5"/>
      <c r="BH34" s="5">
        <v>50678</v>
      </c>
    </row>
    <row r="35" spans="1:60" x14ac:dyDescent="0.25">
      <c r="A35" s="1">
        <v>39173</v>
      </c>
      <c r="B35">
        <v>20927</v>
      </c>
      <c r="C35" t="s">
        <v>3</v>
      </c>
      <c r="J35" s="3">
        <v>39661</v>
      </c>
      <c r="K35" s="5">
        <v>12928</v>
      </c>
      <c r="L35" s="5"/>
      <c r="M35" s="5">
        <v>68339</v>
      </c>
      <c r="N35" s="5"/>
      <c r="O35" s="5"/>
      <c r="P35" s="5"/>
      <c r="Q35" s="5">
        <v>81267</v>
      </c>
      <c r="U35" s="1">
        <v>39022</v>
      </c>
      <c r="V35">
        <v>46704</v>
      </c>
      <c r="W35" t="s">
        <v>15</v>
      </c>
      <c r="AA35" s="3">
        <v>39661</v>
      </c>
      <c r="AB35" s="5">
        <v>419</v>
      </c>
      <c r="AC35" s="5">
        <v>47631</v>
      </c>
      <c r="AD35" s="5">
        <v>33217</v>
      </c>
      <c r="AE35" s="5"/>
      <c r="AF35" s="5">
        <v>81267</v>
      </c>
      <c r="AI35" s="1">
        <v>38838</v>
      </c>
      <c r="AJ35">
        <v>13902</v>
      </c>
      <c r="AK35" t="s">
        <v>23</v>
      </c>
      <c r="AN35" s="3">
        <v>39326</v>
      </c>
      <c r="AO35" s="5">
        <v>15467</v>
      </c>
      <c r="AP35" s="5"/>
      <c r="AQ35" s="5">
        <v>113663</v>
      </c>
      <c r="AR35" s="5"/>
      <c r="AS35" s="5">
        <v>129130</v>
      </c>
      <c r="AW35" s="1">
        <v>38838</v>
      </c>
      <c r="AX35">
        <v>19203</v>
      </c>
      <c r="AY35" t="s">
        <v>23</v>
      </c>
      <c r="BB35" s="3">
        <v>39326</v>
      </c>
      <c r="BC35" s="5">
        <v>16987</v>
      </c>
      <c r="BD35" s="5"/>
      <c r="BE35" s="5">
        <v>24698</v>
      </c>
      <c r="BF35" s="5"/>
      <c r="BG35" s="5"/>
      <c r="BH35" s="5">
        <v>41685</v>
      </c>
    </row>
    <row r="36" spans="1:60" x14ac:dyDescent="0.25">
      <c r="A36" s="1">
        <v>39203</v>
      </c>
      <c r="B36">
        <v>23119</v>
      </c>
      <c r="C36" t="s">
        <v>3</v>
      </c>
      <c r="J36" s="3">
        <v>39692</v>
      </c>
      <c r="K36" s="5">
        <v>11279</v>
      </c>
      <c r="L36" s="5"/>
      <c r="M36" s="5">
        <v>66445</v>
      </c>
      <c r="N36" s="5"/>
      <c r="O36" s="5"/>
      <c r="P36" s="5"/>
      <c r="Q36" s="5">
        <v>77724</v>
      </c>
      <c r="U36" s="1">
        <v>39022</v>
      </c>
      <c r="V36">
        <v>48845</v>
      </c>
      <c r="W36" t="s">
        <v>16</v>
      </c>
      <c r="AA36" s="3">
        <v>39692</v>
      </c>
      <c r="AB36" s="5">
        <v>409</v>
      </c>
      <c r="AC36" s="5">
        <v>47720</v>
      </c>
      <c r="AD36" s="5">
        <v>29595</v>
      </c>
      <c r="AE36" s="5"/>
      <c r="AF36" s="5">
        <v>77724</v>
      </c>
      <c r="AI36" s="1">
        <v>38869</v>
      </c>
      <c r="AJ36">
        <v>12297</v>
      </c>
      <c r="AK36" t="s">
        <v>23</v>
      </c>
      <c r="AN36" s="3">
        <v>39356</v>
      </c>
      <c r="AO36" s="5">
        <v>15255</v>
      </c>
      <c r="AP36" s="5"/>
      <c r="AQ36" s="5">
        <v>110255</v>
      </c>
      <c r="AR36" s="5"/>
      <c r="AS36" s="5">
        <v>125510</v>
      </c>
      <c r="AW36" s="1">
        <v>38869</v>
      </c>
      <c r="AX36">
        <v>19385</v>
      </c>
      <c r="AY36" t="s">
        <v>22</v>
      </c>
      <c r="BB36" s="3">
        <v>39356</v>
      </c>
      <c r="BC36" s="5">
        <v>18729</v>
      </c>
      <c r="BD36" s="5"/>
      <c r="BE36" s="5">
        <v>24976</v>
      </c>
      <c r="BF36" s="5"/>
      <c r="BG36" s="5"/>
      <c r="BH36" s="5">
        <v>43705</v>
      </c>
    </row>
    <row r="37" spans="1:60" x14ac:dyDescent="0.25">
      <c r="A37" s="1">
        <v>39203</v>
      </c>
      <c r="B37">
        <v>111446</v>
      </c>
      <c r="C37" t="s">
        <v>2</v>
      </c>
      <c r="J37" s="3">
        <v>39722</v>
      </c>
      <c r="K37" s="5">
        <v>9037</v>
      </c>
      <c r="L37" s="5"/>
      <c r="M37" s="5">
        <v>45734</v>
      </c>
      <c r="N37" s="5"/>
      <c r="O37" s="5"/>
      <c r="P37" s="5"/>
      <c r="Q37" s="5">
        <v>54771</v>
      </c>
      <c r="U37" s="1">
        <v>39022</v>
      </c>
      <c r="V37">
        <v>1107</v>
      </c>
      <c r="W37" t="s">
        <v>14</v>
      </c>
      <c r="AA37" s="3">
        <v>39722</v>
      </c>
      <c r="AB37" s="5">
        <v>177</v>
      </c>
      <c r="AC37" s="5">
        <v>31841</v>
      </c>
      <c r="AD37" s="5">
        <v>22753</v>
      </c>
      <c r="AE37" s="5"/>
      <c r="AF37" s="5">
        <v>54771</v>
      </c>
      <c r="AI37" s="1">
        <v>38869</v>
      </c>
      <c r="AJ37">
        <v>94688</v>
      </c>
      <c r="AK37" t="s">
        <v>22</v>
      </c>
      <c r="AN37" s="3">
        <v>39387</v>
      </c>
      <c r="AO37" s="5">
        <v>18097</v>
      </c>
      <c r="AP37" s="5"/>
      <c r="AQ37" s="5">
        <v>99633</v>
      </c>
      <c r="AR37" s="5"/>
      <c r="AS37" s="5">
        <v>117730</v>
      </c>
      <c r="AW37" s="1">
        <v>38869</v>
      </c>
      <c r="AX37">
        <v>16151</v>
      </c>
      <c r="AY37" t="s">
        <v>23</v>
      </c>
      <c r="BB37" s="3">
        <v>39387</v>
      </c>
      <c r="BC37" s="5">
        <v>20447</v>
      </c>
      <c r="BD37" s="5"/>
      <c r="BE37" s="5">
        <v>22959</v>
      </c>
      <c r="BF37" s="5"/>
      <c r="BG37" s="5"/>
      <c r="BH37" s="5">
        <v>43406</v>
      </c>
    </row>
    <row r="38" spans="1:60" x14ac:dyDescent="0.25">
      <c r="A38" s="1">
        <v>39234</v>
      </c>
      <c r="B38">
        <v>20337</v>
      </c>
      <c r="C38" t="s">
        <v>3</v>
      </c>
      <c r="J38" s="3">
        <v>39753</v>
      </c>
      <c r="K38" s="5">
        <v>13338</v>
      </c>
      <c r="L38" s="5"/>
      <c r="M38" s="5">
        <v>43655</v>
      </c>
      <c r="N38" s="5"/>
      <c r="O38" s="5"/>
      <c r="P38" s="5"/>
      <c r="Q38" s="5">
        <v>56993</v>
      </c>
      <c r="U38" s="1">
        <v>39052</v>
      </c>
      <c r="V38">
        <v>60968</v>
      </c>
      <c r="W38" t="s">
        <v>15</v>
      </c>
      <c r="AA38" s="3">
        <v>39753</v>
      </c>
      <c r="AB38" s="5">
        <v>407</v>
      </c>
      <c r="AC38" s="5">
        <v>28701</v>
      </c>
      <c r="AD38" s="5">
        <v>27885</v>
      </c>
      <c r="AE38" s="5"/>
      <c r="AF38" s="5">
        <v>56993</v>
      </c>
      <c r="AI38" s="1">
        <v>38899</v>
      </c>
      <c r="AJ38">
        <v>102712</v>
      </c>
      <c r="AK38" t="s">
        <v>22</v>
      </c>
      <c r="AN38" s="3">
        <v>39417</v>
      </c>
      <c r="AO38" s="5">
        <v>21973</v>
      </c>
      <c r="AP38" s="5"/>
      <c r="AQ38" s="5">
        <v>101090</v>
      </c>
      <c r="AR38" s="5"/>
      <c r="AS38" s="5">
        <v>123063</v>
      </c>
      <c r="AW38" s="1">
        <v>38899</v>
      </c>
      <c r="AX38">
        <v>21324</v>
      </c>
      <c r="AY38" t="s">
        <v>22</v>
      </c>
      <c r="BB38" s="3">
        <v>39417</v>
      </c>
      <c r="BC38" s="5">
        <v>25996</v>
      </c>
      <c r="BD38" s="5"/>
      <c r="BE38" s="5">
        <v>25043</v>
      </c>
      <c r="BF38" s="5"/>
      <c r="BG38" s="5"/>
      <c r="BH38" s="5">
        <v>51039</v>
      </c>
    </row>
    <row r="39" spans="1:60" x14ac:dyDescent="0.25">
      <c r="A39" s="1">
        <v>39234</v>
      </c>
      <c r="B39">
        <v>112135</v>
      </c>
      <c r="C39" t="s">
        <v>2</v>
      </c>
      <c r="J39" s="3">
        <v>39783</v>
      </c>
      <c r="K39" s="5">
        <v>12980</v>
      </c>
      <c r="L39" s="5"/>
      <c r="M39" s="5">
        <v>50259</v>
      </c>
      <c r="N39" s="5"/>
      <c r="O39" s="5"/>
      <c r="P39" s="5"/>
      <c r="Q39" s="5">
        <v>63239</v>
      </c>
      <c r="U39" s="1">
        <v>39052</v>
      </c>
      <c r="V39">
        <v>65808</v>
      </c>
      <c r="W39" t="s">
        <v>16</v>
      </c>
      <c r="AA39" s="3">
        <v>39783</v>
      </c>
      <c r="AB39" s="5">
        <v>375</v>
      </c>
      <c r="AC39" s="5">
        <v>34511</v>
      </c>
      <c r="AD39" s="5">
        <v>28353</v>
      </c>
      <c r="AE39" s="5"/>
      <c r="AF39" s="5">
        <v>63239</v>
      </c>
      <c r="AI39" s="1">
        <v>38899</v>
      </c>
      <c r="AJ39">
        <v>11912</v>
      </c>
      <c r="AK39" t="s">
        <v>23</v>
      </c>
      <c r="AN39" s="3">
        <v>39448</v>
      </c>
      <c r="AO39" s="5">
        <v>20897</v>
      </c>
      <c r="AP39" s="5"/>
      <c r="AQ39" s="5">
        <v>88196</v>
      </c>
      <c r="AR39" s="5"/>
      <c r="AS39" s="5">
        <v>109093</v>
      </c>
      <c r="AW39" s="1">
        <v>38899</v>
      </c>
      <c r="AX39">
        <v>15699</v>
      </c>
      <c r="AY39" t="s">
        <v>23</v>
      </c>
      <c r="BB39" s="3">
        <v>39448</v>
      </c>
      <c r="BC39" s="5">
        <v>25319</v>
      </c>
      <c r="BD39" s="5"/>
      <c r="BE39" s="5">
        <v>24510</v>
      </c>
      <c r="BF39" s="5"/>
      <c r="BG39" s="5"/>
      <c r="BH39" s="5">
        <v>49829</v>
      </c>
    </row>
    <row r="40" spans="1:60" x14ac:dyDescent="0.25">
      <c r="A40" s="1">
        <v>39264</v>
      </c>
      <c r="B40">
        <v>17646</v>
      </c>
      <c r="C40" t="s">
        <v>3</v>
      </c>
      <c r="J40" s="3">
        <v>39814</v>
      </c>
      <c r="K40" s="5">
        <v>20693</v>
      </c>
      <c r="L40" s="5"/>
      <c r="M40" s="5">
        <v>45008</v>
      </c>
      <c r="N40" s="5"/>
      <c r="O40" s="5"/>
      <c r="P40" s="5"/>
      <c r="Q40" s="5">
        <v>65701</v>
      </c>
      <c r="U40" s="1">
        <v>39052</v>
      </c>
      <c r="V40">
        <v>1423</v>
      </c>
      <c r="W40" t="s">
        <v>14</v>
      </c>
      <c r="AA40" s="3">
        <v>39814</v>
      </c>
      <c r="AB40" s="5">
        <v>397</v>
      </c>
      <c r="AC40" s="5">
        <v>28940</v>
      </c>
      <c r="AD40" s="5">
        <v>36364</v>
      </c>
      <c r="AE40" s="5"/>
      <c r="AF40" s="5">
        <v>65701</v>
      </c>
      <c r="AI40" s="1">
        <v>38930</v>
      </c>
      <c r="AJ40">
        <v>111389</v>
      </c>
      <c r="AK40" t="s">
        <v>22</v>
      </c>
      <c r="AN40" s="3">
        <v>39479</v>
      </c>
      <c r="AO40" s="5">
        <v>30555</v>
      </c>
      <c r="AP40" s="5"/>
      <c r="AQ40" s="5">
        <v>95942</v>
      </c>
      <c r="AR40" s="5"/>
      <c r="AS40" s="5">
        <v>126497</v>
      </c>
      <c r="AW40" s="1">
        <v>38930</v>
      </c>
      <c r="AX40">
        <v>21062</v>
      </c>
      <c r="AY40" t="s">
        <v>22</v>
      </c>
      <c r="BB40" s="3">
        <v>39479</v>
      </c>
      <c r="BC40" s="5">
        <v>27711</v>
      </c>
      <c r="BD40" s="5"/>
      <c r="BE40" s="5">
        <v>23884</v>
      </c>
      <c r="BF40" s="5"/>
      <c r="BG40" s="5"/>
      <c r="BH40" s="5">
        <v>51595</v>
      </c>
    </row>
    <row r="41" spans="1:60" x14ac:dyDescent="0.25">
      <c r="A41" s="1">
        <v>39264</v>
      </c>
      <c r="B41">
        <v>100566</v>
      </c>
      <c r="C41" t="s">
        <v>2</v>
      </c>
      <c r="J41" s="3">
        <v>39845</v>
      </c>
      <c r="K41" s="5">
        <v>60330</v>
      </c>
      <c r="L41" s="5"/>
      <c r="M41" s="5">
        <v>54314</v>
      </c>
      <c r="N41" s="5"/>
      <c r="O41" s="5"/>
      <c r="P41" s="5"/>
      <c r="Q41" s="5">
        <v>114644</v>
      </c>
      <c r="U41" s="1">
        <v>39083</v>
      </c>
      <c r="V41">
        <v>52621</v>
      </c>
      <c r="W41" t="s">
        <v>15</v>
      </c>
      <c r="AA41" s="3">
        <v>39845</v>
      </c>
      <c r="AB41" s="5">
        <v>1250</v>
      </c>
      <c r="AC41" s="5">
        <v>24431</v>
      </c>
      <c r="AD41" s="5">
        <v>88963</v>
      </c>
      <c r="AE41" s="5"/>
      <c r="AF41" s="5">
        <v>114644</v>
      </c>
      <c r="AI41" s="1">
        <v>38930</v>
      </c>
      <c r="AJ41">
        <v>11212</v>
      </c>
      <c r="AK41" t="s">
        <v>23</v>
      </c>
      <c r="AN41" s="3">
        <v>39508</v>
      </c>
      <c r="AO41" s="5">
        <v>34268</v>
      </c>
      <c r="AP41" s="5"/>
      <c r="AQ41" s="5">
        <v>78249</v>
      </c>
      <c r="AR41" s="5"/>
      <c r="AS41" s="5">
        <v>112517</v>
      </c>
      <c r="AW41" s="1">
        <v>38930</v>
      </c>
      <c r="AX41">
        <v>13990</v>
      </c>
      <c r="AY41" t="s">
        <v>23</v>
      </c>
      <c r="BB41" s="3">
        <v>39508</v>
      </c>
      <c r="BC41" s="5">
        <v>31314</v>
      </c>
      <c r="BD41" s="5"/>
      <c r="BE41" s="5">
        <v>20975</v>
      </c>
      <c r="BF41" s="5"/>
      <c r="BG41" s="5"/>
      <c r="BH41" s="5">
        <v>52289</v>
      </c>
    </row>
    <row r="42" spans="1:60" x14ac:dyDescent="0.25">
      <c r="A42" s="1">
        <v>39295</v>
      </c>
      <c r="B42">
        <v>17169</v>
      </c>
      <c r="C42" t="s">
        <v>3</v>
      </c>
      <c r="J42" s="3">
        <v>39873</v>
      </c>
      <c r="K42" s="5">
        <v>126468</v>
      </c>
      <c r="L42" s="5"/>
      <c r="M42" s="5">
        <v>90938</v>
      </c>
      <c r="N42" s="5"/>
      <c r="O42" s="5"/>
      <c r="P42" s="5"/>
      <c r="Q42" s="5">
        <v>217406</v>
      </c>
      <c r="U42" s="1">
        <v>39083</v>
      </c>
      <c r="V42">
        <v>52477</v>
      </c>
      <c r="W42" t="s">
        <v>16</v>
      </c>
      <c r="AA42" s="3">
        <v>39873</v>
      </c>
      <c r="AB42" s="5">
        <v>2318</v>
      </c>
      <c r="AC42" s="5">
        <v>27687</v>
      </c>
      <c r="AD42" s="5">
        <v>187401</v>
      </c>
      <c r="AE42" s="5"/>
      <c r="AF42" s="5">
        <v>217406</v>
      </c>
      <c r="AI42" s="1">
        <v>38961</v>
      </c>
      <c r="AJ42">
        <v>101464</v>
      </c>
      <c r="AK42" t="s">
        <v>22</v>
      </c>
      <c r="AN42" s="3">
        <v>39539</v>
      </c>
      <c r="AO42" s="5">
        <v>60058</v>
      </c>
      <c r="AP42" s="5"/>
      <c r="AQ42" s="5">
        <v>99187</v>
      </c>
      <c r="AR42" s="5"/>
      <c r="AS42" s="5">
        <v>159245</v>
      </c>
      <c r="AW42" s="1">
        <v>38961</v>
      </c>
      <c r="AX42">
        <v>18244</v>
      </c>
      <c r="AY42" t="s">
        <v>22</v>
      </c>
      <c r="BB42" s="3">
        <v>39539</v>
      </c>
      <c r="BC42" s="5">
        <v>42764</v>
      </c>
      <c r="BD42" s="5"/>
      <c r="BE42" s="5">
        <v>22787</v>
      </c>
      <c r="BF42" s="5"/>
      <c r="BG42" s="5"/>
      <c r="BH42" s="5">
        <v>65551</v>
      </c>
    </row>
    <row r="43" spans="1:60" x14ac:dyDescent="0.25">
      <c r="A43" s="1">
        <v>39295</v>
      </c>
      <c r="B43">
        <v>117065</v>
      </c>
      <c r="C43" t="s">
        <v>2</v>
      </c>
      <c r="J43" s="3">
        <v>39904</v>
      </c>
      <c r="K43" s="5">
        <v>91317</v>
      </c>
      <c r="L43" s="5">
        <v>286</v>
      </c>
      <c r="M43" s="5">
        <v>70127</v>
      </c>
      <c r="N43" s="5">
        <v>4758</v>
      </c>
      <c r="O43" s="5"/>
      <c r="P43" s="5"/>
      <c r="Q43" s="5">
        <v>166488</v>
      </c>
      <c r="U43" s="1">
        <v>39083</v>
      </c>
      <c r="V43">
        <v>1046</v>
      </c>
      <c r="W43" t="s">
        <v>14</v>
      </c>
      <c r="AA43" s="3">
        <v>39904</v>
      </c>
      <c r="AB43" s="5">
        <v>1785</v>
      </c>
      <c r="AC43" s="5">
        <v>24673</v>
      </c>
      <c r="AD43" s="5">
        <v>140030</v>
      </c>
      <c r="AE43" s="5"/>
      <c r="AF43" s="5">
        <v>166488</v>
      </c>
      <c r="AI43" s="1">
        <v>38961</v>
      </c>
      <c r="AJ43">
        <v>10662</v>
      </c>
      <c r="AK43" t="s">
        <v>23</v>
      </c>
      <c r="AN43" s="3">
        <v>39569</v>
      </c>
      <c r="AO43" s="5">
        <v>41596</v>
      </c>
      <c r="AP43" s="5"/>
      <c r="AQ43" s="5">
        <v>102401</v>
      </c>
      <c r="AR43" s="5"/>
      <c r="AS43" s="5">
        <v>143997</v>
      </c>
      <c r="AW43" s="1">
        <v>38961</v>
      </c>
      <c r="AX43">
        <v>12747</v>
      </c>
      <c r="AY43" t="s">
        <v>23</v>
      </c>
      <c r="BB43" s="3">
        <v>39569</v>
      </c>
      <c r="BC43" s="5">
        <v>31567</v>
      </c>
      <c r="BD43" s="5"/>
      <c r="BE43" s="5">
        <v>21383</v>
      </c>
      <c r="BF43" s="5"/>
      <c r="BG43" s="5"/>
      <c r="BH43" s="5">
        <v>52950</v>
      </c>
    </row>
    <row r="44" spans="1:60" x14ac:dyDescent="0.25">
      <c r="A44" s="1">
        <v>39326</v>
      </c>
      <c r="B44">
        <v>17527</v>
      </c>
      <c r="C44" t="s">
        <v>3</v>
      </c>
      <c r="J44" s="3">
        <v>39934</v>
      </c>
      <c r="K44" s="5">
        <v>25662</v>
      </c>
      <c r="L44" s="5">
        <v>5842</v>
      </c>
      <c r="M44" s="5">
        <v>67567</v>
      </c>
      <c r="N44" s="5">
        <v>51705</v>
      </c>
      <c r="O44" s="5"/>
      <c r="P44" s="5"/>
      <c r="Q44" s="5">
        <v>150776</v>
      </c>
      <c r="U44" s="1">
        <v>39114</v>
      </c>
      <c r="V44">
        <v>71070</v>
      </c>
      <c r="W44" t="s">
        <v>15</v>
      </c>
      <c r="AA44" s="3">
        <v>39934</v>
      </c>
      <c r="AB44" s="5">
        <v>2588</v>
      </c>
      <c r="AC44" s="5">
        <v>24641</v>
      </c>
      <c r="AD44" s="5">
        <v>123547</v>
      </c>
      <c r="AE44" s="5"/>
      <c r="AF44" s="5">
        <v>150776</v>
      </c>
      <c r="AI44" s="1">
        <v>38991</v>
      </c>
      <c r="AJ44">
        <v>102383</v>
      </c>
      <c r="AK44" t="s">
        <v>22</v>
      </c>
      <c r="AN44" s="3">
        <v>39600</v>
      </c>
      <c r="AO44" s="5">
        <v>38213</v>
      </c>
      <c r="AP44" s="5"/>
      <c r="AQ44" s="5">
        <v>98365</v>
      </c>
      <c r="AR44" s="5"/>
      <c r="AS44" s="5">
        <v>136578</v>
      </c>
      <c r="AW44" s="1">
        <v>38991</v>
      </c>
      <c r="AX44">
        <v>15647</v>
      </c>
      <c r="AY44" t="s">
        <v>23</v>
      </c>
      <c r="BB44" s="3">
        <v>39600</v>
      </c>
      <c r="BC44" s="5">
        <v>29505</v>
      </c>
      <c r="BD44" s="5"/>
      <c r="BE44" s="5">
        <v>22525</v>
      </c>
      <c r="BF44" s="5"/>
      <c r="BG44" s="5"/>
      <c r="BH44" s="5">
        <v>52030</v>
      </c>
    </row>
    <row r="45" spans="1:60" x14ac:dyDescent="0.25">
      <c r="A45" s="1">
        <v>39326</v>
      </c>
      <c r="B45">
        <v>136772</v>
      </c>
      <c r="C45" t="s">
        <v>2</v>
      </c>
      <c r="J45" s="3">
        <v>39965</v>
      </c>
      <c r="K45" s="5">
        <v>7053</v>
      </c>
      <c r="L45" s="5">
        <v>16517</v>
      </c>
      <c r="M45" s="5">
        <v>104095</v>
      </c>
      <c r="N45" s="5">
        <v>106391</v>
      </c>
      <c r="O45" s="5"/>
      <c r="P45" s="5"/>
      <c r="Q45" s="5">
        <v>234056</v>
      </c>
      <c r="U45" s="1">
        <v>39114</v>
      </c>
      <c r="V45">
        <v>56557</v>
      </c>
      <c r="W45" t="s">
        <v>16</v>
      </c>
      <c r="AA45" s="3">
        <v>39965</v>
      </c>
      <c r="AB45" s="5">
        <v>9453</v>
      </c>
      <c r="AC45" s="5">
        <v>41335</v>
      </c>
      <c r="AD45" s="5">
        <v>183268</v>
      </c>
      <c r="AE45" s="5"/>
      <c r="AF45" s="5">
        <v>234056</v>
      </c>
      <c r="AI45" s="1">
        <v>38991</v>
      </c>
      <c r="AJ45">
        <v>11537</v>
      </c>
      <c r="AK45" t="s">
        <v>23</v>
      </c>
      <c r="AN45" s="3">
        <v>39630</v>
      </c>
      <c r="AO45" s="5">
        <v>23471</v>
      </c>
      <c r="AP45" s="5"/>
      <c r="AQ45" s="5">
        <v>81925</v>
      </c>
      <c r="AR45" s="5"/>
      <c r="AS45" s="5">
        <v>105396</v>
      </c>
      <c r="AW45" s="1">
        <v>38991</v>
      </c>
      <c r="AX45">
        <v>21523</v>
      </c>
      <c r="AY45" t="s">
        <v>22</v>
      </c>
      <c r="BB45" s="3">
        <v>39630</v>
      </c>
      <c r="BC45" s="5">
        <v>22067</v>
      </c>
      <c r="BD45" s="5"/>
      <c r="BE45" s="5">
        <v>23075</v>
      </c>
      <c r="BF45" s="5"/>
      <c r="BG45" s="5"/>
      <c r="BH45" s="5">
        <v>45142</v>
      </c>
    </row>
    <row r="46" spans="1:60" x14ac:dyDescent="0.25">
      <c r="A46" s="1">
        <v>39356</v>
      </c>
      <c r="B46">
        <v>17939</v>
      </c>
      <c r="C46" t="s">
        <v>3</v>
      </c>
      <c r="J46" s="3">
        <v>39995</v>
      </c>
      <c r="K46" s="5">
        <v>781</v>
      </c>
      <c r="L46" s="5">
        <v>22075</v>
      </c>
      <c r="M46" s="5">
        <v>71014</v>
      </c>
      <c r="N46" s="5">
        <v>60337</v>
      </c>
      <c r="O46" s="5"/>
      <c r="P46" s="5"/>
      <c r="Q46" s="5">
        <v>154207</v>
      </c>
      <c r="U46" s="1">
        <v>39114</v>
      </c>
      <c r="V46">
        <v>1203</v>
      </c>
      <c r="W46" t="s">
        <v>14</v>
      </c>
      <c r="AA46" s="3">
        <v>39995</v>
      </c>
      <c r="AB46" s="5">
        <v>14498</v>
      </c>
      <c r="AC46" s="5">
        <v>32476</v>
      </c>
      <c r="AD46" s="5">
        <v>107233</v>
      </c>
      <c r="AE46" s="5"/>
      <c r="AF46" s="5">
        <v>154207</v>
      </c>
      <c r="AI46" s="1">
        <v>39022</v>
      </c>
      <c r="AJ46">
        <v>12948</v>
      </c>
      <c r="AK46" t="s">
        <v>23</v>
      </c>
      <c r="AN46" s="3">
        <v>39661</v>
      </c>
      <c r="AO46" s="5">
        <v>17448</v>
      </c>
      <c r="AP46" s="5"/>
      <c r="AQ46" s="5">
        <v>80739</v>
      </c>
      <c r="AR46" s="5"/>
      <c r="AS46" s="5">
        <v>98187</v>
      </c>
      <c r="AW46" s="1">
        <v>39022</v>
      </c>
      <c r="AX46">
        <v>20834</v>
      </c>
      <c r="AY46" t="s">
        <v>22</v>
      </c>
      <c r="BB46" s="3">
        <v>39661</v>
      </c>
      <c r="BC46" s="5">
        <v>15491</v>
      </c>
      <c r="BD46" s="5"/>
      <c r="BE46" s="5">
        <v>19612</v>
      </c>
      <c r="BF46" s="5"/>
      <c r="BG46" s="5"/>
      <c r="BH46" s="5">
        <v>35103</v>
      </c>
    </row>
    <row r="47" spans="1:60" x14ac:dyDescent="0.25">
      <c r="A47" s="1">
        <v>39356</v>
      </c>
      <c r="B47">
        <v>108346</v>
      </c>
      <c r="C47" t="s">
        <v>2</v>
      </c>
      <c r="J47" s="3">
        <v>40026</v>
      </c>
      <c r="K47" s="5">
        <v>173</v>
      </c>
      <c r="L47" s="5">
        <v>25210</v>
      </c>
      <c r="M47" s="5">
        <v>82357</v>
      </c>
      <c r="N47" s="5">
        <v>55906</v>
      </c>
      <c r="O47" s="5"/>
      <c r="P47" s="5"/>
      <c r="Q47" s="5">
        <v>163646</v>
      </c>
      <c r="U47" s="1">
        <v>39142</v>
      </c>
      <c r="V47">
        <v>67164</v>
      </c>
      <c r="W47" t="s">
        <v>15</v>
      </c>
      <c r="AA47" s="3">
        <v>40026</v>
      </c>
      <c r="AB47" s="5">
        <v>16086</v>
      </c>
      <c r="AC47" s="5">
        <v>42643</v>
      </c>
      <c r="AD47" s="5">
        <v>104917</v>
      </c>
      <c r="AE47" s="5"/>
      <c r="AF47" s="5">
        <v>163646</v>
      </c>
      <c r="AI47" s="1">
        <v>39022</v>
      </c>
      <c r="AJ47">
        <v>96093</v>
      </c>
      <c r="AK47" t="s">
        <v>22</v>
      </c>
      <c r="AN47" s="3">
        <v>39692</v>
      </c>
      <c r="AO47" s="5">
        <v>11582</v>
      </c>
      <c r="AP47" s="5"/>
      <c r="AQ47" s="5">
        <v>67217</v>
      </c>
      <c r="AR47" s="5"/>
      <c r="AS47" s="5">
        <v>78799</v>
      </c>
      <c r="AW47" s="1">
        <v>39022</v>
      </c>
      <c r="AX47">
        <v>16622</v>
      </c>
      <c r="AY47" t="s">
        <v>23</v>
      </c>
      <c r="BB47" s="3">
        <v>39692</v>
      </c>
      <c r="BC47" s="5">
        <v>10494</v>
      </c>
      <c r="BD47" s="5"/>
      <c r="BE47" s="5">
        <v>15980</v>
      </c>
      <c r="BF47" s="5"/>
      <c r="BG47" s="5"/>
      <c r="BH47" s="5">
        <v>26474</v>
      </c>
    </row>
    <row r="48" spans="1:60" x14ac:dyDescent="0.25">
      <c r="A48" s="1">
        <v>39387</v>
      </c>
      <c r="B48">
        <v>22061</v>
      </c>
      <c r="C48" t="s">
        <v>3</v>
      </c>
      <c r="J48" s="3">
        <v>40057</v>
      </c>
      <c r="K48" s="5">
        <v>258</v>
      </c>
      <c r="L48" s="5">
        <v>15667</v>
      </c>
      <c r="M48" s="5">
        <v>70570</v>
      </c>
      <c r="N48" s="5">
        <v>31910</v>
      </c>
      <c r="O48" s="5"/>
      <c r="P48" s="5"/>
      <c r="Q48" s="5">
        <v>118405</v>
      </c>
      <c r="U48" s="1">
        <v>39142</v>
      </c>
      <c r="V48">
        <v>60614</v>
      </c>
      <c r="W48" t="s">
        <v>16</v>
      </c>
      <c r="AA48" s="3">
        <v>40057</v>
      </c>
      <c r="AB48" s="5">
        <v>8996</v>
      </c>
      <c r="AC48" s="5">
        <v>41473</v>
      </c>
      <c r="AD48" s="5">
        <v>67936</v>
      </c>
      <c r="AE48" s="5"/>
      <c r="AF48" s="5">
        <v>118405</v>
      </c>
      <c r="AI48" s="1">
        <v>39052</v>
      </c>
      <c r="AJ48">
        <v>107332</v>
      </c>
      <c r="AK48" t="s">
        <v>22</v>
      </c>
      <c r="AN48" s="3">
        <v>39722</v>
      </c>
      <c r="AO48" s="5">
        <v>7202</v>
      </c>
      <c r="AP48" s="5"/>
      <c r="AQ48" s="5">
        <v>45117</v>
      </c>
      <c r="AR48" s="5"/>
      <c r="AS48" s="5">
        <v>52319</v>
      </c>
      <c r="AW48" s="1">
        <v>39052</v>
      </c>
      <c r="AX48">
        <v>20654</v>
      </c>
      <c r="AY48" t="s">
        <v>23</v>
      </c>
      <c r="BB48" s="3">
        <v>39722</v>
      </c>
      <c r="BC48" s="5">
        <v>8915</v>
      </c>
      <c r="BD48" s="5"/>
      <c r="BE48" s="5">
        <v>14635</v>
      </c>
      <c r="BF48" s="5"/>
      <c r="BG48" s="5"/>
      <c r="BH48" s="5">
        <v>23550</v>
      </c>
    </row>
    <row r="49" spans="1:60" x14ac:dyDescent="0.25">
      <c r="A49" s="1">
        <v>39387</v>
      </c>
      <c r="B49">
        <v>118469</v>
      </c>
      <c r="C49" t="s">
        <v>2</v>
      </c>
      <c r="J49" s="3">
        <v>40087</v>
      </c>
      <c r="K49" s="5">
        <v>1059</v>
      </c>
      <c r="L49" s="5">
        <v>12098</v>
      </c>
      <c r="M49" s="5">
        <v>61209</v>
      </c>
      <c r="N49" s="5">
        <v>23119</v>
      </c>
      <c r="O49" s="5"/>
      <c r="P49" s="5"/>
      <c r="Q49" s="5">
        <v>97485</v>
      </c>
      <c r="U49" s="1">
        <v>39142</v>
      </c>
      <c r="V49">
        <v>1354</v>
      </c>
      <c r="W49" t="s">
        <v>14</v>
      </c>
      <c r="AA49" s="3">
        <v>40087</v>
      </c>
      <c r="AB49" s="5">
        <v>6341</v>
      </c>
      <c r="AC49" s="5">
        <v>37039</v>
      </c>
      <c r="AD49" s="5">
        <v>54105</v>
      </c>
      <c r="AE49" s="5"/>
      <c r="AF49" s="5">
        <v>97485</v>
      </c>
      <c r="AI49" s="1">
        <v>39052</v>
      </c>
      <c r="AJ49">
        <v>17880</v>
      </c>
      <c r="AK49" t="s">
        <v>23</v>
      </c>
      <c r="AN49" s="3">
        <v>39753</v>
      </c>
      <c r="AO49" s="5">
        <v>10585</v>
      </c>
      <c r="AP49" s="5"/>
      <c r="AQ49" s="5">
        <v>50694</v>
      </c>
      <c r="AR49" s="5"/>
      <c r="AS49" s="5">
        <v>61279</v>
      </c>
      <c r="AW49" s="1">
        <v>39052</v>
      </c>
      <c r="AX49">
        <v>21144</v>
      </c>
      <c r="AY49" t="s">
        <v>22</v>
      </c>
      <c r="BB49" s="3">
        <v>39753</v>
      </c>
      <c r="BC49" s="5">
        <v>9826</v>
      </c>
      <c r="BD49" s="5"/>
      <c r="BE49" s="5">
        <v>14115</v>
      </c>
      <c r="BF49" s="5"/>
      <c r="BG49" s="5"/>
      <c r="BH49" s="5">
        <v>23941</v>
      </c>
    </row>
    <row r="50" spans="1:60" x14ac:dyDescent="0.25">
      <c r="A50" s="1">
        <v>39417</v>
      </c>
      <c r="B50">
        <v>23242</v>
      </c>
      <c r="C50" t="s">
        <v>3</v>
      </c>
      <c r="J50" s="3">
        <v>40118</v>
      </c>
      <c r="K50" s="5">
        <v>77</v>
      </c>
      <c r="L50" s="5">
        <v>16580</v>
      </c>
      <c r="M50" s="5">
        <v>54618</v>
      </c>
      <c r="N50" s="5">
        <v>22548</v>
      </c>
      <c r="O50" s="5"/>
      <c r="P50" s="5"/>
      <c r="Q50" s="5">
        <v>93823</v>
      </c>
      <c r="U50" s="1">
        <v>39173</v>
      </c>
      <c r="V50">
        <v>64185</v>
      </c>
      <c r="W50" t="s">
        <v>15</v>
      </c>
      <c r="AA50" s="3">
        <v>40118</v>
      </c>
      <c r="AB50" s="5">
        <v>8103</v>
      </c>
      <c r="AC50" s="5">
        <v>32297</v>
      </c>
      <c r="AD50" s="5">
        <v>53423</v>
      </c>
      <c r="AE50" s="5"/>
      <c r="AF50" s="5">
        <v>93823</v>
      </c>
      <c r="AI50" s="1">
        <v>39083</v>
      </c>
      <c r="AJ50">
        <v>17232</v>
      </c>
      <c r="AK50" t="s">
        <v>23</v>
      </c>
      <c r="AN50" s="3">
        <v>39783</v>
      </c>
      <c r="AO50" s="5">
        <v>15821</v>
      </c>
      <c r="AP50" s="5"/>
      <c r="AQ50" s="5">
        <v>52103</v>
      </c>
      <c r="AR50" s="5"/>
      <c r="AS50" s="5">
        <v>67924</v>
      </c>
      <c r="AW50" s="1">
        <v>39083</v>
      </c>
      <c r="AX50">
        <v>20779</v>
      </c>
      <c r="AY50" t="s">
        <v>22</v>
      </c>
      <c r="BB50" s="3">
        <v>39783</v>
      </c>
      <c r="BC50" s="5">
        <v>12743</v>
      </c>
      <c r="BD50" s="5"/>
      <c r="BE50" s="5">
        <v>15394</v>
      </c>
      <c r="BF50" s="5"/>
      <c r="BG50" s="5"/>
      <c r="BH50" s="5">
        <v>28137</v>
      </c>
    </row>
    <row r="51" spans="1:60" x14ac:dyDescent="0.25">
      <c r="A51" s="1">
        <v>39417</v>
      </c>
      <c r="B51">
        <v>108670</v>
      </c>
      <c r="C51" t="s">
        <v>2</v>
      </c>
      <c r="J51" s="3">
        <v>40148</v>
      </c>
      <c r="K51" s="5">
        <v>336</v>
      </c>
      <c r="L51" s="5">
        <v>25493</v>
      </c>
      <c r="M51" s="5">
        <v>70439</v>
      </c>
      <c r="N51" s="5">
        <v>30548</v>
      </c>
      <c r="O51" s="5"/>
      <c r="P51" s="5"/>
      <c r="Q51" s="5">
        <v>126816</v>
      </c>
      <c r="U51" s="1">
        <v>39173</v>
      </c>
      <c r="V51">
        <v>55862</v>
      </c>
      <c r="W51" t="s">
        <v>16</v>
      </c>
      <c r="AA51" s="3">
        <v>40148</v>
      </c>
      <c r="AB51" s="5">
        <v>12795</v>
      </c>
      <c r="AC51" s="5">
        <v>42345</v>
      </c>
      <c r="AD51" s="5">
        <v>71676</v>
      </c>
      <c r="AE51" s="5"/>
      <c r="AF51" s="5">
        <v>126816</v>
      </c>
      <c r="AI51" s="1">
        <v>39083</v>
      </c>
      <c r="AJ51">
        <v>98456</v>
      </c>
      <c r="AK51" t="s">
        <v>22</v>
      </c>
      <c r="AN51" s="3">
        <v>39814</v>
      </c>
      <c r="AO51" s="5">
        <v>7542</v>
      </c>
      <c r="AP51" s="5"/>
      <c r="AQ51" s="5">
        <v>32448</v>
      </c>
      <c r="AR51" s="5"/>
      <c r="AS51" s="5">
        <v>39990</v>
      </c>
      <c r="AW51" s="1">
        <v>39083</v>
      </c>
      <c r="AX51">
        <v>19393</v>
      </c>
      <c r="AY51" t="s">
        <v>23</v>
      </c>
      <c r="BB51" s="3">
        <v>39814</v>
      </c>
      <c r="BC51" s="5">
        <v>9484</v>
      </c>
      <c r="BD51" s="5"/>
      <c r="BE51" s="5">
        <v>11771</v>
      </c>
      <c r="BF51" s="5"/>
      <c r="BG51" s="5"/>
      <c r="BH51" s="5">
        <v>21255</v>
      </c>
    </row>
    <row r="52" spans="1:60" x14ac:dyDescent="0.25">
      <c r="A52" s="1">
        <v>39448</v>
      </c>
      <c r="B52">
        <v>25971</v>
      </c>
      <c r="C52" t="s">
        <v>3</v>
      </c>
      <c r="J52" s="3">
        <v>40179</v>
      </c>
      <c r="K52" s="5">
        <v>360</v>
      </c>
      <c r="L52" s="5">
        <v>24649</v>
      </c>
      <c r="M52" s="5">
        <v>51271</v>
      </c>
      <c r="N52" s="5">
        <v>24350</v>
      </c>
      <c r="O52" s="5"/>
      <c r="P52" s="5"/>
      <c r="Q52" s="5">
        <v>100630</v>
      </c>
      <c r="U52" s="1">
        <v>39173</v>
      </c>
      <c r="V52">
        <v>1198</v>
      </c>
      <c r="W52" t="s">
        <v>14</v>
      </c>
      <c r="AA52" s="3">
        <v>40179</v>
      </c>
      <c r="AB52" s="5">
        <v>12696</v>
      </c>
      <c r="AC52" s="5">
        <v>29955</v>
      </c>
      <c r="AD52" s="5">
        <v>57979</v>
      </c>
      <c r="AE52" s="5"/>
      <c r="AF52" s="5">
        <v>100630</v>
      </c>
      <c r="AI52" s="1">
        <v>39114</v>
      </c>
      <c r="AJ52">
        <v>21209</v>
      </c>
      <c r="AK52" t="s">
        <v>23</v>
      </c>
      <c r="AN52" s="3">
        <v>39845</v>
      </c>
      <c r="AO52" s="5">
        <v>32323</v>
      </c>
      <c r="AP52" s="5"/>
      <c r="AQ52" s="5">
        <v>52470</v>
      </c>
      <c r="AR52" s="5"/>
      <c r="AS52" s="5">
        <v>84793</v>
      </c>
      <c r="AW52" s="1">
        <v>39114</v>
      </c>
      <c r="AX52">
        <v>21525</v>
      </c>
      <c r="AY52" t="s">
        <v>22</v>
      </c>
      <c r="BB52" s="3">
        <v>39845</v>
      </c>
      <c r="BC52" s="5">
        <v>20177</v>
      </c>
      <c r="BD52" s="5"/>
      <c r="BE52" s="5">
        <v>15596</v>
      </c>
      <c r="BF52" s="5"/>
      <c r="BG52" s="5"/>
      <c r="BH52" s="5">
        <v>35773</v>
      </c>
    </row>
    <row r="53" spans="1:60" x14ac:dyDescent="0.25">
      <c r="A53" s="1">
        <v>39448</v>
      </c>
      <c r="B53">
        <v>90455</v>
      </c>
      <c r="C53" t="s">
        <v>2</v>
      </c>
      <c r="J53" s="3">
        <v>40210</v>
      </c>
      <c r="K53" s="5">
        <v>77</v>
      </c>
      <c r="L53" s="5">
        <v>26299</v>
      </c>
      <c r="M53" s="5">
        <v>51586</v>
      </c>
      <c r="N53" s="5">
        <v>28003</v>
      </c>
      <c r="O53" s="5"/>
      <c r="P53" s="5"/>
      <c r="Q53" s="5">
        <v>105965</v>
      </c>
      <c r="U53" s="1">
        <v>39203</v>
      </c>
      <c r="V53">
        <v>69464</v>
      </c>
      <c r="W53" t="s">
        <v>15</v>
      </c>
      <c r="AA53" s="3">
        <v>40210</v>
      </c>
      <c r="AB53" s="5">
        <v>13514</v>
      </c>
      <c r="AC53" s="5">
        <v>27636</v>
      </c>
      <c r="AD53" s="5">
        <v>64815</v>
      </c>
      <c r="AE53" s="5"/>
      <c r="AF53" s="5">
        <v>105965</v>
      </c>
      <c r="AI53" s="1">
        <v>39114</v>
      </c>
      <c r="AJ53">
        <v>99305</v>
      </c>
      <c r="AK53" t="s">
        <v>22</v>
      </c>
      <c r="AN53" s="3">
        <v>39873</v>
      </c>
      <c r="AO53" s="5">
        <v>81505</v>
      </c>
      <c r="AP53" s="5"/>
      <c r="AQ53" s="5">
        <v>58125</v>
      </c>
      <c r="AR53" s="5"/>
      <c r="AS53" s="5">
        <v>139630</v>
      </c>
      <c r="AW53" s="1">
        <v>39114</v>
      </c>
      <c r="AX53">
        <v>22776</v>
      </c>
      <c r="AY53" t="s">
        <v>23</v>
      </c>
      <c r="BB53" s="3">
        <v>39873</v>
      </c>
      <c r="BC53" s="5">
        <v>66165</v>
      </c>
      <c r="BD53" s="5"/>
      <c r="BE53" s="5">
        <v>17183</v>
      </c>
      <c r="BF53" s="5"/>
      <c r="BG53" s="5"/>
      <c r="BH53" s="5">
        <v>83348</v>
      </c>
    </row>
    <row r="54" spans="1:60" x14ac:dyDescent="0.25">
      <c r="A54" s="1">
        <v>39479</v>
      </c>
      <c r="B54">
        <v>41508</v>
      </c>
      <c r="C54" t="s">
        <v>3</v>
      </c>
      <c r="J54" s="3">
        <v>40238</v>
      </c>
      <c r="K54" s="5">
        <v>679</v>
      </c>
      <c r="L54" s="5">
        <v>21183</v>
      </c>
      <c r="M54" s="5">
        <v>56751</v>
      </c>
      <c r="N54" s="5">
        <v>25937</v>
      </c>
      <c r="O54" s="5"/>
      <c r="P54" s="5"/>
      <c r="Q54" s="5">
        <v>104550</v>
      </c>
      <c r="U54" s="1">
        <v>39203</v>
      </c>
      <c r="V54">
        <v>63827</v>
      </c>
      <c r="W54" t="s">
        <v>16</v>
      </c>
      <c r="AA54" s="3">
        <v>40238</v>
      </c>
      <c r="AB54" s="5">
        <v>11773</v>
      </c>
      <c r="AC54" s="5">
        <v>30875</v>
      </c>
      <c r="AD54" s="5">
        <v>61902</v>
      </c>
      <c r="AE54" s="5"/>
      <c r="AF54" s="5">
        <v>104550</v>
      </c>
      <c r="AI54" s="1">
        <v>39142</v>
      </c>
      <c r="AJ54">
        <v>86895</v>
      </c>
      <c r="AK54" t="s">
        <v>22</v>
      </c>
      <c r="AN54" s="3">
        <v>39904</v>
      </c>
      <c r="AO54" s="5">
        <v>104826</v>
      </c>
      <c r="AP54" s="5"/>
      <c r="AQ54" s="5">
        <v>72314</v>
      </c>
      <c r="AR54" s="5"/>
      <c r="AS54" s="5">
        <v>177140</v>
      </c>
      <c r="AW54" s="1">
        <v>39142</v>
      </c>
      <c r="AX54">
        <v>22740</v>
      </c>
      <c r="AY54" t="s">
        <v>23</v>
      </c>
      <c r="BB54" s="3">
        <v>39904</v>
      </c>
      <c r="BC54" s="5">
        <v>81476</v>
      </c>
      <c r="BD54" s="5"/>
      <c r="BE54" s="5">
        <v>19205</v>
      </c>
      <c r="BF54" s="5"/>
      <c r="BG54" s="5"/>
      <c r="BH54" s="5">
        <v>100681</v>
      </c>
    </row>
    <row r="55" spans="1:60" x14ac:dyDescent="0.25">
      <c r="A55" s="1">
        <v>39479</v>
      </c>
      <c r="B55">
        <v>124215</v>
      </c>
      <c r="C55" t="s">
        <v>2</v>
      </c>
      <c r="J55" s="3">
        <v>40269</v>
      </c>
      <c r="K55" s="5">
        <v>113</v>
      </c>
      <c r="L55" s="5">
        <v>19513</v>
      </c>
      <c r="M55" s="5">
        <v>37231</v>
      </c>
      <c r="N55" s="5">
        <v>14416</v>
      </c>
      <c r="O55" s="5"/>
      <c r="P55" s="5"/>
      <c r="Q55" s="5">
        <v>71273</v>
      </c>
      <c r="U55" s="1">
        <v>39203</v>
      </c>
      <c r="V55">
        <v>1274</v>
      </c>
      <c r="W55" t="s">
        <v>14</v>
      </c>
      <c r="AA55" s="3">
        <v>40269</v>
      </c>
      <c r="AB55" s="5">
        <v>10346</v>
      </c>
      <c r="AC55" s="5">
        <v>23058</v>
      </c>
      <c r="AD55" s="5">
        <v>37869</v>
      </c>
      <c r="AE55" s="5"/>
      <c r="AF55" s="5">
        <v>71273</v>
      </c>
      <c r="AI55" s="1">
        <v>39142</v>
      </c>
      <c r="AJ55">
        <v>20923</v>
      </c>
      <c r="AK55" t="s">
        <v>23</v>
      </c>
      <c r="AN55" s="3">
        <v>39934</v>
      </c>
      <c r="AO55" s="5">
        <v>108692</v>
      </c>
      <c r="AP55" s="5"/>
      <c r="AQ55" s="5">
        <v>87478</v>
      </c>
      <c r="AR55" s="5"/>
      <c r="AS55" s="5">
        <v>196170</v>
      </c>
      <c r="AW55" s="1">
        <v>39142</v>
      </c>
      <c r="AX55">
        <v>18020</v>
      </c>
      <c r="AY55" t="s">
        <v>22</v>
      </c>
      <c r="BB55" s="3">
        <v>39934</v>
      </c>
      <c r="BC55" s="5">
        <v>84588</v>
      </c>
      <c r="BD55" s="5"/>
      <c r="BE55" s="5">
        <v>22244</v>
      </c>
      <c r="BF55" s="5"/>
      <c r="BG55" s="5"/>
      <c r="BH55" s="5">
        <v>106832</v>
      </c>
    </row>
    <row r="56" spans="1:60" x14ac:dyDescent="0.25">
      <c r="A56" s="1">
        <v>39508</v>
      </c>
      <c r="B56">
        <v>49873</v>
      </c>
      <c r="C56" t="s">
        <v>3</v>
      </c>
      <c r="J56" s="3">
        <v>40299</v>
      </c>
      <c r="K56" s="5">
        <v>25</v>
      </c>
      <c r="L56" s="5">
        <v>17575</v>
      </c>
      <c r="M56" s="5">
        <v>46855</v>
      </c>
      <c r="N56" s="5">
        <v>15988</v>
      </c>
      <c r="O56" s="5"/>
      <c r="P56" s="5"/>
      <c r="Q56" s="5">
        <v>80443</v>
      </c>
      <c r="U56" s="1">
        <v>39234</v>
      </c>
      <c r="V56">
        <v>61490</v>
      </c>
      <c r="W56" t="s">
        <v>15</v>
      </c>
      <c r="AA56" s="3">
        <v>40299</v>
      </c>
      <c r="AB56" s="5">
        <v>9171</v>
      </c>
      <c r="AC56" s="5">
        <v>30710</v>
      </c>
      <c r="AD56" s="5">
        <v>40562</v>
      </c>
      <c r="AE56" s="5"/>
      <c r="AF56" s="5">
        <v>80443</v>
      </c>
      <c r="AI56" s="1">
        <v>39173</v>
      </c>
      <c r="AJ56">
        <v>18017</v>
      </c>
      <c r="AK56" t="s">
        <v>23</v>
      </c>
      <c r="AN56" s="3">
        <v>39965</v>
      </c>
      <c r="AO56" s="5"/>
      <c r="AP56" s="5">
        <v>10383</v>
      </c>
      <c r="AQ56" s="5">
        <v>80976</v>
      </c>
      <c r="AR56" s="5">
        <v>94312</v>
      </c>
      <c r="AS56" s="5">
        <v>185671</v>
      </c>
      <c r="AW56" s="1">
        <v>39173</v>
      </c>
      <c r="AX56">
        <v>20586</v>
      </c>
      <c r="AY56" t="s">
        <v>23</v>
      </c>
      <c r="BB56" s="3">
        <v>39965</v>
      </c>
      <c r="BC56" s="5"/>
      <c r="BD56" s="5">
        <v>22119</v>
      </c>
      <c r="BE56" s="5">
        <v>27796</v>
      </c>
      <c r="BF56" s="5">
        <v>81756</v>
      </c>
      <c r="BG56" s="5"/>
      <c r="BH56" s="5">
        <v>131671</v>
      </c>
    </row>
    <row r="57" spans="1:60" x14ac:dyDescent="0.25">
      <c r="A57" s="1">
        <v>39508</v>
      </c>
      <c r="B57">
        <v>88535</v>
      </c>
      <c r="C57" t="s">
        <v>2</v>
      </c>
      <c r="J57" s="3">
        <v>40330</v>
      </c>
      <c r="K57" s="5">
        <v>4</v>
      </c>
      <c r="L57" s="5">
        <v>19523</v>
      </c>
      <c r="M57" s="5">
        <v>55813</v>
      </c>
      <c r="N57" s="5">
        <v>14269</v>
      </c>
      <c r="O57" s="5"/>
      <c r="P57" s="5"/>
      <c r="Q57" s="5">
        <v>89609</v>
      </c>
      <c r="U57" s="1">
        <v>39234</v>
      </c>
      <c r="V57">
        <v>69687</v>
      </c>
      <c r="W57" t="s">
        <v>16</v>
      </c>
      <c r="AA57" s="3">
        <v>40330</v>
      </c>
      <c r="AB57" s="5">
        <v>10433</v>
      </c>
      <c r="AC57" s="5">
        <v>38377</v>
      </c>
      <c r="AD57" s="5">
        <v>40799</v>
      </c>
      <c r="AE57" s="5"/>
      <c r="AF57" s="5">
        <v>89609</v>
      </c>
      <c r="AI57" s="1">
        <v>39173</v>
      </c>
      <c r="AJ57">
        <v>93294</v>
      </c>
      <c r="AK57" t="s">
        <v>22</v>
      </c>
      <c r="AN57" s="3">
        <v>39995</v>
      </c>
      <c r="AO57" s="5"/>
      <c r="AP57" s="5">
        <v>16311</v>
      </c>
      <c r="AQ57" s="5">
        <v>82570</v>
      </c>
      <c r="AR57" s="5">
        <v>90531</v>
      </c>
      <c r="AS57" s="5">
        <v>189412</v>
      </c>
      <c r="AW57" s="1">
        <v>39173</v>
      </c>
      <c r="AX57">
        <v>18869</v>
      </c>
      <c r="AY57" t="s">
        <v>22</v>
      </c>
      <c r="BB57" s="3">
        <v>39995</v>
      </c>
      <c r="BC57" s="5"/>
      <c r="BD57" s="5">
        <v>39349</v>
      </c>
      <c r="BE57" s="5">
        <v>35162</v>
      </c>
      <c r="BF57" s="5">
        <v>98694</v>
      </c>
      <c r="BG57" s="5"/>
      <c r="BH57" s="5">
        <v>173205</v>
      </c>
    </row>
    <row r="58" spans="1:60" x14ac:dyDescent="0.25">
      <c r="A58" s="1">
        <v>39539</v>
      </c>
      <c r="B58">
        <v>98952</v>
      </c>
      <c r="C58" t="s">
        <v>2</v>
      </c>
      <c r="J58" s="3">
        <v>40360</v>
      </c>
      <c r="K58" s="5">
        <v>1</v>
      </c>
      <c r="L58" s="5">
        <v>19158</v>
      </c>
      <c r="M58" s="5">
        <v>50706</v>
      </c>
      <c r="N58" s="5">
        <v>13900</v>
      </c>
      <c r="O58" s="5"/>
      <c r="P58" s="5"/>
      <c r="Q58" s="5">
        <v>83765</v>
      </c>
      <c r="U58" s="1">
        <v>39234</v>
      </c>
      <c r="V58">
        <v>1295</v>
      </c>
      <c r="W58" t="s">
        <v>14</v>
      </c>
      <c r="AA58" s="3">
        <v>40360</v>
      </c>
      <c r="AB58" s="5">
        <v>9017</v>
      </c>
      <c r="AC58" s="5">
        <v>36953</v>
      </c>
      <c r="AD58" s="5">
        <v>37795</v>
      </c>
      <c r="AE58" s="5"/>
      <c r="AF58" s="5">
        <v>83765</v>
      </c>
      <c r="AI58" s="1">
        <v>39203</v>
      </c>
      <c r="AJ58">
        <v>118081</v>
      </c>
      <c r="AK58" t="s">
        <v>22</v>
      </c>
      <c r="AN58" s="3">
        <v>40026</v>
      </c>
      <c r="AO58" s="5"/>
      <c r="AP58" s="5">
        <v>25480</v>
      </c>
      <c r="AQ58" s="5">
        <v>89410</v>
      </c>
      <c r="AR58" s="5">
        <v>71783</v>
      </c>
      <c r="AS58" s="5">
        <v>186673</v>
      </c>
      <c r="AW58" s="1">
        <v>39203</v>
      </c>
      <c r="AX58">
        <v>25028</v>
      </c>
      <c r="AY58" t="s">
        <v>23</v>
      </c>
      <c r="BB58" s="3">
        <v>40026</v>
      </c>
      <c r="BC58" s="5"/>
      <c r="BD58" s="5">
        <v>41471</v>
      </c>
      <c r="BE58" s="5">
        <v>33907</v>
      </c>
      <c r="BF58" s="5">
        <v>79985</v>
      </c>
      <c r="BG58" s="5"/>
      <c r="BH58" s="5">
        <v>155363</v>
      </c>
    </row>
    <row r="59" spans="1:60" x14ac:dyDescent="0.25">
      <c r="A59" s="1">
        <v>39539</v>
      </c>
      <c r="B59">
        <v>44733</v>
      </c>
      <c r="C59" t="s">
        <v>3</v>
      </c>
      <c r="J59" s="3">
        <v>40391</v>
      </c>
      <c r="K59" s="5">
        <v>1120</v>
      </c>
      <c r="L59" s="5">
        <v>20121</v>
      </c>
      <c r="M59" s="5">
        <v>48810</v>
      </c>
      <c r="N59" s="5">
        <v>16488</v>
      </c>
      <c r="O59" s="5"/>
      <c r="P59" s="5"/>
      <c r="Q59" s="5">
        <v>86539</v>
      </c>
      <c r="U59" s="1">
        <v>39264</v>
      </c>
      <c r="V59">
        <v>53816</v>
      </c>
      <c r="W59" t="s">
        <v>15</v>
      </c>
      <c r="AA59" s="3">
        <v>40391</v>
      </c>
      <c r="AB59" s="5">
        <v>9218</v>
      </c>
      <c r="AC59" s="5">
        <v>32778</v>
      </c>
      <c r="AD59" s="5">
        <v>44543</v>
      </c>
      <c r="AE59" s="5"/>
      <c r="AF59" s="5">
        <v>86539</v>
      </c>
      <c r="AI59" s="1">
        <v>39203</v>
      </c>
      <c r="AJ59">
        <v>22875</v>
      </c>
      <c r="AK59" t="s">
        <v>23</v>
      </c>
      <c r="AN59" s="3">
        <v>40057</v>
      </c>
      <c r="AO59" s="5"/>
      <c r="AP59" s="5">
        <v>22620</v>
      </c>
      <c r="AQ59" s="5">
        <v>83867</v>
      </c>
      <c r="AR59" s="5">
        <v>45076</v>
      </c>
      <c r="AS59" s="5">
        <v>151563</v>
      </c>
      <c r="AW59" s="1">
        <v>39203</v>
      </c>
      <c r="AX59">
        <v>25321</v>
      </c>
      <c r="AY59" t="s">
        <v>22</v>
      </c>
      <c r="BB59" s="3">
        <v>40057</v>
      </c>
      <c r="BC59" s="5"/>
      <c r="BD59" s="5">
        <v>30038</v>
      </c>
      <c r="BE59" s="5">
        <v>25673</v>
      </c>
      <c r="BF59" s="5">
        <v>49944</v>
      </c>
      <c r="BG59" s="5"/>
      <c r="BH59" s="5">
        <v>105655</v>
      </c>
    </row>
    <row r="60" spans="1:60" x14ac:dyDescent="0.25">
      <c r="A60" s="1">
        <v>39569</v>
      </c>
      <c r="B60">
        <v>110414</v>
      </c>
      <c r="C60" t="s">
        <v>2</v>
      </c>
      <c r="J60" s="3">
        <v>40422</v>
      </c>
      <c r="K60" s="5">
        <v>326</v>
      </c>
      <c r="L60" s="5">
        <v>38354</v>
      </c>
      <c r="M60" s="5">
        <v>42017</v>
      </c>
      <c r="N60" s="5">
        <v>24337</v>
      </c>
      <c r="O60" s="5"/>
      <c r="P60" s="5"/>
      <c r="Q60" s="5">
        <v>105034</v>
      </c>
      <c r="U60" s="1">
        <v>39264</v>
      </c>
      <c r="V60">
        <v>63220</v>
      </c>
      <c r="W60" t="s">
        <v>16</v>
      </c>
      <c r="AA60" s="3">
        <v>40422</v>
      </c>
      <c r="AB60" s="5">
        <v>16012</v>
      </c>
      <c r="AC60" s="5">
        <v>25077</v>
      </c>
      <c r="AD60" s="5">
        <v>63945</v>
      </c>
      <c r="AE60" s="5"/>
      <c r="AF60" s="5">
        <v>105034</v>
      </c>
      <c r="AI60" s="1">
        <v>39234</v>
      </c>
      <c r="AJ60">
        <v>122699</v>
      </c>
      <c r="AK60" t="s">
        <v>22</v>
      </c>
      <c r="AN60" s="3">
        <v>40087</v>
      </c>
      <c r="AO60" s="5"/>
      <c r="AP60" s="5">
        <v>16406</v>
      </c>
      <c r="AQ60" s="5">
        <v>62931</v>
      </c>
      <c r="AR60" s="5">
        <v>24616</v>
      </c>
      <c r="AS60" s="5">
        <v>103953</v>
      </c>
      <c r="AW60" s="1">
        <v>39234</v>
      </c>
      <c r="AX60">
        <v>26551</v>
      </c>
      <c r="AY60" t="s">
        <v>23</v>
      </c>
      <c r="BB60" s="3">
        <v>40087</v>
      </c>
      <c r="BC60" s="5"/>
      <c r="BD60" s="5">
        <v>21784</v>
      </c>
      <c r="BE60" s="5">
        <v>25546</v>
      </c>
      <c r="BF60" s="5">
        <v>32936</v>
      </c>
      <c r="BG60" s="5"/>
      <c r="BH60" s="5">
        <v>80266</v>
      </c>
    </row>
    <row r="61" spans="1:60" x14ac:dyDescent="0.25">
      <c r="A61" s="1">
        <v>39569</v>
      </c>
      <c r="B61">
        <v>41194</v>
      </c>
      <c r="C61" t="s">
        <v>3</v>
      </c>
      <c r="J61" s="3">
        <v>40452</v>
      </c>
      <c r="K61" s="5">
        <v>3</v>
      </c>
      <c r="L61" s="5">
        <v>36203</v>
      </c>
      <c r="M61" s="5">
        <v>39705</v>
      </c>
      <c r="N61" s="5">
        <v>29103</v>
      </c>
      <c r="O61" s="5"/>
      <c r="P61" s="5"/>
      <c r="Q61" s="5">
        <v>105014</v>
      </c>
      <c r="U61" s="1">
        <v>39264</v>
      </c>
      <c r="V61">
        <v>1176</v>
      </c>
      <c r="W61" t="s">
        <v>14</v>
      </c>
      <c r="AA61" s="3">
        <v>40452</v>
      </c>
      <c r="AB61" s="5">
        <v>13956</v>
      </c>
      <c r="AC61" s="5">
        <v>21824</v>
      </c>
      <c r="AD61" s="5">
        <v>69234</v>
      </c>
      <c r="AE61" s="5"/>
      <c r="AF61" s="5">
        <v>105014</v>
      </c>
      <c r="AI61" s="1">
        <v>39234</v>
      </c>
      <c r="AJ61">
        <v>24801</v>
      </c>
      <c r="AK61" t="s">
        <v>23</v>
      </c>
      <c r="AN61" s="3">
        <v>40118</v>
      </c>
      <c r="AO61" s="5"/>
      <c r="AP61" s="5">
        <v>13051</v>
      </c>
      <c r="AQ61" s="5">
        <v>58846</v>
      </c>
      <c r="AR61" s="5">
        <v>20958</v>
      </c>
      <c r="AS61" s="5">
        <v>92855</v>
      </c>
      <c r="AW61" s="1">
        <v>39234</v>
      </c>
      <c r="AX61">
        <v>27815</v>
      </c>
      <c r="AY61" t="s">
        <v>22</v>
      </c>
      <c r="BB61" s="3">
        <v>40118</v>
      </c>
      <c r="BC61" s="5"/>
      <c r="BD61" s="5">
        <v>18281</v>
      </c>
      <c r="BE61" s="5">
        <v>24426</v>
      </c>
      <c r="BF61" s="5">
        <v>25969</v>
      </c>
      <c r="BG61" s="5"/>
      <c r="BH61" s="5">
        <v>68676</v>
      </c>
    </row>
    <row r="62" spans="1:60" x14ac:dyDescent="0.25">
      <c r="A62" s="1">
        <v>39600</v>
      </c>
      <c r="B62">
        <v>30865</v>
      </c>
      <c r="C62" t="s">
        <v>3</v>
      </c>
      <c r="J62" s="3">
        <v>40483</v>
      </c>
      <c r="K62" s="5">
        <v>24</v>
      </c>
      <c r="L62" s="5">
        <v>39308</v>
      </c>
      <c r="M62" s="5">
        <v>35585</v>
      </c>
      <c r="N62" s="5">
        <v>28907</v>
      </c>
      <c r="O62" s="5"/>
      <c r="P62" s="5"/>
      <c r="Q62" s="5">
        <v>103824</v>
      </c>
      <c r="U62" s="1">
        <v>39295</v>
      </c>
      <c r="V62">
        <v>55366</v>
      </c>
      <c r="W62" t="s">
        <v>15</v>
      </c>
      <c r="AA62" s="3">
        <v>40483</v>
      </c>
      <c r="AB62" s="5">
        <v>16014</v>
      </c>
      <c r="AC62" s="5">
        <v>19204</v>
      </c>
      <c r="AD62" s="5">
        <v>68606</v>
      </c>
      <c r="AE62" s="5"/>
      <c r="AF62" s="5">
        <v>103824</v>
      </c>
      <c r="AI62" s="1">
        <v>39264</v>
      </c>
      <c r="AJ62">
        <v>21810</v>
      </c>
      <c r="AK62" t="s">
        <v>23</v>
      </c>
      <c r="AN62" s="3">
        <v>40148</v>
      </c>
      <c r="AO62" s="5"/>
      <c r="AP62" s="5">
        <v>18179</v>
      </c>
      <c r="AQ62" s="5">
        <v>62802</v>
      </c>
      <c r="AR62" s="5">
        <v>26484</v>
      </c>
      <c r="AS62" s="5">
        <v>107465</v>
      </c>
      <c r="AW62" s="1">
        <v>39264</v>
      </c>
      <c r="AX62">
        <v>32290</v>
      </c>
      <c r="AY62" t="s">
        <v>22</v>
      </c>
      <c r="BB62" s="3">
        <v>40148</v>
      </c>
      <c r="BC62" s="5"/>
      <c r="BD62" s="5">
        <v>20048</v>
      </c>
      <c r="BE62" s="5">
        <v>26861</v>
      </c>
      <c r="BF62" s="5">
        <v>26137</v>
      </c>
      <c r="BG62" s="5"/>
      <c r="BH62" s="5">
        <v>73046</v>
      </c>
    </row>
    <row r="63" spans="1:60" x14ac:dyDescent="0.25">
      <c r="A63" s="1">
        <v>39600</v>
      </c>
      <c r="B63">
        <v>108177</v>
      </c>
      <c r="C63" t="s">
        <v>2</v>
      </c>
      <c r="J63" s="3">
        <v>40513</v>
      </c>
      <c r="K63" s="5">
        <v>3</v>
      </c>
      <c r="L63" s="5">
        <v>45723</v>
      </c>
      <c r="M63" s="5">
        <v>33399</v>
      </c>
      <c r="N63" s="5">
        <v>29330</v>
      </c>
      <c r="O63" s="5"/>
      <c r="P63" s="5"/>
      <c r="Q63" s="5">
        <v>108455</v>
      </c>
      <c r="U63" s="1">
        <v>39295</v>
      </c>
      <c r="V63">
        <v>77551</v>
      </c>
      <c r="W63" t="s">
        <v>16</v>
      </c>
      <c r="AA63" s="3">
        <v>40513</v>
      </c>
      <c r="AB63" s="5">
        <v>17737</v>
      </c>
      <c r="AC63" s="5">
        <v>17561</v>
      </c>
      <c r="AD63" s="5">
        <v>73157</v>
      </c>
      <c r="AE63" s="5"/>
      <c r="AF63" s="5">
        <v>108455</v>
      </c>
      <c r="AI63" s="1">
        <v>39264</v>
      </c>
      <c r="AJ63">
        <v>125488</v>
      </c>
      <c r="AK63" t="s">
        <v>22</v>
      </c>
      <c r="AN63" s="3">
        <v>40179</v>
      </c>
      <c r="AO63" s="5"/>
      <c r="AP63" s="5">
        <v>23590</v>
      </c>
      <c r="AQ63" s="5">
        <v>60390</v>
      </c>
      <c r="AR63" s="5">
        <v>27562</v>
      </c>
      <c r="AS63" s="5">
        <v>111542</v>
      </c>
      <c r="AW63" s="1">
        <v>39264</v>
      </c>
      <c r="AX63">
        <v>26375</v>
      </c>
      <c r="AY63" t="s">
        <v>23</v>
      </c>
      <c r="BB63" s="3">
        <v>40179</v>
      </c>
      <c r="BC63" s="5"/>
      <c r="BD63" s="5">
        <v>22598</v>
      </c>
      <c r="BE63" s="5">
        <v>27023</v>
      </c>
      <c r="BF63" s="5">
        <v>27335</v>
      </c>
      <c r="BG63" s="5"/>
      <c r="BH63" s="5">
        <v>76956</v>
      </c>
    </row>
    <row r="64" spans="1:60" x14ac:dyDescent="0.25">
      <c r="A64" s="1">
        <v>39630</v>
      </c>
      <c r="B64">
        <v>62302</v>
      </c>
      <c r="C64" t="s">
        <v>2</v>
      </c>
      <c r="J64" s="3">
        <v>40544</v>
      </c>
      <c r="K64" s="5"/>
      <c r="L64" s="5">
        <v>31180</v>
      </c>
      <c r="M64" s="5">
        <v>40868</v>
      </c>
      <c r="N64" s="5">
        <v>36053</v>
      </c>
      <c r="O64" s="5"/>
      <c r="P64" s="5"/>
      <c r="Q64" s="5">
        <v>108101</v>
      </c>
      <c r="U64" s="1">
        <v>39295</v>
      </c>
      <c r="V64">
        <v>1317</v>
      </c>
      <c r="W64" t="s">
        <v>14</v>
      </c>
      <c r="AA64" s="3">
        <v>40544</v>
      </c>
      <c r="AB64" s="5">
        <v>14937</v>
      </c>
      <c r="AC64" s="5">
        <v>21831</v>
      </c>
      <c r="AD64" s="5">
        <v>71333</v>
      </c>
      <c r="AE64" s="5"/>
      <c r="AF64" s="5">
        <v>108101</v>
      </c>
      <c r="AI64" s="1">
        <v>39295</v>
      </c>
      <c r="AJ64">
        <v>118350</v>
      </c>
      <c r="AK64" t="s">
        <v>22</v>
      </c>
      <c r="AN64" s="3">
        <v>40210</v>
      </c>
      <c r="AO64" s="5"/>
      <c r="AP64" s="5">
        <v>26564</v>
      </c>
      <c r="AQ64" s="5">
        <v>54738</v>
      </c>
      <c r="AR64" s="5">
        <v>29806</v>
      </c>
      <c r="AS64" s="5">
        <v>111108</v>
      </c>
      <c r="AW64" s="1">
        <v>39295</v>
      </c>
      <c r="AX64">
        <v>21015</v>
      </c>
      <c r="AY64" t="s">
        <v>23</v>
      </c>
      <c r="BB64" s="3">
        <v>40210</v>
      </c>
      <c r="BC64" s="5"/>
      <c r="BD64" s="5">
        <v>26006</v>
      </c>
      <c r="BE64" s="5">
        <v>24131</v>
      </c>
      <c r="BF64" s="5">
        <v>31066</v>
      </c>
      <c r="BG64" s="5"/>
      <c r="BH64" s="5">
        <v>81203</v>
      </c>
    </row>
    <row r="65" spans="1:60" x14ac:dyDescent="0.25">
      <c r="A65" s="1">
        <v>39630</v>
      </c>
      <c r="B65">
        <v>15169</v>
      </c>
      <c r="C65" t="s">
        <v>3</v>
      </c>
      <c r="J65" s="3">
        <v>40575</v>
      </c>
      <c r="K65" s="5">
        <v>150</v>
      </c>
      <c r="L65" s="5">
        <v>36604</v>
      </c>
      <c r="M65" s="5">
        <v>38825</v>
      </c>
      <c r="N65" s="5">
        <v>24920</v>
      </c>
      <c r="O65" s="5"/>
      <c r="P65" s="5"/>
      <c r="Q65" s="5">
        <v>100499</v>
      </c>
      <c r="U65" s="1">
        <v>39326</v>
      </c>
      <c r="V65">
        <v>55888</v>
      </c>
      <c r="W65" t="s">
        <v>15</v>
      </c>
      <c r="AA65" s="3">
        <v>40575</v>
      </c>
      <c r="AB65" s="5">
        <v>17490</v>
      </c>
      <c r="AC65" s="5">
        <v>22007</v>
      </c>
      <c r="AD65" s="5">
        <v>61002</v>
      </c>
      <c r="AE65" s="5"/>
      <c r="AF65" s="5">
        <v>100499</v>
      </c>
      <c r="AI65" s="1">
        <v>39295</v>
      </c>
      <c r="AJ65">
        <v>17435</v>
      </c>
      <c r="AK65" t="s">
        <v>23</v>
      </c>
      <c r="AN65" s="3">
        <v>40238</v>
      </c>
      <c r="AO65" s="5"/>
      <c r="AP65" s="5">
        <v>24648</v>
      </c>
      <c r="AQ65" s="5">
        <v>43730</v>
      </c>
      <c r="AR65" s="5">
        <v>25134</v>
      </c>
      <c r="AS65" s="5">
        <v>93512</v>
      </c>
      <c r="AW65" s="1">
        <v>39295</v>
      </c>
      <c r="AX65">
        <v>29663</v>
      </c>
      <c r="AY65" t="s">
        <v>22</v>
      </c>
      <c r="BB65" s="3">
        <v>40238</v>
      </c>
      <c r="BC65" s="5"/>
      <c r="BD65" s="5">
        <v>24778</v>
      </c>
      <c r="BE65" s="5">
        <v>15542</v>
      </c>
      <c r="BF65" s="5">
        <v>24996</v>
      </c>
      <c r="BG65" s="5"/>
      <c r="BH65" s="5">
        <v>65316</v>
      </c>
    </row>
    <row r="66" spans="1:60" x14ac:dyDescent="0.25">
      <c r="A66" s="1">
        <v>39661</v>
      </c>
      <c r="B66">
        <v>68339</v>
      </c>
      <c r="C66" t="s">
        <v>2</v>
      </c>
      <c r="J66" s="3">
        <v>40603</v>
      </c>
      <c r="K66" s="5">
        <v>2646</v>
      </c>
      <c r="L66" s="5">
        <v>19980</v>
      </c>
      <c r="M66" s="5">
        <v>29596</v>
      </c>
      <c r="N66" s="5">
        <v>11405</v>
      </c>
      <c r="O66" s="5"/>
      <c r="P66" s="5"/>
      <c r="Q66" s="5">
        <v>63627</v>
      </c>
      <c r="U66" s="1">
        <v>39326</v>
      </c>
      <c r="V66">
        <v>97102</v>
      </c>
      <c r="W66" t="s">
        <v>16</v>
      </c>
      <c r="AA66" s="3">
        <v>40603</v>
      </c>
      <c r="AB66" s="5">
        <v>10517</v>
      </c>
      <c r="AC66" s="5">
        <v>16260</v>
      </c>
      <c r="AD66" s="5">
        <v>36850</v>
      </c>
      <c r="AE66" s="5"/>
      <c r="AF66" s="5">
        <v>63627</v>
      </c>
      <c r="AI66" s="1">
        <v>39326</v>
      </c>
      <c r="AJ66">
        <v>113663</v>
      </c>
      <c r="AK66" t="s">
        <v>22</v>
      </c>
      <c r="AN66" s="3">
        <v>40269</v>
      </c>
      <c r="AO66" s="5"/>
      <c r="AP66" s="5">
        <v>17440</v>
      </c>
      <c r="AQ66" s="5">
        <v>42612</v>
      </c>
      <c r="AR66" s="5">
        <v>17800</v>
      </c>
      <c r="AS66" s="5">
        <v>77852</v>
      </c>
      <c r="AW66" s="1">
        <v>39326</v>
      </c>
      <c r="AX66">
        <v>24698</v>
      </c>
      <c r="AY66" t="s">
        <v>22</v>
      </c>
      <c r="BB66" s="3">
        <v>40269</v>
      </c>
      <c r="BC66" s="5"/>
      <c r="BD66" s="5">
        <v>19537</v>
      </c>
      <c r="BE66" s="5">
        <v>15025</v>
      </c>
      <c r="BF66" s="5">
        <v>16955</v>
      </c>
      <c r="BG66" s="5"/>
      <c r="BH66" s="5">
        <v>51517</v>
      </c>
    </row>
    <row r="67" spans="1:60" x14ac:dyDescent="0.25">
      <c r="A67" s="1">
        <v>39661</v>
      </c>
      <c r="B67">
        <v>12928</v>
      </c>
      <c r="C67" t="s">
        <v>3</v>
      </c>
      <c r="J67" s="3">
        <v>40634</v>
      </c>
      <c r="K67" s="5">
        <v>10</v>
      </c>
      <c r="L67" s="5">
        <v>18800</v>
      </c>
      <c r="M67" s="5">
        <v>24320</v>
      </c>
      <c r="N67" s="5">
        <v>9549</v>
      </c>
      <c r="O67" s="5"/>
      <c r="P67" s="5"/>
      <c r="Q67" s="5">
        <v>52679</v>
      </c>
      <c r="U67" s="1">
        <v>39326</v>
      </c>
      <c r="V67">
        <v>1309</v>
      </c>
      <c r="W67" t="s">
        <v>14</v>
      </c>
      <c r="AA67" s="3">
        <v>40634</v>
      </c>
      <c r="AB67" s="5">
        <v>9118</v>
      </c>
      <c r="AC67" s="5">
        <v>15307</v>
      </c>
      <c r="AD67" s="5">
        <v>28254</v>
      </c>
      <c r="AE67" s="5"/>
      <c r="AF67" s="5">
        <v>52679</v>
      </c>
      <c r="AI67" s="1">
        <v>39326</v>
      </c>
      <c r="AJ67">
        <v>15467</v>
      </c>
      <c r="AK67" t="s">
        <v>23</v>
      </c>
      <c r="AN67" s="3">
        <v>40299</v>
      </c>
      <c r="AO67" s="5"/>
      <c r="AP67" s="5">
        <v>21045</v>
      </c>
      <c r="AQ67" s="5">
        <v>46375</v>
      </c>
      <c r="AR67" s="5">
        <v>16829</v>
      </c>
      <c r="AS67" s="5">
        <v>84249</v>
      </c>
      <c r="AW67" s="1">
        <v>39326</v>
      </c>
      <c r="AX67">
        <v>16987</v>
      </c>
      <c r="AY67" t="s">
        <v>23</v>
      </c>
      <c r="BB67" s="3">
        <v>40299</v>
      </c>
      <c r="BC67" s="5"/>
      <c r="BD67" s="5">
        <v>23581</v>
      </c>
      <c r="BE67" s="5">
        <v>24751</v>
      </c>
      <c r="BF67" s="5">
        <v>23261</v>
      </c>
      <c r="BG67" s="5"/>
      <c r="BH67" s="5">
        <v>71593</v>
      </c>
    </row>
    <row r="68" spans="1:60" x14ac:dyDescent="0.25">
      <c r="A68" s="1">
        <v>39692</v>
      </c>
      <c r="B68">
        <v>66445</v>
      </c>
      <c r="C68" t="s">
        <v>2</v>
      </c>
      <c r="J68" s="3">
        <v>40664</v>
      </c>
      <c r="K68" s="5"/>
      <c r="L68" s="5">
        <v>12820</v>
      </c>
      <c r="M68" s="5">
        <v>26412</v>
      </c>
      <c r="N68" s="5">
        <v>7249</v>
      </c>
      <c r="O68" s="5"/>
      <c r="P68" s="5"/>
      <c r="Q68" s="5">
        <v>46481</v>
      </c>
      <c r="U68" s="1">
        <v>39356</v>
      </c>
      <c r="V68">
        <v>51812</v>
      </c>
      <c r="W68" t="s">
        <v>15</v>
      </c>
      <c r="AA68" s="3">
        <v>40664</v>
      </c>
      <c r="AB68" s="5">
        <v>5828</v>
      </c>
      <c r="AC68" s="5">
        <v>18349</v>
      </c>
      <c r="AD68" s="5">
        <v>22304</v>
      </c>
      <c r="AE68" s="5"/>
      <c r="AF68" s="5">
        <v>46481</v>
      </c>
      <c r="AI68" s="1">
        <v>39356</v>
      </c>
      <c r="AJ68">
        <v>110255</v>
      </c>
      <c r="AK68" t="s">
        <v>22</v>
      </c>
      <c r="AN68" s="3">
        <v>40330</v>
      </c>
      <c r="AO68" s="5"/>
      <c r="AP68" s="5">
        <v>19445</v>
      </c>
      <c r="AQ68" s="5">
        <v>49599</v>
      </c>
      <c r="AR68" s="5">
        <v>14699</v>
      </c>
      <c r="AS68" s="5">
        <v>83743</v>
      </c>
      <c r="AW68" s="1">
        <v>39356</v>
      </c>
      <c r="AX68">
        <v>24976</v>
      </c>
      <c r="AY68" t="s">
        <v>22</v>
      </c>
      <c r="BB68" s="3">
        <v>40330</v>
      </c>
      <c r="BC68" s="5"/>
      <c r="BD68" s="5">
        <v>21651</v>
      </c>
      <c r="BE68" s="5">
        <v>26297</v>
      </c>
      <c r="BF68" s="5">
        <v>19774</v>
      </c>
      <c r="BG68" s="5"/>
      <c r="BH68" s="5">
        <v>67722</v>
      </c>
    </row>
    <row r="69" spans="1:60" x14ac:dyDescent="0.25">
      <c r="A69" s="1">
        <v>39692</v>
      </c>
      <c r="B69">
        <v>11279</v>
      </c>
      <c r="C69" t="s">
        <v>3</v>
      </c>
      <c r="J69" s="3">
        <v>40695</v>
      </c>
      <c r="K69" s="5"/>
      <c r="L69" s="5">
        <v>12588</v>
      </c>
      <c r="M69" s="5">
        <v>32058</v>
      </c>
      <c r="N69" s="5">
        <v>7079</v>
      </c>
      <c r="O69" s="5"/>
      <c r="P69" s="5"/>
      <c r="Q69" s="5">
        <v>51725</v>
      </c>
      <c r="U69" s="1">
        <v>39356</v>
      </c>
      <c r="V69">
        <v>72966</v>
      </c>
      <c r="W69" t="s">
        <v>16</v>
      </c>
      <c r="AA69" s="3">
        <v>40695</v>
      </c>
      <c r="AB69" s="5">
        <v>5870</v>
      </c>
      <c r="AC69" s="5">
        <v>23616</v>
      </c>
      <c r="AD69" s="5">
        <v>22239</v>
      </c>
      <c r="AE69" s="5"/>
      <c r="AF69" s="5">
        <v>51725</v>
      </c>
      <c r="AI69" s="1">
        <v>39356</v>
      </c>
      <c r="AJ69">
        <v>15255</v>
      </c>
      <c r="AK69" t="s">
        <v>23</v>
      </c>
      <c r="AN69" s="3">
        <v>40360</v>
      </c>
      <c r="AO69" s="5"/>
      <c r="AP69" s="5">
        <v>15205</v>
      </c>
      <c r="AQ69" s="5">
        <v>51493</v>
      </c>
      <c r="AR69" s="5">
        <v>11907</v>
      </c>
      <c r="AS69" s="5">
        <v>78605</v>
      </c>
      <c r="AW69" s="1">
        <v>39356</v>
      </c>
      <c r="AX69">
        <v>18729</v>
      </c>
      <c r="AY69" t="s">
        <v>23</v>
      </c>
      <c r="BB69" s="3">
        <v>40360</v>
      </c>
      <c r="BC69" s="5"/>
      <c r="BD69" s="5">
        <v>17093</v>
      </c>
      <c r="BE69" s="5">
        <v>29344</v>
      </c>
      <c r="BF69" s="5">
        <v>16373</v>
      </c>
      <c r="BG69" s="5"/>
      <c r="BH69" s="5">
        <v>62810</v>
      </c>
    </row>
    <row r="70" spans="1:60" x14ac:dyDescent="0.25">
      <c r="A70" s="1">
        <v>39722</v>
      </c>
      <c r="B70">
        <v>9037</v>
      </c>
      <c r="C70" t="s">
        <v>3</v>
      </c>
      <c r="J70" s="3">
        <v>40725</v>
      </c>
      <c r="K70" s="5"/>
      <c r="L70" s="5">
        <v>11579</v>
      </c>
      <c r="M70" s="5">
        <v>25325</v>
      </c>
      <c r="N70" s="5">
        <v>5161</v>
      </c>
      <c r="O70" s="5"/>
      <c r="P70" s="5"/>
      <c r="Q70" s="5">
        <v>42065</v>
      </c>
      <c r="U70" s="1">
        <v>39356</v>
      </c>
      <c r="V70">
        <v>1507</v>
      </c>
      <c r="W70" t="s">
        <v>14</v>
      </c>
      <c r="AA70" s="3">
        <v>40725</v>
      </c>
      <c r="AB70" s="5">
        <v>6101</v>
      </c>
      <c r="AC70" s="5">
        <v>19009</v>
      </c>
      <c r="AD70" s="5">
        <v>16955</v>
      </c>
      <c r="AE70" s="5"/>
      <c r="AF70" s="5">
        <v>42065</v>
      </c>
      <c r="AI70" s="1">
        <v>39387</v>
      </c>
      <c r="AJ70">
        <v>99633</v>
      </c>
      <c r="AK70" t="s">
        <v>22</v>
      </c>
      <c r="AN70" s="3">
        <v>40391</v>
      </c>
      <c r="AO70" s="5"/>
      <c r="AP70" s="5">
        <v>21345</v>
      </c>
      <c r="AQ70" s="5">
        <v>55048</v>
      </c>
      <c r="AR70" s="5">
        <v>16456</v>
      </c>
      <c r="AS70" s="5">
        <v>92849</v>
      </c>
      <c r="AW70" s="1">
        <v>39387</v>
      </c>
      <c r="AX70">
        <v>20447</v>
      </c>
      <c r="AY70" t="s">
        <v>23</v>
      </c>
      <c r="BB70" s="3">
        <v>40391</v>
      </c>
      <c r="BC70" s="5"/>
      <c r="BD70" s="5">
        <v>19377</v>
      </c>
      <c r="BE70" s="5">
        <v>36104</v>
      </c>
      <c r="BF70" s="5">
        <v>22123</v>
      </c>
      <c r="BG70" s="5"/>
      <c r="BH70" s="5">
        <v>77604</v>
      </c>
    </row>
    <row r="71" spans="1:60" x14ac:dyDescent="0.25">
      <c r="A71" s="1">
        <v>39722</v>
      </c>
      <c r="B71">
        <v>45734</v>
      </c>
      <c r="C71" t="s">
        <v>2</v>
      </c>
      <c r="J71" s="3">
        <v>40756</v>
      </c>
      <c r="K71" s="5"/>
      <c r="L71" s="5">
        <v>13279</v>
      </c>
      <c r="M71" s="5">
        <v>34306</v>
      </c>
      <c r="N71" s="5">
        <v>8995</v>
      </c>
      <c r="O71" s="5"/>
      <c r="P71" s="5"/>
      <c r="Q71" s="5">
        <v>56580</v>
      </c>
      <c r="U71" s="1">
        <v>39387</v>
      </c>
      <c r="V71">
        <v>61078</v>
      </c>
      <c r="W71" t="s">
        <v>15</v>
      </c>
      <c r="AA71" s="3">
        <v>40756</v>
      </c>
      <c r="AB71" s="5">
        <v>6179</v>
      </c>
      <c r="AC71" s="5">
        <v>25639</v>
      </c>
      <c r="AD71" s="5">
        <v>24762</v>
      </c>
      <c r="AE71" s="5"/>
      <c r="AF71" s="5">
        <v>56580</v>
      </c>
      <c r="AI71" s="1">
        <v>39387</v>
      </c>
      <c r="AJ71">
        <v>18097</v>
      </c>
      <c r="AK71" t="s">
        <v>23</v>
      </c>
      <c r="AN71" s="3">
        <v>40422</v>
      </c>
      <c r="AO71" s="5"/>
      <c r="AP71" s="5">
        <v>28168</v>
      </c>
      <c r="AQ71" s="5">
        <v>40328</v>
      </c>
      <c r="AR71" s="5">
        <v>22322</v>
      </c>
      <c r="AS71" s="5">
        <v>90818</v>
      </c>
      <c r="AW71" s="1">
        <v>39387</v>
      </c>
      <c r="AX71">
        <v>22959</v>
      </c>
      <c r="AY71" t="s">
        <v>22</v>
      </c>
      <c r="BB71" s="3">
        <v>40422</v>
      </c>
      <c r="BC71" s="5"/>
      <c r="BD71" s="5">
        <v>25614</v>
      </c>
      <c r="BE71" s="5">
        <v>28611</v>
      </c>
      <c r="BF71" s="5">
        <v>34966</v>
      </c>
      <c r="BG71" s="5"/>
      <c r="BH71" s="5">
        <v>89191</v>
      </c>
    </row>
    <row r="72" spans="1:60" x14ac:dyDescent="0.25">
      <c r="A72" s="1">
        <v>39753</v>
      </c>
      <c r="B72">
        <v>13338</v>
      </c>
      <c r="C72" t="s">
        <v>3</v>
      </c>
      <c r="J72" s="3">
        <v>40787</v>
      </c>
      <c r="K72" s="5"/>
      <c r="L72" s="5">
        <v>15550</v>
      </c>
      <c r="M72" s="5">
        <v>35181</v>
      </c>
      <c r="N72" s="5">
        <v>9559</v>
      </c>
      <c r="O72" s="5"/>
      <c r="P72" s="5"/>
      <c r="Q72" s="5">
        <v>60290</v>
      </c>
      <c r="U72" s="1">
        <v>39387</v>
      </c>
      <c r="V72">
        <v>77897</v>
      </c>
      <c r="W72" t="s">
        <v>16</v>
      </c>
      <c r="AA72" s="3">
        <v>40787</v>
      </c>
      <c r="AB72" s="5">
        <v>7308</v>
      </c>
      <c r="AC72" s="5">
        <v>27102</v>
      </c>
      <c r="AD72" s="5">
        <v>25880</v>
      </c>
      <c r="AE72" s="5"/>
      <c r="AF72" s="5">
        <v>60290</v>
      </c>
      <c r="AI72" s="1">
        <v>39417</v>
      </c>
      <c r="AJ72">
        <v>101090</v>
      </c>
      <c r="AK72" t="s">
        <v>22</v>
      </c>
      <c r="AN72" s="3">
        <v>40452</v>
      </c>
      <c r="AO72" s="5"/>
      <c r="AP72" s="5">
        <v>33340</v>
      </c>
      <c r="AQ72" s="5">
        <v>41549</v>
      </c>
      <c r="AR72" s="5">
        <v>30002</v>
      </c>
      <c r="AS72" s="5">
        <v>104891</v>
      </c>
      <c r="AW72" s="1">
        <v>39417</v>
      </c>
      <c r="AX72">
        <v>25043</v>
      </c>
      <c r="AY72" t="s">
        <v>22</v>
      </c>
      <c r="BB72" s="3">
        <v>40452</v>
      </c>
      <c r="BC72" s="5"/>
      <c r="BD72" s="5">
        <v>35899</v>
      </c>
      <c r="BE72" s="5">
        <v>34726</v>
      </c>
      <c r="BF72" s="5">
        <v>54825</v>
      </c>
      <c r="BG72" s="5"/>
      <c r="BH72" s="5">
        <v>125450</v>
      </c>
    </row>
    <row r="73" spans="1:60" x14ac:dyDescent="0.25">
      <c r="A73" s="1">
        <v>39753</v>
      </c>
      <c r="B73">
        <v>43655</v>
      </c>
      <c r="C73" t="s">
        <v>2</v>
      </c>
      <c r="J73" s="3">
        <v>40817</v>
      </c>
      <c r="K73" s="5"/>
      <c r="L73" s="5">
        <v>16474</v>
      </c>
      <c r="M73" s="5">
        <v>28354</v>
      </c>
      <c r="N73" s="5">
        <v>15321</v>
      </c>
      <c r="O73" s="5"/>
      <c r="P73" s="5"/>
      <c r="Q73" s="5">
        <v>60149</v>
      </c>
      <c r="U73" s="1">
        <v>39387</v>
      </c>
      <c r="V73">
        <v>1555</v>
      </c>
      <c r="W73" t="s">
        <v>14</v>
      </c>
      <c r="AA73" s="3">
        <v>40817</v>
      </c>
      <c r="AB73" s="5">
        <v>7216</v>
      </c>
      <c r="AC73" s="5">
        <v>20424</v>
      </c>
      <c r="AD73" s="5">
        <v>32509</v>
      </c>
      <c r="AE73" s="5"/>
      <c r="AF73" s="5">
        <v>60149</v>
      </c>
      <c r="AI73" s="1">
        <v>39417</v>
      </c>
      <c r="AJ73">
        <v>21973</v>
      </c>
      <c r="AK73" t="s">
        <v>23</v>
      </c>
      <c r="AN73" s="3">
        <v>40483</v>
      </c>
      <c r="AO73" s="5"/>
      <c r="AP73" s="5">
        <v>38106</v>
      </c>
      <c r="AQ73" s="5">
        <v>37450</v>
      </c>
      <c r="AR73" s="5">
        <v>30869</v>
      </c>
      <c r="AS73" s="5">
        <v>106425</v>
      </c>
      <c r="AW73" s="1">
        <v>39417</v>
      </c>
      <c r="AX73">
        <v>25996</v>
      </c>
      <c r="AY73" t="s">
        <v>23</v>
      </c>
      <c r="BB73" s="3">
        <v>40483</v>
      </c>
      <c r="BC73" s="5"/>
      <c r="BD73" s="5">
        <v>39955</v>
      </c>
      <c r="BE73" s="5">
        <v>34796</v>
      </c>
      <c r="BF73" s="5">
        <v>65313</v>
      </c>
      <c r="BG73" s="5"/>
      <c r="BH73" s="5">
        <v>140064</v>
      </c>
    </row>
    <row r="74" spans="1:60" x14ac:dyDescent="0.25">
      <c r="A74" s="1">
        <v>39783</v>
      </c>
      <c r="B74">
        <v>12980</v>
      </c>
      <c r="C74" t="s">
        <v>3</v>
      </c>
      <c r="J74" s="3">
        <v>40848</v>
      </c>
      <c r="K74" s="5">
        <v>16</v>
      </c>
      <c r="L74" s="5">
        <v>15358</v>
      </c>
      <c r="M74" s="5">
        <v>22321</v>
      </c>
      <c r="N74" s="5">
        <v>16181</v>
      </c>
      <c r="O74" s="5"/>
      <c r="P74" s="5"/>
      <c r="Q74" s="5">
        <v>53876</v>
      </c>
      <c r="U74" s="1">
        <v>39417</v>
      </c>
      <c r="V74">
        <v>60449</v>
      </c>
      <c r="W74" t="s">
        <v>15</v>
      </c>
      <c r="AA74" s="3">
        <v>40848</v>
      </c>
      <c r="AB74" s="5">
        <v>6751</v>
      </c>
      <c r="AC74" s="5">
        <v>15277</v>
      </c>
      <c r="AD74" s="5">
        <v>31848</v>
      </c>
      <c r="AE74" s="5"/>
      <c r="AF74" s="5">
        <v>53876</v>
      </c>
      <c r="AI74" s="1">
        <v>39448</v>
      </c>
      <c r="AJ74">
        <v>88196</v>
      </c>
      <c r="AK74" t="s">
        <v>22</v>
      </c>
      <c r="AN74" s="3">
        <v>40513</v>
      </c>
      <c r="AO74" s="5"/>
      <c r="AP74" s="5">
        <v>43237</v>
      </c>
      <c r="AQ74" s="5">
        <v>38964</v>
      </c>
      <c r="AR74" s="5">
        <v>34888</v>
      </c>
      <c r="AS74" s="5">
        <v>117089</v>
      </c>
      <c r="AW74" s="1">
        <v>39448</v>
      </c>
      <c r="AX74">
        <v>25319</v>
      </c>
      <c r="AY74" t="s">
        <v>23</v>
      </c>
      <c r="BB74" s="3">
        <v>40513</v>
      </c>
      <c r="BC74" s="5"/>
      <c r="BD74" s="5">
        <v>43745</v>
      </c>
      <c r="BE74" s="5">
        <v>32088</v>
      </c>
      <c r="BF74" s="5">
        <v>68437</v>
      </c>
      <c r="BG74" s="5"/>
      <c r="BH74" s="5">
        <v>144270</v>
      </c>
    </row>
    <row r="75" spans="1:60" x14ac:dyDescent="0.25">
      <c r="A75" s="1">
        <v>39783</v>
      </c>
      <c r="B75">
        <v>50259</v>
      </c>
      <c r="C75" t="s">
        <v>2</v>
      </c>
      <c r="J75" s="3">
        <v>40878</v>
      </c>
      <c r="K75" s="5"/>
      <c r="L75" s="5">
        <v>17850</v>
      </c>
      <c r="M75" s="5">
        <v>12661</v>
      </c>
      <c r="N75" s="5">
        <v>13058</v>
      </c>
      <c r="O75" s="5"/>
      <c r="P75" s="5"/>
      <c r="Q75" s="5">
        <v>43569</v>
      </c>
      <c r="U75" s="1">
        <v>39417</v>
      </c>
      <c r="V75">
        <v>69883</v>
      </c>
      <c r="W75" t="s">
        <v>16</v>
      </c>
      <c r="AA75" s="3">
        <v>40878</v>
      </c>
      <c r="AB75" s="5">
        <v>5539</v>
      </c>
      <c r="AC75" s="5">
        <v>7570</v>
      </c>
      <c r="AD75" s="5">
        <v>30460</v>
      </c>
      <c r="AE75" s="5"/>
      <c r="AF75" s="5">
        <v>43569</v>
      </c>
      <c r="AI75" s="1">
        <v>39448</v>
      </c>
      <c r="AJ75">
        <v>20897</v>
      </c>
      <c r="AK75" t="s">
        <v>23</v>
      </c>
      <c r="AN75" s="3">
        <v>40544</v>
      </c>
      <c r="AO75" s="5"/>
      <c r="AP75" s="5">
        <v>44477</v>
      </c>
      <c r="AQ75" s="5">
        <v>36931</v>
      </c>
      <c r="AR75" s="5">
        <v>33215</v>
      </c>
      <c r="AS75" s="5">
        <v>114623</v>
      </c>
      <c r="AW75" s="1">
        <v>39448</v>
      </c>
      <c r="AX75">
        <v>24510</v>
      </c>
      <c r="AY75" t="s">
        <v>22</v>
      </c>
      <c r="BB75" s="3">
        <v>40544</v>
      </c>
      <c r="BC75" s="5"/>
      <c r="BD75" s="5">
        <v>44688</v>
      </c>
      <c r="BE75" s="5">
        <v>31798</v>
      </c>
      <c r="BF75" s="5">
        <v>71391</v>
      </c>
      <c r="BG75" s="5"/>
      <c r="BH75" s="5">
        <v>147877</v>
      </c>
    </row>
    <row r="76" spans="1:60" x14ac:dyDescent="0.25">
      <c r="A76" s="1">
        <v>39814</v>
      </c>
      <c r="B76">
        <v>20693</v>
      </c>
      <c r="C76" t="s">
        <v>3</v>
      </c>
      <c r="J76" s="3">
        <v>40909</v>
      </c>
      <c r="K76" s="5"/>
      <c r="L76" s="5">
        <v>21469</v>
      </c>
      <c r="M76" s="5">
        <v>26095</v>
      </c>
      <c r="N76" s="5">
        <v>21613</v>
      </c>
      <c r="O76" s="5"/>
      <c r="P76" s="5"/>
      <c r="Q76" s="5">
        <v>69177</v>
      </c>
      <c r="U76" s="1">
        <v>39417</v>
      </c>
      <c r="V76">
        <v>1580</v>
      </c>
      <c r="W76" t="s">
        <v>14</v>
      </c>
      <c r="AA76" s="3">
        <v>40909</v>
      </c>
      <c r="AB76" s="5">
        <v>12378</v>
      </c>
      <c r="AC76" s="5">
        <v>16546</v>
      </c>
      <c r="AD76" s="5">
        <v>40253</v>
      </c>
      <c r="AE76" s="5"/>
      <c r="AF76" s="5">
        <v>69177</v>
      </c>
      <c r="AI76" s="1">
        <v>39479</v>
      </c>
      <c r="AJ76">
        <v>30555</v>
      </c>
      <c r="AK76" t="s">
        <v>23</v>
      </c>
      <c r="AN76" s="3">
        <v>40575</v>
      </c>
      <c r="AO76" s="5"/>
      <c r="AP76" s="5">
        <v>37322</v>
      </c>
      <c r="AQ76" s="5">
        <v>41383</v>
      </c>
      <c r="AR76" s="5">
        <v>30768</v>
      </c>
      <c r="AS76" s="5">
        <v>109473</v>
      </c>
      <c r="AW76" s="1">
        <v>39479</v>
      </c>
      <c r="AX76">
        <v>27711</v>
      </c>
      <c r="AY76" t="s">
        <v>23</v>
      </c>
      <c r="BB76" s="3">
        <v>40575</v>
      </c>
      <c r="BC76" s="5"/>
      <c r="BD76" s="5">
        <v>43163</v>
      </c>
      <c r="BE76" s="5">
        <v>32165</v>
      </c>
      <c r="BF76" s="5">
        <v>61672</v>
      </c>
      <c r="BG76" s="5"/>
      <c r="BH76" s="5">
        <v>137000</v>
      </c>
    </row>
    <row r="77" spans="1:60" x14ac:dyDescent="0.25">
      <c r="A77" s="1">
        <v>39814</v>
      </c>
      <c r="B77">
        <v>45008</v>
      </c>
      <c r="C77" t="s">
        <v>2</v>
      </c>
      <c r="J77" s="3">
        <v>40940</v>
      </c>
      <c r="K77" s="5"/>
      <c r="L77" s="5">
        <v>19436</v>
      </c>
      <c r="M77" s="5">
        <v>35310</v>
      </c>
      <c r="N77" s="5">
        <v>35057</v>
      </c>
      <c r="O77" s="5"/>
      <c r="P77" s="5"/>
      <c r="Q77" s="5">
        <v>89803</v>
      </c>
      <c r="U77" s="1">
        <v>39448</v>
      </c>
      <c r="V77">
        <v>60598</v>
      </c>
      <c r="W77" t="s">
        <v>15</v>
      </c>
      <c r="AA77" s="3">
        <v>40940</v>
      </c>
      <c r="AB77" s="5">
        <v>9871</v>
      </c>
      <c r="AC77" s="5">
        <v>20135</v>
      </c>
      <c r="AD77" s="5">
        <v>59797</v>
      </c>
      <c r="AE77" s="5"/>
      <c r="AF77" s="5">
        <v>89803</v>
      </c>
      <c r="AI77" s="1">
        <v>39479</v>
      </c>
      <c r="AJ77">
        <v>95942</v>
      </c>
      <c r="AK77" t="s">
        <v>22</v>
      </c>
      <c r="AN77" s="3">
        <v>40603</v>
      </c>
      <c r="AO77" s="5"/>
      <c r="AP77" s="5">
        <v>32289</v>
      </c>
      <c r="AQ77" s="5">
        <v>32412</v>
      </c>
      <c r="AR77" s="5">
        <v>20081</v>
      </c>
      <c r="AS77" s="5">
        <v>84782</v>
      </c>
      <c r="AW77" s="1">
        <v>39479</v>
      </c>
      <c r="AX77">
        <v>23884</v>
      </c>
      <c r="AY77" t="s">
        <v>22</v>
      </c>
      <c r="BB77" s="3">
        <v>40603</v>
      </c>
      <c r="BC77" s="5"/>
      <c r="BD77" s="5">
        <v>37615</v>
      </c>
      <c r="BE77" s="5">
        <v>20587</v>
      </c>
      <c r="BF77" s="5">
        <v>39380</v>
      </c>
      <c r="BG77" s="5"/>
      <c r="BH77" s="5">
        <v>97582</v>
      </c>
    </row>
    <row r="78" spans="1:60" x14ac:dyDescent="0.25">
      <c r="A78" s="1">
        <v>39845</v>
      </c>
      <c r="B78">
        <v>60330</v>
      </c>
      <c r="C78" t="s">
        <v>3</v>
      </c>
      <c r="J78" s="3">
        <v>40969</v>
      </c>
      <c r="K78" s="5"/>
      <c r="L78" s="5">
        <v>29010</v>
      </c>
      <c r="M78" s="5">
        <v>26813</v>
      </c>
      <c r="N78" s="5">
        <v>28239</v>
      </c>
      <c r="O78" s="5"/>
      <c r="P78" s="5"/>
      <c r="Q78" s="5">
        <v>84062</v>
      </c>
      <c r="U78" s="1">
        <v>39448</v>
      </c>
      <c r="V78">
        <v>54557</v>
      </c>
      <c r="W78" t="s">
        <v>16</v>
      </c>
      <c r="AA78" s="3">
        <v>40969</v>
      </c>
      <c r="AB78" s="5">
        <v>16508</v>
      </c>
      <c r="AC78" s="5">
        <v>14854</v>
      </c>
      <c r="AD78" s="5">
        <v>52700</v>
      </c>
      <c r="AE78" s="5"/>
      <c r="AF78" s="5">
        <v>84062</v>
      </c>
      <c r="AI78" s="1">
        <v>39508</v>
      </c>
      <c r="AJ78">
        <v>78249</v>
      </c>
      <c r="AK78" t="s">
        <v>22</v>
      </c>
      <c r="AN78" s="3">
        <v>40634</v>
      </c>
      <c r="AO78" s="5"/>
      <c r="AP78" s="5">
        <v>21224</v>
      </c>
      <c r="AQ78" s="5">
        <v>22609</v>
      </c>
      <c r="AR78" s="5">
        <v>10793</v>
      </c>
      <c r="AS78" s="5">
        <v>54626</v>
      </c>
      <c r="AW78" s="1">
        <v>39508</v>
      </c>
      <c r="AX78">
        <v>20975</v>
      </c>
      <c r="AY78" t="s">
        <v>22</v>
      </c>
      <c r="BB78" s="3">
        <v>40634</v>
      </c>
      <c r="BC78" s="5"/>
      <c r="BD78" s="5">
        <v>30023</v>
      </c>
      <c r="BE78" s="5">
        <v>22676</v>
      </c>
      <c r="BF78" s="5">
        <v>28893</v>
      </c>
      <c r="BG78" s="5"/>
      <c r="BH78" s="5">
        <v>81592</v>
      </c>
    </row>
    <row r="79" spans="1:60" x14ac:dyDescent="0.25">
      <c r="A79" s="1">
        <v>39845</v>
      </c>
      <c r="B79">
        <v>54314</v>
      </c>
      <c r="C79" t="s">
        <v>2</v>
      </c>
      <c r="J79" s="3">
        <v>41000</v>
      </c>
      <c r="K79" s="5"/>
      <c r="L79" s="5">
        <v>18814</v>
      </c>
      <c r="M79" s="5">
        <v>37089</v>
      </c>
      <c r="N79" s="5">
        <v>30739</v>
      </c>
      <c r="O79" s="5"/>
      <c r="P79" s="5"/>
      <c r="Q79" s="5">
        <v>86642</v>
      </c>
      <c r="U79" s="1">
        <v>39448</v>
      </c>
      <c r="V79">
        <v>1271</v>
      </c>
      <c r="W79" t="s">
        <v>14</v>
      </c>
      <c r="AA79" s="3">
        <v>41000</v>
      </c>
      <c r="AB79" s="5">
        <v>12108</v>
      </c>
      <c r="AC79" s="5">
        <v>22249</v>
      </c>
      <c r="AD79" s="5">
        <v>52285</v>
      </c>
      <c r="AE79" s="5"/>
      <c r="AF79" s="5">
        <v>86642</v>
      </c>
      <c r="AI79" s="1">
        <v>39508</v>
      </c>
      <c r="AJ79">
        <v>34268</v>
      </c>
      <c r="AK79" t="s">
        <v>23</v>
      </c>
      <c r="AN79" s="3">
        <v>40664</v>
      </c>
      <c r="AO79" s="5"/>
      <c r="AP79" s="5">
        <v>14491</v>
      </c>
      <c r="AQ79" s="5">
        <v>29809</v>
      </c>
      <c r="AR79" s="5">
        <v>9553</v>
      </c>
      <c r="AS79" s="5">
        <v>53853</v>
      </c>
      <c r="AW79" s="1">
        <v>39508</v>
      </c>
      <c r="AX79">
        <v>31314</v>
      </c>
      <c r="AY79" t="s">
        <v>23</v>
      </c>
      <c r="BB79" s="3">
        <v>40664</v>
      </c>
      <c r="BC79" s="5"/>
      <c r="BD79" s="5">
        <v>30663</v>
      </c>
      <c r="BE79" s="5">
        <v>27054</v>
      </c>
      <c r="BF79" s="5">
        <v>23356</v>
      </c>
      <c r="BG79" s="5"/>
      <c r="BH79" s="5">
        <v>81073</v>
      </c>
    </row>
    <row r="80" spans="1:60" x14ac:dyDescent="0.25">
      <c r="A80" s="1">
        <v>39873</v>
      </c>
      <c r="B80">
        <v>126468</v>
      </c>
      <c r="C80" t="s">
        <v>3</v>
      </c>
      <c r="J80" s="3">
        <v>41030</v>
      </c>
      <c r="K80" s="5">
        <v>28</v>
      </c>
      <c r="L80" s="5">
        <v>22353</v>
      </c>
      <c r="M80" s="5">
        <v>26357</v>
      </c>
      <c r="N80" s="5">
        <v>17578</v>
      </c>
      <c r="O80" s="5"/>
      <c r="P80" s="5"/>
      <c r="Q80" s="5">
        <v>66316</v>
      </c>
      <c r="U80" s="1">
        <v>39479</v>
      </c>
      <c r="V80">
        <v>91402</v>
      </c>
      <c r="W80" t="s">
        <v>15</v>
      </c>
      <c r="AA80" s="3">
        <v>41030</v>
      </c>
      <c r="AB80" s="5">
        <v>12394</v>
      </c>
      <c r="AC80" s="5">
        <v>16856</v>
      </c>
      <c r="AD80" s="5">
        <v>37066</v>
      </c>
      <c r="AE80" s="5"/>
      <c r="AF80" s="5">
        <v>66316</v>
      </c>
      <c r="AI80" s="1">
        <v>39539</v>
      </c>
      <c r="AJ80">
        <v>60058</v>
      </c>
      <c r="AK80" t="s">
        <v>23</v>
      </c>
      <c r="AN80" s="3">
        <v>40695</v>
      </c>
      <c r="AO80" s="5"/>
      <c r="AP80" s="5">
        <v>13261</v>
      </c>
      <c r="AQ80" s="5">
        <v>30453</v>
      </c>
      <c r="AR80" s="5">
        <v>7592</v>
      </c>
      <c r="AS80" s="5">
        <v>51306</v>
      </c>
      <c r="AW80" s="1">
        <v>39539</v>
      </c>
      <c r="AX80">
        <v>22787</v>
      </c>
      <c r="AY80" t="s">
        <v>22</v>
      </c>
      <c r="BB80" s="3">
        <v>40695</v>
      </c>
      <c r="BC80" s="5"/>
      <c r="BD80" s="5">
        <v>26665</v>
      </c>
      <c r="BE80" s="5">
        <v>26124</v>
      </c>
      <c r="BF80" s="5">
        <v>16989</v>
      </c>
      <c r="BG80" s="5"/>
      <c r="BH80" s="5">
        <v>69778</v>
      </c>
    </row>
    <row r="81" spans="1:60" x14ac:dyDescent="0.25">
      <c r="A81" s="1">
        <v>39873</v>
      </c>
      <c r="B81">
        <v>90938</v>
      </c>
      <c r="C81" t="s">
        <v>2</v>
      </c>
      <c r="J81" s="3">
        <v>41061</v>
      </c>
      <c r="K81" s="5"/>
      <c r="L81" s="5">
        <v>23679</v>
      </c>
      <c r="M81" s="5">
        <v>49421</v>
      </c>
      <c r="N81" s="5">
        <v>25831</v>
      </c>
      <c r="O81" s="5"/>
      <c r="P81" s="5"/>
      <c r="Q81" s="5">
        <v>98931</v>
      </c>
      <c r="U81" s="1">
        <v>39479</v>
      </c>
      <c r="V81">
        <v>72837</v>
      </c>
      <c r="W81" t="s">
        <v>16</v>
      </c>
      <c r="AA81" s="3">
        <v>41061</v>
      </c>
      <c r="AB81" s="5">
        <v>15626</v>
      </c>
      <c r="AC81" s="5">
        <v>37261</v>
      </c>
      <c r="AD81" s="5">
        <v>46044</v>
      </c>
      <c r="AE81" s="5"/>
      <c r="AF81" s="5">
        <v>98931</v>
      </c>
      <c r="AI81" s="1">
        <v>39539</v>
      </c>
      <c r="AJ81">
        <v>99187</v>
      </c>
      <c r="AK81" t="s">
        <v>22</v>
      </c>
      <c r="AN81" s="3">
        <v>40725</v>
      </c>
      <c r="AO81" s="5"/>
      <c r="AP81" s="5">
        <v>11117</v>
      </c>
      <c r="AQ81" s="5">
        <v>31433</v>
      </c>
      <c r="AR81" s="5">
        <v>6380</v>
      </c>
      <c r="AS81" s="5">
        <v>48930</v>
      </c>
      <c r="AW81" s="1">
        <v>39539</v>
      </c>
      <c r="AX81">
        <v>42764</v>
      </c>
      <c r="AY81" t="s">
        <v>23</v>
      </c>
      <c r="BB81" s="3">
        <v>40725</v>
      </c>
      <c r="BC81" s="5"/>
      <c r="BD81" s="5">
        <v>24085</v>
      </c>
      <c r="BE81" s="5">
        <v>30974</v>
      </c>
      <c r="BF81" s="5">
        <v>15387</v>
      </c>
      <c r="BG81" s="5"/>
      <c r="BH81" s="5">
        <v>70446</v>
      </c>
    </row>
    <row r="82" spans="1:60" x14ac:dyDescent="0.25">
      <c r="A82" s="1">
        <v>39904</v>
      </c>
      <c r="B82">
        <v>91317</v>
      </c>
      <c r="C82" t="s">
        <v>3</v>
      </c>
      <c r="J82" s="3">
        <v>41091</v>
      </c>
      <c r="K82" s="5"/>
      <c r="L82" s="5">
        <v>21930</v>
      </c>
      <c r="M82" s="5">
        <v>37815</v>
      </c>
      <c r="N82" s="5">
        <v>18827</v>
      </c>
      <c r="O82" s="5"/>
      <c r="P82" s="5"/>
      <c r="Q82" s="5">
        <v>78572</v>
      </c>
      <c r="U82" s="1">
        <v>39479</v>
      </c>
      <c r="V82">
        <v>1484</v>
      </c>
      <c r="W82" t="s">
        <v>14</v>
      </c>
      <c r="AA82" s="3">
        <v>41091</v>
      </c>
      <c r="AB82" s="5">
        <v>14877</v>
      </c>
      <c r="AC82" s="5">
        <v>26911</v>
      </c>
      <c r="AD82" s="5">
        <v>36784</v>
      </c>
      <c r="AE82" s="5"/>
      <c r="AF82" s="5">
        <v>78572</v>
      </c>
      <c r="AI82" s="1">
        <v>39569</v>
      </c>
      <c r="AJ82">
        <v>102401</v>
      </c>
      <c r="AK82" t="s">
        <v>22</v>
      </c>
      <c r="AN82" s="3">
        <v>40756</v>
      </c>
      <c r="AO82" s="5"/>
      <c r="AP82" s="5">
        <v>12492</v>
      </c>
      <c r="AQ82" s="5">
        <v>41640</v>
      </c>
      <c r="AR82" s="5">
        <v>8952</v>
      </c>
      <c r="AS82" s="5">
        <v>63084</v>
      </c>
      <c r="AW82" s="1">
        <v>39569</v>
      </c>
      <c r="AX82">
        <v>21383</v>
      </c>
      <c r="AY82" t="s">
        <v>22</v>
      </c>
      <c r="BB82" s="3">
        <v>40756</v>
      </c>
      <c r="BC82" s="5"/>
      <c r="BD82" s="5">
        <v>26981</v>
      </c>
      <c r="BE82" s="5">
        <v>35877</v>
      </c>
      <c r="BF82" s="5">
        <v>16908</v>
      </c>
      <c r="BG82" s="5"/>
      <c r="BH82" s="5">
        <v>79766</v>
      </c>
    </row>
    <row r="83" spans="1:60" x14ac:dyDescent="0.25">
      <c r="A83" s="1">
        <v>39904</v>
      </c>
      <c r="B83">
        <v>4758</v>
      </c>
      <c r="C83" t="s">
        <v>4</v>
      </c>
      <c r="J83" s="3">
        <v>41122</v>
      </c>
      <c r="K83" s="5"/>
      <c r="L83" s="5">
        <v>25715</v>
      </c>
      <c r="M83" s="5">
        <v>51040</v>
      </c>
      <c r="N83" s="5">
        <v>26774</v>
      </c>
      <c r="O83" s="5"/>
      <c r="P83" s="5"/>
      <c r="Q83" s="5">
        <v>103529</v>
      </c>
      <c r="U83" s="1">
        <v>39508</v>
      </c>
      <c r="V83">
        <v>93377</v>
      </c>
      <c r="W83" t="s">
        <v>15</v>
      </c>
      <c r="AA83" s="3">
        <v>41122</v>
      </c>
      <c r="AB83" s="5">
        <v>13702</v>
      </c>
      <c r="AC83" s="5">
        <v>37843</v>
      </c>
      <c r="AD83" s="5">
        <v>51984</v>
      </c>
      <c r="AE83" s="5"/>
      <c r="AF83" s="5">
        <v>103529</v>
      </c>
      <c r="AI83" s="1">
        <v>39569</v>
      </c>
      <c r="AJ83">
        <v>41596</v>
      </c>
      <c r="AK83" t="s">
        <v>23</v>
      </c>
      <c r="AN83" s="3">
        <v>40787</v>
      </c>
      <c r="AO83" s="5"/>
      <c r="AP83" s="5">
        <v>14123</v>
      </c>
      <c r="AQ83" s="5">
        <v>37088</v>
      </c>
      <c r="AR83" s="5">
        <v>9875</v>
      </c>
      <c r="AS83" s="5">
        <v>61086</v>
      </c>
      <c r="AW83" s="1">
        <v>39569</v>
      </c>
      <c r="AX83">
        <v>31567</v>
      </c>
      <c r="AY83" t="s">
        <v>23</v>
      </c>
      <c r="BB83" s="3">
        <v>40787</v>
      </c>
      <c r="BC83" s="5"/>
      <c r="BD83" s="5">
        <v>26476</v>
      </c>
      <c r="BE83" s="5">
        <v>34579</v>
      </c>
      <c r="BF83" s="5">
        <v>18583</v>
      </c>
      <c r="BG83" s="5"/>
      <c r="BH83" s="5">
        <v>79638</v>
      </c>
    </row>
    <row r="84" spans="1:60" x14ac:dyDescent="0.25">
      <c r="A84" s="1">
        <v>39904</v>
      </c>
      <c r="B84">
        <v>286</v>
      </c>
      <c r="C84" t="s">
        <v>5</v>
      </c>
      <c r="J84" s="3">
        <v>41153</v>
      </c>
      <c r="K84" s="5"/>
      <c r="L84" s="5">
        <v>20098</v>
      </c>
      <c r="M84" s="5">
        <v>34014</v>
      </c>
      <c r="N84" s="5">
        <v>25041</v>
      </c>
      <c r="O84" s="5"/>
      <c r="P84" s="5"/>
      <c r="Q84" s="5">
        <v>79153</v>
      </c>
      <c r="U84" s="1">
        <v>39508</v>
      </c>
      <c r="V84">
        <v>43659</v>
      </c>
      <c r="W84" t="s">
        <v>16</v>
      </c>
      <c r="AA84" s="3">
        <v>41153</v>
      </c>
      <c r="AB84" s="5">
        <v>11344</v>
      </c>
      <c r="AC84" s="5">
        <v>23418</v>
      </c>
      <c r="AD84" s="5">
        <v>44391</v>
      </c>
      <c r="AE84" s="5"/>
      <c r="AF84" s="5">
        <v>79153</v>
      </c>
      <c r="AI84" s="1">
        <v>39600</v>
      </c>
      <c r="AJ84">
        <v>38213</v>
      </c>
      <c r="AK84" t="s">
        <v>23</v>
      </c>
      <c r="AN84" s="3">
        <v>40817</v>
      </c>
      <c r="AO84" s="5"/>
      <c r="AP84" s="5">
        <v>14084</v>
      </c>
      <c r="AQ84" s="5">
        <v>36313</v>
      </c>
      <c r="AR84" s="5">
        <v>11433</v>
      </c>
      <c r="AS84" s="5">
        <v>61830</v>
      </c>
      <c r="AW84" s="1">
        <v>39600</v>
      </c>
      <c r="AX84">
        <v>29505</v>
      </c>
      <c r="AY84" t="s">
        <v>23</v>
      </c>
      <c r="BB84" s="3">
        <v>40817</v>
      </c>
      <c r="BC84" s="5"/>
      <c r="BD84" s="5">
        <v>26683</v>
      </c>
      <c r="BE84" s="5">
        <v>40512</v>
      </c>
      <c r="BF84" s="5">
        <v>25002</v>
      </c>
      <c r="BG84" s="5"/>
      <c r="BH84" s="5">
        <v>92197</v>
      </c>
    </row>
    <row r="85" spans="1:60" x14ac:dyDescent="0.25">
      <c r="A85" s="1">
        <v>39904</v>
      </c>
      <c r="B85">
        <v>70127</v>
      </c>
      <c r="C85" t="s">
        <v>2</v>
      </c>
      <c r="J85" s="3">
        <v>41183</v>
      </c>
      <c r="K85" s="5"/>
      <c r="L85" s="5">
        <v>23340</v>
      </c>
      <c r="M85" s="5">
        <v>50866</v>
      </c>
      <c r="N85" s="5">
        <v>38833</v>
      </c>
      <c r="O85" s="5"/>
      <c r="P85" s="5"/>
      <c r="Q85" s="5">
        <v>113039</v>
      </c>
      <c r="U85" s="1">
        <v>39508</v>
      </c>
      <c r="V85">
        <v>1372</v>
      </c>
      <c r="W85" t="s">
        <v>14</v>
      </c>
      <c r="AA85" s="3">
        <v>41183</v>
      </c>
      <c r="AB85" s="5">
        <v>12699</v>
      </c>
      <c r="AC85" s="5">
        <v>34325</v>
      </c>
      <c r="AD85" s="5">
        <v>66015</v>
      </c>
      <c r="AE85" s="5"/>
      <c r="AF85" s="5">
        <v>113039</v>
      </c>
      <c r="AI85" s="1">
        <v>39600</v>
      </c>
      <c r="AJ85">
        <v>98365</v>
      </c>
      <c r="AK85" t="s">
        <v>22</v>
      </c>
      <c r="AN85" s="3">
        <v>40848</v>
      </c>
      <c r="AO85" s="5"/>
      <c r="AP85" s="5">
        <v>17551</v>
      </c>
      <c r="AQ85" s="5">
        <v>32247</v>
      </c>
      <c r="AR85" s="5">
        <v>22206</v>
      </c>
      <c r="AS85" s="5">
        <v>72004</v>
      </c>
      <c r="AW85" s="1">
        <v>39600</v>
      </c>
      <c r="AX85">
        <v>22525</v>
      </c>
      <c r="AY85" t="s">
        <v>22</v>
      </c>
      <c r="BB85" s="3">
        <v>40848</v>
      </c>
      <c r="BC85" s="5"/>
      <c r="BD85" s="5">
        <v>28920</v>
      </c>
      <c r="BE85" s="5">
        <v>39519</v>
      </c>
      <c r="BF85" s="5">
        <v>40035</v>
      </c>
      <c r="BG85" s="5"/>
      <c r="BH85" s="5">
        <v>108474</v>
      </c>
    </row>
    <row r="86" spans="1:60" x14ac:dyDescent="0.25">
      <c r="A86" s="1">
        <v>39934</v>
      </c>
      <c r="B86">
        <v>25662</v>
      </c>
      <c r="C86" t="s">
        <v>3</v>
      </c>
      <c r="J86" s="3">
        <v>41214</v>
      </c>
      <c r="K86" s="5">
        <v>1190</v>
      </c>
      <c r="L86" s="5">
        <v>40576</v>
      </c>
      <c r="M86" s="5">
        <v>70841</v>
      </c>
      <c r="N86" s="5">
        <v>49783</v>
      </c>
      <c r="O86" s="5"/>
      <c r="P86" s="5"/>
      <c r="Q86" s="5">
        <v>162390</v>
      </c>
      <c r="U86" s="1">
        <v>39539</v>
      </c>
      <c r="V86">
        <v>91357</v>
      </c>
      <c r="W86" t="s">
        <v>15</v>
      </c>
      <c r="AA86" s="3">
        <v>41214</v>
      </c>
      <c r="AB86" s="5">
        <v>21038</v>
      </c>
      <c r="AC86" s="5">
        <v>46278</v>
      </c>
      <c r="AD86" s="5">
        <v>95074</v>
      </c>
      <c r="AE86" s="5"/>
      <c r="AF86" s="5">
        <v>162390</v>
      </c>
      <c r="AI86" s="1">
        <v>39630</v>
      </c>
      <c r="AJ86">
        <v>81925</v>
      </c>
      <c r="AK86" t="s">
        <v>22</v>
      </c>
      <c r="AN86" s="3">
        <v>40878</v>
      </c>
      <c r="AO86" s="5"/>
      <c r="AP86" s="5">
        <v>20154</v>
      </c>
      <c r="AQ86" s="5">
        <v>24462</v>
      </c>
      <c r="AR86" s="5">
        <v>21822</v>
      </c>
      <c r="AS86" s="5">
        <v>66438</v>
      </c>
      <c r="AW86" s="1">
        <v>39630</v>
      </c>
      <c r="AX86">
        <v>23075</v>
      </c>
      <c r="AY86" t="s">
        <v>22</v>
      </c>
      <c r="BB86" s="3">
        <v>40878</v>
      </c>
      <c r="BC86" s="5"/>
      <c r="BD86" s="5">
        <v>35167</v>
      </c>
      <c r="BE86" s="5">
        <v>45073</v>
      </c>
      <c r="BF86" s="5">
        <v>62449</v>
      </c>
      <c r="BG86" s="5"/>
      <c r="BH86" s="5">
        <v>142689</v>
      </c>
    </row>
    <row r="87" spans="1:60" x14ac:dyDescent="0.25">
      <c r="A87" s="1">
        <v>39934</v>
      </c>
      <c r="B87">
        <v>51705</v>
      </c>
      <c r="C87" t="s">
        <v>4</v>
      </c>
      <c r="J87" s="3">
        <v>41244</v>
      </c>
      <c r="K87" s="5">
        <v>7</v>
      </c>
      <c r="L87" s="5">
        <v>16073</v>
      </c>
      <c r="M87" s="5">
        <v>26902</v>
      </c>
      <c r="N87" s="5">
        <v>23978</v>
      </c>
      <c r="O87" s="5"/>
      <c r="P87" s="5"/>
      <c r="Q87" s="5">
        <v>66960</v>
      </c>
      <c r="U87" s="1">
        <v>39539</v>
      </c>
      <c r="V87">
        <v>50960</v>
      </c>
      <c r="W87" t="s">
        <v>16</v>
      </c>
      <c r="AA87" s="3">
        <v>41244</v>
      </c>
      <c r="AB87" s="5">
        <v>8801</v>
      </c>
      <c r="AC87" s="5">
        <v>16571</v>
      </c>
      <c r="AD87" s="5">
        <v>41588</v>
      </c>
      <c r="AE87" s="5"/>
      <c r="AF87" s="5">
        <v>66960</v>
      </c>
      <c r="AI87" s="1">
        <v>39630</v>
      </c>
      <c r="AJ87">
        <v>23471</v>
      </c>
      <c r="AK87" t="s">
        <v>23</v>
      </c>
      <c r="AN87" s="3">
        <v>40909</v>
      </c>
      <c r="AO87" s="5"/>
      <c r="AP87" s="5">
        <v>21857</v>
      </c>
      <c r="AQ87" s="5">
        <v>25527</v>
      </c>
      <c r="AR87" s="5">
        <v>22762</v>
      </c>
      <c r="AS87" s="5">
        <v>70146</v>
      </c>
      <c r="AW87" s="1">
        <v>39630</v>
      </c>
      <c r="AX87">
        <v>22067</v>
      </c>
      <c r="AY87" t="s">
        <v>23</v>
      </c>
      <c r="BB87" s="3">
        <v>40909</v>
      </c>
      <c r="BC87" s="5"/>
      <c r="BD87" s="5">
        <v>36302</v>
      </c>
      <c r="BE87" s="5">
        <v>43789</v>
      </c>
      <c r="BF87" s="5">
        <v>69339</v>
      </c>
      <c r="BG87" s="5"/>
      <c r="BH87" s="5">
        <v>149430</v>
      </c>
    </row>
    <row r="88" spans="1:60" x14ac:dyDescent="0.25">
      <c r="A88" s="1">
        <v>39934</v>
      </c>
      <c r="B88">
        <v>5842</v>
      </c>
      <c r="C88" t="s">
        <v>5</v>
      </c>
      <c r="J88" s="3">
        <v>41275</v>
      </c>
      <c r="K88" s="5"/>
      <c r="L88" s="5">
        <v>31891</v>
      </c>
      <c r="M88" s="5">
        <v>42899</v>
      </c>
      <c r="N88" s="5">
        <v>39760</v>
      </c>
      <c r="O88" s="5"/>
      <c r="P88" s="5"/>
      <c r="Q88" s="5">
        <v>114550</v>
      </c>
      <c r="U88" s="1">
        <v>39539</v>
      </c>
      <c r="V88">
        <v>1368</v>
      </c>
      <c r="W88" t="s">
        <v>14</v>
      </c>
      <c r="AA88" s="3">
        <v>41275</v>
      </c>
      <c r="AB88" s="5">
        <v>15956</v>
      </c>
      <c r="AC88" s="5">
        <v>25177</v>
      </c>
      <c r="AD88" s="5">
        <v>73417</v>
      </c>
      <c r="AE88" s="5"/>
      <c r="AF88" s="5">
        <v>114550</v>
      </c>
      <c r="AI88" s="1">
        <v>39661</v>
      </c>
      <c r="AJ88">
        <v>80739</v>
      </c>
      <c r="AK88" t="s">
        <v>22</v>
      </c>
      <c r="AN88" s="3">
        <v>40940</v>
      </c>
      <c r="AO88" s="5"/>
      <c r="AP88" s="5">
        <v>18923</v>
      </c>
      <c r="AQ88" s="5">
        <v>30765</v>
      </c>
      <c r="AR88" s="5">
        <v>25465</v>
      </c>
      <c r="AS88" s="5">
        <v>75153</v>
      </c>
      <c r="AW88" s="1">
        <v>39661</v>
      </c>
      <c r="AX88">
        <v>15491</v>
      </c>
      <c r="AY88" t="s">
        <v>23</v>
      </c>
      <c r="BB88" s="3">
        <v>40940</v>
      </c>
      <c r="BC88" s="5"/>
      <c r="BD88" s="5">
        <v>37421</v>
      </c>
      <c r="BE88" s="5">
        <v>45234</v>
      </c>
      <c r="BF88" s="5">
        <v>68368</v>
      </c>
      <c r="BG88" s="5"/>
      <c r="BH88" s="5">
        <v>151023</v>
      </c>
    </row>
    <row r="89" spans="1:60" x14ac:dyDescent="0.25">
      <c r="A89" s="1">
        <v>39934</v>
      </c>
      <c r="B89">
        <v>67567</v>
      </c>
      <c r="C89" t="s">
        <v>2</v>
      </c>
      <c r="J89" s="3">
        <v>41306</v>
      </c>
      <c r="K89" s="5"/>
      <c r="L89" s="5">
        <v>28858</v>
      </c>
      <c r="M89" s="5">
        <v>41255</v>
      </c>
      <c r="N89" s="5">
        <v>38300</v>
      </c>
      <c r="O89" s="5"/>
      <c r="P89" s="5"/>
      <c r="Q89" s="5">
        <v>108413</v>
      </c>
      <c r="U89" s="1">
        <v>39569</v>
      </c>
      <c r="V89">
        <v>91752</v>
      </c>
      <c r="W89" t="s">
        <v>15</v>
      </c>
      <c r="AA89" s="3">
        <v>41306</v>
      </c>
      <c r="AB89" s="5">
        <v>14922</v>
      </c>
      <c r="AC89" s="5">
        <v>25580</v>
      </c>
      <c r="AD89" s="5">
        <v>67911</v>
      </c>
      <c r="AE89" s="5"/>
      <c r="AF89" s="5">
        <v>108413</v>
      </c>
      <c r="AI89" s="1">
        <v>39661</v>
      </c>
      <c r="AJ89">
        <v>17448</v>
      </c>
      <c r="AK89" t="s">
        <v>23</v>
      </c>
      <c r="AN89" s="3">
        <v>40969</v>
      </c>
      <c r="AO89" s="5"/>
      <c r="AP89" s="5">
        <v>20650</v>
      </c>
      <c r="AQ89" s="5">
        <v>21029</v>
      </c>
      <c r="AR89" s="5">
        <v>22392</v>
      </c>
      <c r="AS89" s="5">
        <v>64071</v>
      </c>
      <c r="AW89" s="1">
        <v>39661</v>
      </c>
      <c r="AX89">
        <v>19612</v>
      </c>
      <c r="AY89" t="s">
        <v>22</v>
      </c>
      <c r="BB89" s="3">
        <v>40969</v>
      </c>
      <c r="BC89" s="5"/>
      <c r="BD89" s="5">
        <v>41993</v>
      </c>
      <c r="BE89" s="5">
        <v>37294</v>
      </c>
      <c r="BF89" s="5">
        <v>74896</v>
      </c>
      <c r="BG89" s="5"/>
      <c r="BH89" s="5">
        <v>154183</v>
      </c>
    </row>
    <row r="90" spans="1:60" x14ac:dyDescent="0.25">
      <c r="A90" s="1">
        <v>39965</v>
      </c>
      <c r="B90">
        <v>7053</v>
      </c>
      <c r="C90" t="s">
        <v>3</v>
      </c>
      <c r="J90" s="3">
        <v>41334</v>
      </c>
      <c r="K90" s="5">
        <v>8</v>
      </c>
      <c r="L90" s="5">
        <v>30621</v>
      </c>
      <c r="M90" s="5">
        <v>48881</v>
      </c>
      <c r="N90" s="5">
        <v>48117</v>
      </c>
      <c r="O90" s="5"/>
      <c r="P90" s="5"/>
      <c r="Q90" s="5">
        <v>127627</v>
      </c>
      <c r="U90" s="1">
        <v>39569</v>
      </c>
      <c r="V90">
        <v>58452</v>
      </c>
      <c r="W90" t="s">
        <v>16</v>
      </c>
      <c r="AA90" s="3">
        <v>41334</v>
      </c>
      <c r="AB90" s="5">
        <v>16099</v>
      </c>
      <c r="AC90" s="5">
        <v>28914</v>
      </c>
      <c r="AD90" s="5">
        <v>82614</v>
      </c>
      <c r="AE90" s="5"/>
      <c r="AF90" s="5">
        <v>127627</v>
      </c>
      <c r="AI90" s="1">
        <v>39692</v>
      </c>
      <c r="AJ90">
        <v>11582</v>
      </c>
      <c r="AK90" t="s">
        <v>23</v>
      </c>
      <c r="AN90" s="3">
        <v>41000</v>
      </c>
      <c r="AO90" s="5"/>
      <c r="AP90" s="5">
        <v>23750</v>
      </c>
      <c r="AQ90" s="5">
        <v>20238</v>
      </c>
      <c r="AR90" s="5">
        <v>22169</v>
      </c>
      <c r="AS90" s="5">
        <v>66157</v>
      </c>
      <c r="AW90" s="1">
        <v>39692</v>
      </c>
      <c r="AX90">
        <v>10494</v>
      </c>
      <c r="AY90" t="s">
        <v>23</v>
      </c>
      <c r="BB90" s="3">
        <v>41000</v>
      </c>
      <c r="BC90" s="5"/>
      <c r="BD90" s="5">
        <v>46599</v>
      </c>
      <c r="BE90" s="5">
        <v>43130</v>
      </c>
      <c r="BF90" s="5">
        <v>87727</v>
      </c>
      <c r="BG90" s="5"/>
      <c r="BH90" s="5">
        <v>177456</v>
      </c>
    </row>
    <row r="91" spans="1:60" x14ac:dyDescent="0.25">
      <c r="A91" s="1">
        <v>39965</v>
      </c>
      <c r="B91">
        <v>106391</v>
      </c>
      <c r="C91" t="s">
        <v>4</v>
      </c>
      <c r="J91" s="3">
        <v>41365</v>
      </c>
      <c r="K91" s="5">
        <v>7</v>
      </c>
      <c r="L91" s="5">
        <v>33414</v>
      </c>
      <c r="M91" s="5">
        <v>53226</v>
      </c>
      <c r="N91" s="5">
        <v>40468</v>
      </c>
      <c r="O91" s="5"/>
      <c r="P91" s="5"/>
      <c r="Q91" s="5">
        <v>127115</v>
      </c>
      <c r="U91" s="1">
        <v>39569</v>
      </c>
      <c r="V91">
        <v>1404</v>
      </c>
      <c r="W91" t="s">
        <v>14</v>
      </c>
      <c r="AA91" s="3">
        <v>41365</v>
      </c>
      <c r="AB91" s="5">
        <v>16803</v>
      </c>
      <c r="AC91" s="5">
        <v>35275</v>
      </c>
      <c r="AD91" s="5">
        <v>75037</v>
      </c>
      <c r="AE91" s="5"/>
      <c r="AF91" s="5">
        <v>127115</v>
      </c>
      <c r="AI91" s="1">
        <v>39692</v>
      </c>
      <c r="AJ91">
        <v>67217</v>
      </c>
      <c r="AK91" t="s">
        <v>22</v>
      </c>
      <c r="AN91" s="3">
        <v>41030</v>
      </c>
      <c r="AO91" s="5"/>
      <c r="AP91" s="5">
        <v>22147</v>
      </c>
      <c r="AQ91" s="5">
        <v>24408</v>
      </c>
      <c r="AR91" s="5">
        <v>21904</v>
      </c>
      <c r="AS91" s="5">
        <v>68459</v>
      </c>
      <c r="AW91" s="1">
        <v>39692</v>
      </c>
      <c r="AX91">
        <v>15980</v>
      </c>
      <c r="AY91" t="s">
        <v>22</v>
      </c>
      <c r="BB91" s="3">
        <v>41030</v>
      </c>
      <c r="BC91" s="5"/>
      <c r="BD91" s="5">
        <v>44701</v>
      </c>
      <c r="BE91" s="5">
        <v>56078</v>
      </c>
      <c r="BF91" s="5">
        <v>83635</v>
      </c>
      <c r="BG91" s="5"/>
      <c r="BH91" s="5">
        <v>184414</v>
      </c>
    </row>
    <row r="92" spans="1:60" x14ac:dyDescent="0.25">
      <c r="A92" s="1">
        <v>39965</v>
      </c>
      <c r="B92">
        <v>16517</v>
      </c>
      <c r="C92" t="s">
        <v>5</v>
      </c>
      <c r="J92" s="3">
        <v>41395</v>
      </c>
      <c r="K92" s="5">
        <v>88</v>
      </c>
      <c r="L92" s="5">
        <v>28554</v>
      </c>
      <c r="M92" s="5">
        <v>49248</v>
      </c>
      <c r="N92" s="5">
        <v>26944</v>
      </c>
      <c r="O92" s="5"/>
      <c r="P92" s="5"/>
      <c r="Q92" s="5">
        <v>104834</v>
      </c>
      <c r="U92" s="1">
        <v>39600</v>
      </c>
      <c r="V92">
        <v>70617</v>
      </c>
      <c r="W92" t="s">
        <v>15</v>
      </c>
      <c r="AA92" s="3">
        <v>41395</v>
      </c>
      <c r="AB92" s="5">
        <v>15227</v>
      </c>
      <c r="AC92" s="5">
        <v>34586</v>
      </c>
      <c r="AD92" s="5">
        <v>55021</v>
      </c>
      <c r="AE92" s="5"/>
      <c r="AF92" s="5">
        <v>104834</v>
      </c>
      <c r="AI92" s="1">
        <v>39722</v>
      </c>
      <c r="AJ92">
        <v>45117</v>
      </c>
      <c r="AK92" t="s">
        <v>22</v>
      </c>
      <c r="AN92" s="3">
        <v>41061</v>
      </c>
      <c r="AO92" s="5"/>
      <c r="AP92" s="5">
        <v>20132</v>
      </c>
      <c r="AQ92" s="5">
        <v>32500</v>
      </c>
      <c r="AR92" s="5">
        <v>18591</v>
      </c>
      <c r="AS92" s="5">
        <v>71223</v>
      </c>
      <c r="AW92" s="1">
        <v>39722</v>
      </c>
      <c r="AX92">
        <v>8915</v>
      </c>
      <c r="AY92" t="s">
        <v>23</v>
      </c>
      <c r="BB92" s="3">
        <v>41061</v>
      </c>
      <c r="BC92" s="5"/>
      <c r="BD92" s="5">
        <v>41557</v>
      </c>
      <c r="BE92" s="5">
        <v>54558</v>
      </c>
      <c r="BF92" s="5">
        <v>66120</v>
      </c>
      <c r="BG92" s="5"/>
      <c r="BH92" s="5">
        <v>162235</v>
      </c>
    </row>
    <row r="93" spans="1:60" x14ac:dyDescent="0.25">
      <c r="A93" s="1">
        <v>39965</v>
      </c>
      <c r="B93">
        <v>104095</v>
      </c>
      <c r="C93" t="s">
        <v>2</v>
      </c>
      <c r="J93" s="3">
        <v>41426</v>
      </c>
      <c r="K93" s="5">
        <v>19</v>
      </c>
      <c r="L93" s="5">
        <v>30201</v>
      </c>
      <c r="M93" s="5">
        <v>62348</v>
      </c>
      <c r="N93" s="5">
        <v>33375</v>
      </c>
      <c r="O93" s="5"/>
      <c r="P93" s="5"/>
      <c r="Q93" s="5">
        <v>125943</v>
      </c>
      <c r="U93" s="1">
        <v>39600</v>
      </c>
      <c r="V93">
        <v>67055</v>
      </c>
      <c r="W93" t="s">
        <v>16</v>
      </c>
      <c r="AA93" s="3">
        <v>41426</v>
      </c>
      <c r="AB93" s="5">
        <v>14816</v>
      </c>
      <c r="AC93" s="5">
        <v>44700</v>
      </c>
      <c r="AD93" s="5">
        <v>66427</v>
      </c>
      <c r="AE93" s="5"/>
      <c r="AF93" s="5">
        <v>125943</v>
      </c>
      <c r="AI93" s="1">
        <v>39722</v>
      </c>
      <c r="AJ93">
        <v>7202</v>
      </c>
      <c r="AK93" t="s">
        <v>23</v>
      </c>
      <c r="AN93" s="3">
        <v>41091</v>
      </c>
      <c r="AO93" s="5"/>
      <c r="AP93" s="5">
        <v>20818</v>
      </c>
      <c r="AQ93" s="5">
        <v>40914</v>
      </c>
      <c r="AR93" s="5">
        <v>20169</v>
      </c>
      <c r="AS93" s="5">
        <v>81901</v>
      </c>
      <c r="AW93" s="1">
        <v>39722</v>
      </c>
      <c r="AX93">
        <v>14635</v>
      </c>
      <c r="AY93" t="s">
        <v>22</v>
      </c>
      <c r="BB93" s="3">
        <v>41091</v>
      </c>
      <c r="BC93" s="5"/>
      <c r="BD93" s="5">
        <v>42169</v>
      </c>
      <c r="BE93" s="5">
        <v>63132</v>
      </c>
      <c r="BF93" s="5">
        <v>58704</v>
      </c>
      <c r="BG93" s="5"/>
      <c r="BH93" s="5">
        <v>164005</v>
      </c>
    </row>
    <row r="94" spans="1:60" x14ac:dyDescent="0.25">
      <c r="A94" s="1">
        <v>39995</v>
      </c>
      <c r="B94">
        <v>781</v>
      </c>
      <c r="C94" t="s">
        <v>3</v>
      </c>
      <c r="J94" s="3">
        <v>41456</v>
      </c>
      <c r="K94" s="5"/>
      <c r="L94" s="5">
        <v>22463</v>
      </c>
      <c r="M94" s="5">
        <v>52562</v>
      </c>
      <c r="N94" s="5">
        <v>26413</v>
      </c>
      <c r="O94" s="5"/>
      <c r="P94" s="5"/>
      <c r="Q94" s="5">
        <v>101438</v>
      </c>
      <c r="U94" s="1">
        <v>39600</v>
      </c>
      <c r="V94">
        <v>1370</v>
      </c>
      <c r="W94" t="s">
        <v>14</v>
      </c>
      <c r="AA94" s="3">
        <v>41456</v>
      </c>
      <c r="AB94" s="5">
        <v>11331</v>
      </c>
      <c r="AC94" s="5">
        <v>39068</v>
      </c>
      <c r="AD94" s="5">
        <v>51039</v>
      </c>
      <c r="AE94" s="5"/>
      <c r="AF94" s="5">
        <v>101438</v>
      </c>
      <c r="AI94" s="1">
        <v>39753</v>
      </c>
      <c r="AJ94">
        <v>10585</v>
      </c>
      <c r="AK94" t="s">
        <v>23</v>
      </c>
      <c r="AN94" s="3">
        <v>41122</v>
      </c>
      <c r="AO94" s="5"/>
      <c r="AP94" s="5">
        <v>21157</v>
      </c>
      <c r="AQ94" s="5">
        <v>40188</v>
      </c>
      <c r="AR94" s="5">
        <v>20467</v>
      </c>
      <c r="AS94" s="5">
        <v>81812</v>
      </c>
      <c r="AW94" s="1">
        <v>39753</v>
      </c>
      <c r="AX94">
        <v>14115</v>
      </c>
      <c r="AY94" t="s">
        <v>22</v>
      </c>
      <c r="BB94" s="3">
        <v>41122</v>
      </c>
      <c r="BC94" s="5"/>
      <c r="BD94" s="5">
        <v>42658</v>
      </c>
      <c r="BE94" s="5">
        <v>71358</v>
      </c>
      <c r="BF94" s="5">
        <v>68002</v>
      </c>
      <c r="BG94" s="5"/>
      <c r="BH94" s="5">
        <v>182018</v>
      </c>
    </row>
    <row r="95" spans="1:60" x14ac:dyDescent="0.25">
      <c r="A95" s="1">
        <v>39995</v>
      </c>
      <c r="B95">
        <v>60337</v>
      </c>
      <c r="C95" t="s">
        <v>4</v>
      </c>
      <c r="J95" s="3">
        <v>41487</v>
      </c>
      <c r="K95" s="5">
        <v>1</v>
      </c>
      <c r="L95" s="5">
        <v>18785</v>
      </c>
      <c r="M95" s="5">
        <v>62201</v>
      </c>
      <c r="N95" s="5">
        <v>23108</v>
      </c>
      <c r="O95" s="5"/>
      <c r="P95" s="5"/>
      <c r="Q95" s="5">
        <v>104095</v>
      </c>
      <c r="U95" s="1">
        <v>39630</v>
      </c>
      <c r="V95">
        <v>36040</v>
      </c>
      <c r="W95" t="s">
        <v>15</v>
      </c>
      <c r="AA95" s="3">
        <v>41487</v>
      </c>
      <c r="AB95" s="5">
        <v>9920</v>
      </c>
      <c r="AC95" s="5">
        <v>47444</v>
      </c>
      <c r="AD95" s="5">
        <v>46731</v>
      </c>
      <c r="AE95" s="5"/>
      <c r="AF95" s="5">
        <v>104095</v>
      </c>
      <c r="AI95" s="1">
        <v>39753</v>
      </c>
      <c r="AJ95">
        <v>50694</v>
      </c>
      <c r="AK95" t="s">
        <v>22</v>
      </c>
      <c r="AN95" s="3">
        <v>41153</v>
      </c>
      <c r="AO95" s="5"/>
      <c r="AP95" s="5">
        <v>23362</v>
      </c>
      <c r="AQ95" s="5">
        <v>43003</v>
      </c>
      <c r="AR95" s="5">
        <v>25359</v>
      </c>
      <c r="AS95" s="5">
        <v>91724</v>
      </c>
      <c r="AW95" s="1">
        <v>39753</v>
      </c>
      <c r="AX95">
        <v>9826</v>
      </c>
      <c r="AY95" t="s">
        <v>23</v>
      </c>
      <c r="BB95" s="3">
        <v>41153</v>
      </c>
      <c r="BC95" s="5"/>
      <c r="BD95" s="5">
        <v>60637</v>
      </c>
      <c r="BE95" s="5">
        <v>64773</v>
      </c>
      <c r="BF95" s="5">
        <v>62940</v>
      </c>
      <c r="BG95" s="5"/>
      <c r="BH95" s="5">
        <v>188350</v>
      </c>
    </row>
    <row r="96" spans="1:60" x14ac:dyDescent="0.25">
      <c r="A96" s="1">
        <v>39995</v>
      </c>
      <c r="B96">
        <v>22075</v>
      </c>
      <c r="C96" t="s">
        <v>5</v>
      </c>
      <c r="J96" s="3">
        <v>41518</v>
      </c>
      <c r="K96" s="5">
        <v>90</v>
      </c>
      <c r="L96" s="5">
        <v>16394</v>
      </c>
      <c r="M96" s="5">
        <v>44797</v>
      </c>
      <c r="N96" s="5">
        <v>12617</v>
      </c>
      <c r="O96" s="5"/>
      <c r="P96" s="5"/>
      <c r="Q96" s="5">
        <v>73898</v>
      </c>
      <c r="U96" s="1">
        <v>39630</v>
      </c>
      <c r="V96">
        <v>41004</v>
      </c>
      <c r="W96" t="s">
        <v>16</v>
      </c>
      <c r="AA96" s="3">
        <v>41518</v>
      </c>
      <c r="AB96" s="5">
        <v>8504</v>
      </c>
      <c r="AC96" s="5">
        <v>35267</v>
      </c>
      <c r="AD96" s="5">
        <v>30127</v>
      </c>
      <c r="AE96" s="5"/>
      <c r="AF96" s="5">
        <v>73898</v>
      </c>
      <c r="AI96" s="1">
        <v>39783</v>
      </c>
      <c r="AJ96">
        <v>15821</v>
      </c>
      <c r="AK96" t="s">
        <v>23</v>
      </c>
      <c r="AN96" s="3">
        <v>41183</v>
      </c>
      <c r="AO96" s="5"/>
      <c r="AP96" s="5">
        <v>24936</v>
      </c>
      <c r="AQ96" s="5">
        <v>47014</v>
      </c>
      <c r="AR96" s="5">
        <v>33904</v>
      </c>
      <c r="AS96" s="5">
        <v>105854</v>
      </c>
      <c r="AW96" s="1">
        <v>39783</v>
      </c>
      <c r="AX96">
        <v>15394</v>
      </c>
      <c r="AY96" t="s">
        <v>22</v>
      </c>
      <c r="BB96" s="3">
        <v>41183</v>
      </c>
      <c r="BC96" s="5"/>
      <c r="BD96" s="5">
        <v>67250</v>
      </c>
      <c r="BE96" s="5">
        <v>66759</v>
      </c>
      <c r="BF96" s="5">
        <v>77943</v>
      </c>
      <c r="BG96" s="5"/>
      <c r="BH96" s="5">
        <v>211952</v>
      </c>
    </row>
    <row r="97" spans="1:60" x14ac:dyDescent="0.25">
      <c r="A97" s="1">
        <v>39995</v>
      </c>
      <c r="B97">
        <v>71014</v>
      </c>
      <c r="C97" t="s">
        <v>2</v>
      </c>
      <c r="J97" s="3">
        <v>41548</v>
      </c>
      <c r="K97" s="5"/>
      <c r="L97" s="5">
        <v>13595</v>
      </c>
      <c r="M97" s="5">
        <v>41608</v>
      </c>
      <c r="N97" s="5">
        <v>8614</v>
      </c>
      <c r="O97" s="5"/>
      <c r="P97" s="5"/>
      <c r="Q97" s="5">
        <v>63817</v>
      </c>
      <c r="U97" s="1">
        <v>39630</v>
      </c>
      <c r="V97">
        <v>427</v>
      </c>
      <c r="W97" t="s">
        <v>14</v>
      </c>
      <c r="AA97" s="3">
        <v>41548</v>
      </c>
      <c r="AB97" s="5">
        <v>7408</v>
      </c>
      <c r="AC97" s="5">
        <v>33777</v>
      </c>
      <c r="AD97" s="5">
        <v>22632</v>
      </c>
      <c r="AE97" s="5"/>
      <c r="AF97" s="5">
        <v>63817</v>
      </c>
      <c r="AI97" s="1">
        <v>39783</v>
      </c>
      <c r="AJ97">
        <v>52103</v>
      </c>
      <c r="AK97" t="s">
        <v>22</v>
      </c>
      <c r="AN97" s="3">
        <v>41214</v>
      </c>
      <c r="AO97" s="5"/>
      <c r="AP97" s="5">
        <v>26328</v>
      </c>
      <c r="AQ97" s="5">
        <v>49817</v>
      </c>
      <c r="AR97" s="5">
        <v>40037</v>
      </c>
      <c r="AS97" s="5">
        <v>116182</v>
      </c>
      <c r="AW97" s="1">
        <v>39783</v>
      </c>
      <c r="AX97">
        <v>12743</v>
      </c>
      <c r="AY97" t="s">
        <v>23</v>
      </c>
      <c r="BB97" s="3">
        <v>41214</v>
      </c>
      <c r="BC97" s="5"/>
      <c r="BD97" s="5">
        <v>63599</v>
      </c>
      <c r="BE97" s="5">
        <v>54797</v>
      </c>
      <c r="BF97" s="5">
        <v>67527</v>
      </c>
      <c r="BG97" s="5"/>
      <c r="BH97" s="5">
        <v>185923</v>
      </c>
    </row>
    <row r="98" spans="1:60" x14ac:dyDescent="0.25">
      <c r="A98" s="1">
        <v>40026</v>
      </c>
      <c r="B98">
        <v>173</v>
      </c>
      <c r="C98" t="s">
        <v>3</v>
      </c>
      <c r="J98" s="3">
        <v>41579</v>
      </c>
      <c r="K98" s="5">
        <v>969</v>
      </c>
      <c r="L98" s="5">
        <v>12144</v>
      </c>
      <c r="M98" s="5">
        <v>50491</v>
      </c>
      <c r="N98" s="5">
        <v>7821</v>
      </c>
      <c r="O98" s="5"/>
      <c r="P98" s="5"/>
      <c r="Q98" s="5">
        <v>71425</v>
      </c>
      <c r="U98" s="1">
        <v>39661</v>
      </c>
      <c r="V98">
        <v>33217</v>
      </c>
      <c r="W98" t="s">
        <v>15</v>
      </c>
      <c r="AA98" s="3">
        <v>41579</v>
      </c>
      <c r="AB98" s="5">
        <v>6199</v>
      </c>
      <c r="AC98" s="5">
        <v>40694</v>
      </c>
      <c r="AD98" s="5">
        <v>24532</v>
      </c>
      <c r="AE98" s="5"/>
      <c r="AF98" s="5">
        <v>71425</v>
      </c>
      <c r="AI98" s="1">
        <v>39814</v>
      </c>
      <c r="AJ98">
        <v>32448</v>
      </c>
      <c r="AK98" t="s">
        <v>22</v>
      </c>
      <c r="AN98" s="3">
        <v>41244</v>
      </c>
      <c r="AO98" s="5"/>
      <c r="AP98" s="5">
        <v>29752</v>
      </c>
      <c r="AQ98" s="5">
        <v>49997</v>
      </c>
      <c r="AR98" s="5">
        <v>40485</v>
      </c>
      <c r="AS98" s="5">
        <v>120234</v>
      </c>
      <c r="AW98" s="1">
        <v>39814</v>
      </c>
      <c r="AX98">
        <v>9484</v>
      </c>
      <c r="AY98" t="s">
        <v>23</v>
      </c>
      <c r="BB98" s="3">
        <v>41244</v>
      </c>
      <c r="BC98" s="5"/>
      <c r="BD98" s="5">
        <v>74296</v>
      </c>
      <c r="BE98" s="5">
        <v>58892</v>
      </c>
      <c r="BF98" s="5">
        <v>83263</v>
      </c>
      <c r="BG98" s="5"/>
      <c r="BH98" s="5">
        <v>216451</v>
      </c>
    </row>
    <row r="99" spans="1:60" x14ac:dyDescent="0.25">
      <c r="A99" s="1">
        <v>40026</v>
      </c>
      <c r="B99">
        <v>55906</v>
      </c>
      <c r="C99" t="s">
        <v>4</v>
      </c>
      <c r="J99" s="3">
        <v>41609</v>
      </c>
      <c r="K99" s="5">
        <v>1125</v>
      </c>
      <c r="L99" s="5">
        <v>8436</v>
      </c>
      <c r="M99" s="5">
        <v>51152</v>
      </c>
      <c r="N99" s="5">
        <v>9232</v>
      </c>
      <c r="O99" s="5"/>
      <c r="P99" s="5"/>
      <c r="Q99" s="5">
        <v>69945</v>
      </c>
      <c r="U99" s="1">
        <v>39661</v>
      </c>
      <c r="V99">
        <v>47631</v>
      </c>
      <c r="W99" t="s">
        <v>16</v>
      </c>
      <c r="AA99" s="3">
        <v>41609</v>
      </c>
      <c r="AB99" s="5">
        <v>3859</v>
      </c>
      <c r="AC99" s="5">
        <v>40788</v>
      </c>
      <c r="AD99" s="5">
        <v>25298</v>
      </c>
      <c r="AE99" s="5"/>
      <c r="AF99" s="5">
        <v>69945</v>
      </c>
      <c r="AI99" s="1">
        <v>39814</v>
      </c>
      <c r="AJ99">
        <v>7542</v>
      </c>
      <c r="AK99" t="s">
        <v>23</v>
      </c>
      <c r="AN99" s="3">
        <v>41275</v>
      </c>
      <c r="AO99" s="5"/>
      <c r="AP99" s="5">
        <v>26820</v>
      </c>
      <c r="AQ99" s="5">
        <v>39735</v>
      </c>
      <c r="AR99" s="5">
        <v>36497</v>
      </c>
      <c r="AS99" s="5">
        <v>103052</v>
      </c>
      <c r="AW99" s="1">
        <v>39814</v>
      </c>
      <c r="AX99">
        <v>11771</v>
      </c>
      <c r="AY99" t="s">
        <v>22</v>
      </c>
      <c r="BB99" s="3">
        <v>41275</v>
      </c>
      <c r="BC99" s="5"/>
      <c r="BD99" s="5">
        <v>70012</v>
      </c>
      <c r="BE99" s="5">
        <v>58734</v>
      </c>
      <c r="BF99" s="5">
        <v>84096</v>
      </c>
      <c r="BG99" s="5"/>
      <c r="BH99" s="5">
        <v>212842</v>
      </c>
    </row>
    <row r="100" spans="1:60" x14ac:dyDescent="0.25">
      <c r="A100" s="1">
        <v>40026</v>
      </c>
      <c r="B100">
        <v>25210</v>
      </c>
      <c r="C100" t="s">
        <v>5</v>
      </c>
      <c r="J100" s="3">
        <v>41640</v>
      </c>
      <c r="K100" s="5"/>
      <c r="L100" s="5">
        <v>10673</v>
      </c>
      <c r="M100" s="5">
        <v>41585</v>
      </c>
      <c r="N100" s="5">
        <v>8940</v>
      </c>
      <c r="O100" s="5"/>
      <c r="P100" s="5"/>
      <c r="Q100" s="5">
        <v>61198</v>
      </c>
      <c r="U100" s="1">
        <v>39661</v>
      </c>
      <c r="V100">
        <v>419</v>
      </c>
      <c r="W100" t="s">
        <v>14</v>
      </c>
      <c r="AA100" s="3">
        <v>41640</v>
      </c>
      <c r="AB100" s="5">
        <v>5345</v>
      </c>
      <c r="AC100" s="5">
        <v>32552</v>
      </c>
      <c r="AD100" s="5">
        <v>23301</v>
      </c>
      <c r="AE100" s="5"/>
      <c r="AF100" s="5">
        <v>61198</v>
      </c>
      <c r="AI100" s="1">
        <v>39845</v>
      </c>
      <c r="AJ100">
        <v>32323</v>
      </c>
      <c r="AK100" t="s">
        <v>23</v>
      </c>
      <c r="AN100" s="3">
        <v>41306</v>
      </c>
      <c r="AO100" s="5"/>
      <c r="AP100" s="5">
        <v>27439</v>
      </c>
      <c r="AQ100" s="5">
        <v>44263</v>
      </c>
      <c r="AR100" s="5">
        <v>41281</v>
      </c>
      <c r="AS100" s="5">
        <v>112983</v>
      </c>
      <c r="AW100" s="1">
        <v>39845</v>
      </c>
      <c r="AX100">
        <v>15596</v>
      </c>
      <c r="AY100" t="s">
        <v>22</v>
      </c>
      <c r="BB100" s="3">
        <v>41306</v>
      </c>
      <c r="BC100" s="5"/>
      <c r="BD100" s="5">
        <v>71858</v>
      </c>
      <c r="BE100" s="5">
        <v>56759</v>
      </c>
      <c r="BF100" s="5">
        <v>83542</v>
      </c>
      <c r="BG100" s="5"/>
      <c r="BH100" s="5">
        <v>212159</v>
      </c>
    </row>
    <row r="101" spans="1:60" x14ac:dyDescent="0.25">
      <c r="A101" s="1">
        <v>40026</v>
      </c>
      <c r="B101">
        <v>82357</v>
      </c>
      <c r="C101" t="s">
        <v>2</v>
      </c>
      <c r="J101" s="3">
        <v>41671</v>
      </c>
      <c r="K101" s="5"/>
      <c r="L101" s="5">
        <v>9613</v>
      </c>
      <c r="M101" s="5">
        <v>40661</v>
      </c>
      <c r="N101" s="5">
        <v>7816</v>
      </c>
      <c r="O101" s="5">
        <v>433</v>
      </c>
      <c r="P101" s="5"/>
      <c r="Q101" s="5">
        <v>58523</v>
      </c>
      <c r="U101" s="1">
        <v>39692</v>
      </c>
      <c r="V101">
        <v>29595</v>
      </c>
      <c r="W101" t="s">
        <v>15</v>
      </c>
      <c r="AA101" s="3">
        <v>41671</v>
      </c>
      <c r="AB101" s="5">
        <v>4712</v>
      </c>
      <c r="AC101" s="5">
        <v>32575</v>
      </c>
      <c r="AD101" s="5">
        <v>21236</v>
      </c>
      <c r="AE101" s="5"/>
      <c r="AF101" s="5">
        <v>58523</v>
      </c>
      <c r="AI101" s="1">
        <v>39845</v>
      </c>
      <c r="AJ101">
        <v>52470</v>
      </c>
      <c r="AK101" t="s">
        <v>22</v>
      </c>
      <c r="AN101" s="3">
        <v>41334</v>
      </c>
      <c r="AO101" s="5"/>
      <c r="AP101" s="5">
        <v>29625</v>
      </c>
      <c r="AQ101" s="5">
        <v>42586</v>
      </c>
      <c r="AR101" s="5">
        <v>45862</v>
      </c>
      <c r="AS101" s="5">
        <v>118073</v>
      </c>
      <c r="AW101" s="1">
        <v>39845</v>
      </c>
      <c r="AX101">
        <v>20177</v>
      </c>
      <c r="AY101" t="s">
        <v>23</v>
      </c>
      <c r="BB101" s="3">
        <v>41334</v>
      </c>
      <c r="BC101" s="5"/>
      <c r="BD101" s="5">
        <v>73084</v>
      </c>
      <c r="BE101" s="5">
        <v>42223</v>
      </c>
      <c r="BF101" s="5">
        <v>80177</v>
      </c>
      <c r="BG101" s="5"/>
      <c r="BH101" s="5">
        <v>195484</v>
      </c>
    </row>
    <row r="102" spans="1:60" x14ac:dyDescent="0.25">
      <c r="A102" s="1">
        <v>40057</v>
      </c>
      <c r="B102">
        <v>258</v>
      </c>
      <c r="C102" t="s">
        <v>3</v>
      </c>
      <c r="J102" s="3">
        <v>41699</v>
      </c>
      <c r="K102" s="5">
        <v>16</v>
      </c>
      <c r="L102" s="5">
        <v>2000</v>
      </c>
      <c r="M102" s="5">
        <v>31931</v>
      </c>
      <c r="N102" s="5">
        <v>2610</v>
      </c>
      <c r="O102" s="5">
        <v>7802</v>
      </c>
      <c r="P102" s="5"/>
      <c r="Q102" s="5">
        <v>44359</v>
      </c>
      <c r="U102" s="1">
        <v>39692</v>
      </c>
      <c r="V102">
        <v>47720</v>
      </c>
      <c r="W102" t="s">
        <v>16</v>
      </c>
      <c r="AA102" s="3">
        <v>41699</v>
      </c>
      <c r="AB102" s="5">
        <v>3157</v>
      </c>
      <c r="AC102" s="5">
        <v>25292</v>
      </c>
      <c r="AD102" s="5">
        <v>15910</v>
      </c>
      <c r="AE102" s="5"/>
      <c r="AF102" s="5">
        <v>44359</v>
      </c>
      <c r="AI102" s="1">
        <v>39873</v>
      </c>
      <c r="AJ102">
        <v>58125</v>
      </c>
      <c r="AK102" t="s">
        <v>22</v>
      </c>
      <c r="AN102" s="3">
        <v>41365</v>
      </c>
      <c r="AO102" s="5"/>
      <c r="AP102" s="5">
        <v>29886</v>
      </c>
      <c r="AQ102" s="5">
        <v>46377</v>
      </c>
      <c r="AR102" s="5">
        <v>40421</v>
      </c>
      <c r="AS102" s="5">
        <v>116684</v>
      </c>
      <c r="AW102" s="1">
        <v>39873</v>
      </c>
      <c r="AX102">
        <v>66165</v>
      </c>
      <c r="AY102" t="s">
        <v>23</v>
      </c>
      <c r="BB102" s="3">
        <v>41365</v>
      </c>
      <c r="BC102" s="5"/>
      <c r="BD102" s="5">
        <v>64077</v>
      </c>
      <c r="BE102" s="5">
        <v>39632</v>
      </c>
      <c r="BF102" s="5">
        <v>62542</v>
      </c>
      <c r="BG102" s="5"/>
      <c r="BH102" s="5">
        <v>166251</v>
      </c>
    </row>
    <row r="103" spans="1:60" x14ac:dyDescent="0.25">
      <c r="A103" s="1">
        <v>40057</v>
      </c>
      <c r="B103">
        <v>31910</v>
      </c>
      <c r="C103" t="s">
        <v>4</v>
      </c>
      <c r="J103" s="3">
        <v>41730</v>
      </c>
      <c r="K103" s="5"/>
      <c r="L103" s="5">
        <v>203</v>
      </c>
      <c r="M103" s="5">
        <v>41535</v>
      </c>
      <c r="N103" s="5">
        <v>488</v>
      </c>
      <c r="O103" s="5">
        <v>13317</v>
      </c>
      <c r="P103" s="5"/>
      <c r="Q103" s="5">
        <v>55543</v>
      </c>
      <c r="U103" s="1">
        <v>39692</v>
      </c>
      <c r="V103">
        <v>409</v>
      </c>
      <c r="W103" t="s">
        <v>14</v>
      </c>
      <c r="AA103" s="3">
        <v>41730</v>
      </c>
      <c r="AB103" s="5">
        <v>3338</v>
      </c>
      <c r="AC103" s="5">
        <v>33556</v>
      </c>
      <c r="AD103" s="5">
        <v>18649</v>
      </c>
      <c r="AE103" s="5"/>
      <c r="AF103" s="5">
        <v>55543</v>
      </c>
      <c r="AI103" s="1">
        <v>39873</v>
      </c>
      <c r="AJ103">
        <v>81505</v>
      </c>
      <c r="AK103" t="s">
        <v>23</v>
      </c>
      <c r="AN103" s="3">
        <v>41395</v>
      </c>
      <c r="AO103" s="5"/>
      <c r="AP103" s="5">
        <v>30220</v>
      </c>
      <c r="AQ103" s="5">
        <v>47960</v>
      </c>
      <c r="AR103" s="5">
        <v>30711</v>
      </c>
      <c r="AS103" s="5">
        <v>108891</v>
      </c>
      <c r="AW103" s="1">
        <v>39873</v>
      </c>
      <c r="AX103">
        <v>17183</v>
      </c>
      <c r="AY103" t="s">
        <v>22</v>
      </c>
      <c r="BB103" s="3">
        <v>41395</v>
      </c>
      <c r="BC103" s="5"/>
      <c r="BD103" s="5">
        <v>66704</v>
      </c>
      <c r="BE103" s="5">
        <v>60513</v>
      </c>
      <c r="BF103" s="5">
        <v>70534</v>
      </c>
      <c r="BG103" s="5"/>
      <c r="BH103" s="5">
        <v>197751</v>
      </c>
    </row>
    <row r="104" spans="1:60" x14ac:dyDescent="0.25">
      <c r="A104" s="1">
        <v>40057</v>
      </c>
      <c r="B104">
        <v>15667</v>
      </c>
      <c r="C104" t="s">
        <v>5</v>
      </c>
      <c r="J104" s="3">
        <v>41760</v>
      </c>
      <c r="K104" s="5"/>
      <c r="L104" s="5">
        <v>50</v>
      </c>
      <c r="M104" s="5">
        <v>44793</v>
      </c>
      <c r="N104" s="5">
        <v>144</v>
      </c>
      <c r="O104" s="5">
        <v>13013</v>
      </c>
      <c r="P104" s="5"/>
      <c r="Q104" s="5">
        <v>58000</v>
      </c>
      <c r="U104" s="1">
        <v>39722</v>
      </c>
      <c r="V104">
        <v>22753</v>
      </c>
      <c r="W104" t="s">
        <v>15</v>
      </c>
      <c r="AA104" s="3">
        <v>41760</v>
      </c>
      <c r="AB104" s="5">
        <v>2957</v>
      </c>
      <c r="AC104" s="5">
        <v>36971</v>
      </c>
      <c r="AD104" s="5">
        <v>18072</v>
      </c>
      <c r="AE104" s="5"/>
      <c r="AF104" s="5">
        <v>58000</v>
      </c>
      <c r="AI104" s="1">
        <v>39904</v>
      </c>
      <c r="AJ104">
        <v>72314</v>
      </c>
      <c r="AK104" t="s">
        <v>22</v>
      </c>
      <c r="AN104" s="3">
        <v>41426</v>
      </c>
      <c r="AO104" s="5"/>
      <c r="AP104" s="5">
        <v>28244</v>
      </c>
      <c r="AQ104" s="5">
        <v>48520</v>
      </c>
      <c r="AR104" s="5">
        <v>26806</v>
      </c>
      <c r="AS104" s="5">
        <v>103570</v>
      </c>
      <c r="AW104" s="1">
        <v>39904</v>
      </c>
      <c r="AX104">
        <v>81476</v>
      </c>
      <c r="AY104" t="s">
        <v>23</v>
      </c>
      <c r="BB104" s="3">
        <v>41426</v>
      </c>
      <c r="BC104" s="5"/>
      <c r="BD104" s="5">
        <v>64185</v>
      </c>
      <c r="BE104" s="5">
        <v>70508</v>
      </c>
      <c r="BF104" s="5">
        <v>65961</v>
      </c>
      <c r="BG104" s="5"/>
      <c r="BH104" s="5">
        <v>200654</v>
      </c>
    </row>
    <row r="105" spans="1:60" x14ac:dyDescent="0.25">
      <c r="A105" s="1">
        <v>40057</v>
      </c>
      <c r="B105">
        <v>70570</v>
      </c>
      <c r="C105" t="s">
        <v>2</v>
      </c>
      <c r="J105" s="3">
        <v>41791</v>
      </c>
      <c r="K105" s="5"/>
      <c r="L105" s="5">
        <v>13</v>
      </c>
      <c r="M105" s="5">
        <v>52858</v>
      </c>
      <c r="N105" s="5">
        <v>15</v>
      </c>
      <c r="O105" s="5">
        <v>14294</v>
      </c>
      <c r="P105" s="5"/>
      <c r="Q105" s="5">
        <v>67180</v>
      </c>
      <c r="U105" s="1">
        <v>39722</v>
      </c>
      <c r="V105">
        <v>31841</v>
      </c>
      <c r="W105" t="s">
        <v>16</v>
      </c>
      <c r="AA105" s="3">
        <v>41791</v>
      </c>
      <c r="AB105" s="5">
        <v>3084</v>
      </c>
      <c r="AC105" s="5">
        <v>44546</v>
      </c>
      <c r="AD105" s="5">
        <v>19550</v>
      </c>
      <c r="AE105" s="5"/>
      <c r="AF105" s="5">
        <v>67180</v>
      </c>
      <c r="AI105" s="1">
        <v>39904</v>
      </c>
      <c r="AJ105">
        <v>104826</v>
      </c>
      <c r="AK105" t="s">
        <v>23</v>
      </c>
      <c r="AN105" s="3">
        <v>41456</v>
      </c>
      <c r="AO105" s="5"/>
      <c r="AP105" s="5">
        <v>26787</v>
      </c>
      <c r="AQ105" s="5">
        <v>62247</v>
      </c>
      <c r="AR105" s="5">
        <v>32722</v>
      </c>
      <c r="AS105" s="5">
        <v>121756</v>
      </c>
      <c r="AW105" s="1">
        <v>39904</v>
      </c>
      <c r="AX105">
        <v>19205</v>
      </c>
      <c r="AY105" t="s">
        <v>22</v>
      </c>
      <c r="BB105" s="3">
        <v>41456</v>
      </c>
      <c r="BC105" s="5"/>
      <c r="BD105" s="5">
        <v>62288</v>
      </c>
      <c r="BE105" s="5">
        <v>80327</v>
      </c>
      <c r="BF105" s="5">
        <v>61838</v>
      </c>
      <c r="BG105" s="5"/>
      <c r="BH105" s="5">
        <v>204453</v>
      </c>
    </row>
    <row r="106" spans="1:60" x14ac:dyDescent="0.25">
      <c r="A106" s="1">
        <v>40087</v>
      </c>
      <c r="B106">
        <v>1059</v>
      </c>
      <c r="C106" t="s">
        <v>3</v>
      </c>
      <c r="J106" s="3">
        <v>41821</v>
      </c>
      <c r="K106" s="5"/>
      <c r="L106" s="5">
        <v>10</v>
      </c>
      <c r="M106" s="5">
        <v>55463</v>
      </c>
      <c r="N106" s="5">
        <v>20</v>
      </c>
      <c r="O106" s="5">
        <v>13253</v>
      </c>
      <c r="P106" s="5"/>
      <c r="Q106" s="5">
        <v>68746</v>
      </c>
      <c r="U106" s="1">
        <v>39722</v>
      </c>
      <c r="V106">
        <v>177</v>
      </c>
      <c r="W106" t="s">
        <v>14</v>
      </c>
      <c r="AA106" s="3">
        <v>41821</v>
      </c>
      <c r="AB106" s="5">
        <v>2342</v>
      </c>
      <c r="AC106" s="5">
        <v>47158</v>
      </c>
      <c r="AD106" s="5">
        <v>19246</v>
      </c>
      <c r="AE106" s="5"/>
      <c r="AF106" s="5">
        <v>68746</v>
      </c>
      <c r="AI106" s="1">
        <v>39934</v>
      </c>
      <c r="AJ106">
        <v>87478</v>
      </c>
      <c r="AK106" t="s">
        <v>22</v>
      </c>
      <c r="AN106" s="3">
        <v>41487</v>
      </c>
      <c r="AO106" s="5"/>
      <c r="AP106" s="5">
        <v>23013</v>
      </c>
      <c r="AQ106" s="5">
        <v>60521</v>
      </c>
      <c r="AR106" s="5">
        <v>27485</v>
      </c>
      <c r="AS106" s="5">
        <v>111019</v>
      </c>
      <c r="AW106" s="1">
        <v>39934</v>
      </c>
      <c r="AX106">
        <v>84588</v>
      </c>
      <c r="AY106" t="s">
        <v>23</v>
      </c>
      <c r="BB106" s="3">
        <v>41487</v>
      </c>
      <c r="BC106" s="5"/>
      <c r="BD106" s="5">
        <v>57439</v>
      </c>
      <c r="BE106" s="5">
        <v>86838</v>
      </c>
      <c r="BF106" s="5">
        <v>54706</v>
      </c>
      <c r="BG106" s="5"/>
      <c r="BH106" s="5">
        <v>198983</v>
      </c>
    </row>
    <row r="107" spans="1:60" x14ac:dyDescent="0.25">
      <c r="A107" s="1">
        <v>40087</v>
      </c>
      <c r="B107">
        <v>23119</v>
      </c>
      <c r="C107" t="s">
        <v>4</v>
      </c>
      <c r="J107" s="3">
        <v>41852</v>
      </c>
      <c r="K107" s="5"/>
      <c r="L107" s="5">
        <v>25</v>
      </c>
      <c r="M107" s="5">
        <v>74711</v>
      </c>
      <c r="N107" s="5">
        <v>4942</v>
      </c>
      <c r="O107" s="5">
        <v>15355</v>
      </c>
      <c r="P107" s="5"/>
      <c r="Q107" s="5">
        <v>95033</v>
      </c>
      <c r="U107" s="1">
        <v>39753</v>
      </c>
      <c r="V107">
        <v>27885</v>
      </c>
      <c r="W107" t="s">
        <v>15</v>
      </c>
      <c r="AA107" s="3">
        <v>41852</v>
      </c>
      <c r="AB107" s="5">
        <v>2219</v>
      </c>
      <c r="AC107" s="5">
        <v>58661</v>
      </c>
      <c r="AD107" s="5">
        <v>34153</v>
      </c>
      <c r="AE107" s="5"/>
      <c r="AF107" s="5">
        <v>95033</v>
      </c>
      <c r="AI107" s="1">
        <v>39934</v>
      </c>
      <c r="AJ107">
        <v>108692</v>
      </c>
      <c r="AK107" t="s">
        <v>23</v>
      </c>
      <c r="AN107" s="3">
        <v>41518</v>
      </c>
      <c r="AO107" s="5"/>
      <c r="AP107" s="5">
        <v>20541</v>
      </c>
      <c r="AQ107" s="5">
        <v>56082</v>
      </c>
      <c r="AR107" s="5">
        <v>19112</v>
      </c>
      <c r="AS107" s="5">
        <v>95735</v>
      </c>
      <c r="AW107" s="1">
        <v>39934</v>
      </c>
      <c r="AX107">
        <v>22244</v>
      </c>
      <c r="AY107" t="s">
        <v>22</v>
      </c>
      <c r="BB107" s="3">
        <v>41518</v>
      </c>
      <c r="BC107" s="5"/>
      <c r="BD107" s="5">
        <v>49678</v>
      </c>
      <c r="BE107" s="5">
        <v>91301</v>
      </c>
      <c r="BF107" s="5">
        <v>43768</v>
      </c>
      <c r="BG107" s="5"/>
      <c r="BH107" s="5">
        <v>184747</v>
      </c>
    </row>
    <row r="108" spans="1:60" x14ac:dyDescent="0.25">
      <c r="A108" s="1">
        <v>40087</v>
      </c>
      <c r="B108">
        <v>12098</v>
      </c>
      <c r="C108" t="s">
        <v>5</v>
      </c>
      <c r="J108" s="3">
        <v>41883</v>
      </c>
      <c r="K108" s="5">
        <v>1</v>
      </c>
      <c r="L108" s="5">
        <v>11</v>
      </c>
      <c r="M108" s="5">
        <v>65252</v>
      </c>
      <c r="N108" s="5">
        <v>1198</v>
      </c>
      <c r="O108" s="5">
        <v>16781</v>
      </c>
      <c r="P108" s="5"/>
      <c r="Q108" s="5">
        <v>83243</v>
      </c>
      <c r="U108" s="1">
        <v>39753</v>
      </c>
      <c r="V108">
        <v>28701</v>
      </c>
      <c r="W108" t="s">
        <v>16</v>
      </c>
      <c r="AA108" s="3">
        <v>41883</v>
      </c>
      <c r="AB108" s="5">
        <v>2631</v>
      </c>
      <c r="AC108" s="5">
        <v>53474</v>
      </c>
      <c r="AD108" s="5">
        <v>27138</v>
      </c>
      <c r="AE108" s="5"/>
      <c r="AF108" s="5">
        <v>83243</v>
      </c>
      <c r="AI108" s="1">
        <v>39965</v>
      </c>
      <c r="AJ108">
        <v>10383</v>
      </c>
      <c r="AK108" t="s">
        <v>25</v>
      </c>
      <c r="AN108" s="3">
        <v>41548</v>
      </c>
      <c r="AO108" s="5"/>
      <c r="AP108" s="5">
        <v>15993</v>
      </c>
      <c r="AQ108" s="5">
        <v>49157</v>
      </c>
      <c r="AR108" s="5">
        <v>11604</v>
      </c>
      <c r="AS108" s="5">
        <v>76754</v>
      </c>
      <c r="AW108" s="1">
        <v>39965</v>
      </c>
      <c r="AX108">
        <v>81756</v>
      </c>
      <c r="AY108" t="s">
        <v>24</v>
      </c>
      <c r="BB108" s="3">
        <v>41548</v>
      </c>
      <c r="BC108" s="5"/>
      <c r="BD108" s="5">
        <v>40554</v>
      </c>
      <c r="BE108" s="5">
        <v>91705</v>
      </c>
      <c r="BF108" s="5">
        <v>30822</v>
      </c>
      <c r="BG108" s="5"/>
      <c r="BH108" s="5">
        <v>163081</v>
      </c>
    </row>
    <row r="109" spans="1:60" x14ac:dyDescent="0.25">
      <c r="A109" s="1">
        <v>40087</v>
      </c>
      <c r="B109">
        <v>61209</v>
      </c>
      <c r="C109" t="s">
        <v>2</v>
      </c>
      <c r="J109" s="3">
        <v>41913</v>
      </c>
      <c r="K109" s="5"/>
      <c r="L109" s="5">
        <v>33</v>
      </c>
      <c r="M109" s="5">
        <v>64996</v>
      </c>
      <c r="N109" s="5">
        <v>302</v>
      </c>
      <c r="O109" s="5">
        <v>18205</v>
      </c>
      <c r="P109" s="5"/>
      <c r="Q109" s="5">
        <v>83536</v>
      </c>
      <c r="U109" s="1">
        <v>39753</v>
      </c>
      <c r="V109">
        <v>407</v>
      </c>
      <c r="W109" t="s">
        <v>14</v>
      </c>
      <c r="AA109" s="3">
        <v>41913</v>
      </c>
      <c r="AB109" s="5">
        <v>2568</v>
      </c>
      <c r="AC109" s="5">
        <v>52441</v>
      </c>
      <c r="AD109" s="5">
        <v>28527</v>
      </c>
      <c r="AE109" s="5"/>
      <c r="AF109" s="5">
        <v>83536</v>
      </c>
      <c r="AI109" s="1">
        <v>39965</v>
      </c>
      <c r="AJ109">
        <v>94312</v>
      </c>
      <c r="AK109" t="s">
        <v>24</v>
      </c>
      <c r="AN109" s="3">
        <v>41579</v>
      </c>
      <c r="AO109" s="5"/>
      <c r="AP109" s="5">
        <v>12082</v>
      </c>
      <c r="AQ109" s="5">
        <v>41646</v>
      </c>
      <c r="AR109" s="5">
        <v>7900</v>
      </c>
      <c r="AS109" s="5">
        <v>61628</v>
      </c>
      <c r="AW109" s="1">
        <v>39965</v>
      </c>
      <c r="AX109">
        <v>27796</v>
      </c>
      <c r="AY109" t="s">
        <v>22</v>
      </c>
      <c r="BB109" s="3">
        <v>41579</v>
      </c>
      <c r="BC109" s="5"/>
      <c r="BD109" s="5">
        <v>33744</v>
      </c>
      <c r="BE109" s="5">
        <v>77750</v>
      </c>
      <c r="BF109" s="5">
        <v>21446</v>
      </c>
      <c r="BG109" s="5"/>
      <c r="BH109" s="5">
        <v>132940</v>
      </c>
    </row>
    <row r="110" spans="1:60" x14ac:dyDescent="0.25">
      <c r="A110" s="1">
        <v>40118</v>
      </c>
      <c r="B110">
        <v>77</v>
      </c>
      <c r="C110" t="s">
        <v>3</v>
      </c>
      <c r="J110" s="3">
        <v>41944</v>
      </c>
      <c r="K110" s="5">
        <v>3</v>
      </c>
      <c r="L110" s="5">
        <v>15</v>
      </c>
      <c r="M110" s="5">
        <v>60127</v>
      </c>
      <c r="N110" s="5">
        <v>67</v>
      </c>
      <c r="O110" s="5">
        <v>17771</v>
      </c>
      <c r="P110" s="5"/>
      <c r="Q110" s="5">
        <v>77983</v>
      </c>
      <c r="U110" s="1">
        <v>39783</v>
      </c>
      <c r="V110">
        <v>28353</v>
      </c>
      <c r="W110" t="s">
        <v>15</v>
      </c>
      <c r="AA110" s="3">
        <v>41944</v>
      </c>
      <c r="AB110" s="5">
        <v>2198</v>
      </c>
      <c r="AC110" s="5">
        <v>48167</v>
      </c>
      <c r="AD110" s="5">
        <v>27618</v>
      </c>
      <c r="AE110" s="5"/>
      <c r="AF110" s="5">
        <v>77983</v>
      </c>
      <c r="AI110" s="1">
        <v>39965</v>
      </c>
      <c r="AJ110">
        <v>80976</v>
      </c>
      <c r="AK110" t="s">
        <v>22</v>
      </c>
      <c r="AN110" s="3">
        <v>41609</v>
      </c>
      <c r="AO110" s="5"/>
      <c r="AP110" s="5">
        <v>10922</v>
      </c>
      <c r="AQ110" s="5">
        <v>45669</v>
      </c>
      <c r="AR110" s="5">
        <v>8033</v>
      </c>
      <c r="AS110" s="5">
        <v>64624</v>
      </c>
      <c r="AW110" s="1">
        <v>39965</v>
      </c>
      <c r="AX110">
        <v>22119</v>
      </c>
      <c r="AY110" t="s">
        <v>25</v>
      </c>
      <c r="BB110" s="3">
        <v>41609</v>
      </c>
      <c r="BC110" s="5"/>
      <c r="BD110" s="5">
        <v>32773</v>
      </c>
      <c r="BE110" s="5">
        <v>71683</v>
      </c>
      <c r="BF110" s="5">
        <v>19444</v>
      </c>
      <c r="BG110" s="5"/>
      <c r="BH110" s="5">
        <v>123900</v>
      </c>
    </row>
    <row r="111" spans="1:60" x14ac:dyDescent="0.25">
      <c r="A111" s="1">
        <v>40118</v>
      </c>
      <c r="B111">
        <v>22548</v>
      </c>
      <c r="C111" t="s">
        <v>4</v>
      </c>
      <c r="J111" s="3">
        <v>41974</v>
      </c>
      <c r="K111" s="5">
        <v>1</v>
      </c>
      <c r="L111" s="5">
        <v>1</v>
      </c>
      <c r="M111" s="5">
        <v>48738</v>
      </c>
      <c r="N111" s="5">
        <v>18</v>
      </c>
      <c r="O111" s="5">
        <v>20639</v>
      </c>
      <c r="P111" s="5"/>
      <c r="Q111" s="5">
        <v>69397</v>
      </c>
      <c r="U111" s="1">
        <v>39783</v>
      </c>
      <c r="V111">
        <v>34511</v>
      </c>
      <c r="W111" t="s">
        <v>16</v>
      </c>
      <c r="AA111" s="3">
        <v>41974</v>
      </c>
      <c r="AB111" s="5">
        <v>2266</v>
      </c>
      <c r="AC111" s="5">
        <v>37180</v>
      </c>
      <c r="AD111" s="5">
        <v>29951</v>
      </c>
      <c r="AE111" s="5"/>
      <c r="AF111" s="5">
        <v>69397</v>
      </c>
      <c r="AI111" s="1">
        <v>39995</v>
      </c>
      <c r="AJ111">
        <v>82570</v>
      </c>
      <c r="AK111" t="s">
        <v>22</v>
      </c>
      <c r="AN111" s="3">
        <v>41640</v>
      </c>
      <c r="AO111" s="5"/>
      <c r="AP111" s="5">
        <v>9751</v>
      </c>
      <c r="AQ111" s="5">
        <v>45740</v>
      </c>
      <c r="AR111" s="5">
        <v>9674</v>
      </c>
      <c r="AS111" s="5">
        <v>65165</v>
      </c>
      <c r="AW111" s="1">
        <v>39995</v>
      </c>
      <c r="AX111">
        <v>98694</v>
      </c>
      <c r="AY111" t="s">
        <v>24</v>
      </c>
      <c r="BB111" s="3">
        <v>41640</v>
      </c>
      <c r="BC111" s="5"/>
      <c r="BD111" s="5">
        <v>28222</v>
      </c>
      <c r="BE111" s="5">
        <v>55718</v>
      </c>
      <c r="BF111" s="5">
        <v>18437</v>
      </c>
      <c r="BG111" s="5"/>
      <c r="BH111" s="5">
        <v>102377</v>
      </c>
    </row>
    <row r="112" spans="1:60" x14ac:dyDescent="0.25">
      <c r="A112" s="1">
        <v>40118</v>
      </c>
      <c r="B112">
        <v>16580</v>
      </c>
      <c r="C112" t="s">
        <v>5</v>
      </c>
      <c r="J112" s="3">
        <v>42005</v>
      </c>
      <c r="K112" s="5">
        <v>1</v>
      </c>
      <c r="L112" s="5">
        <v>17</v>
      </c>
      <c r="M112" s="5">
        <v>49656</v>
      </c>
      <c r="N112" s="5">
        <v>67</v>
      </c>
      <c r="O112" s="5">
        <v>20018</v>
      </c>
      <c r="P112" s="5"/>
      <c r="Q112" s="5">
        <v>69759</v>
      </c>
      <c r="U112" s="1">
        <v>39783</v>
      </c>
      <c r="V112">
        <v>375</v>
      </c>
      <c r="W112" t="s">
        <v>14</v>
      </c>
      <c r="AA112" s="3">
        <v>42005</v>
      </c>
      <c r="AB112" s="5">
        <v>1926</v>
      </c>
      <c r="AC112" s="5">
        <v>37274</v>
      </c>
      <c r="AD112" s="5">
        <v>30559</v>
      </c>
      <c r="AE112" s="5"/>
      <c r="AF112" s="5">
        <v>69759</v>
      </c>
      <c r="AI112" s="1">
        <v>39995</v>
      </c>
      <c r="AJ112">
        <v>90531</v>
      </c>
      <c r="AK112" t="s">
        <v>24</v>
      </c>
      <c r="AN112" s="3">
        <v>41671</v>
      </c>
      <c r="AO112" s="5"/>
      <c r="AP112" s="5">
        <v>9671</v>
      </c>
      <c r="AQ112" s="5">
        <v>48083</v>
      </c>
      <c r="AR112" s="5">
        <v>9770</v>
      </c>
      <c r="AS112" s="5">
        <v>67524</v>
      </c>
      <c r="AW112" s="1">
        <v>39995</v>
      </c>
      <c r="AX112">
        <v>35162</v>
      </c>
      <c r="AY112" t="s">
        <v>22</v>
      </c>
      <c r="BB112" s="3">
        <v>41671</v>
      </c>
      <c r="BC112" s="5"/>
      <c r="BD112" s="5">
        <v>26633</v>
      </c>
      <c r="BE112" s="5">
        <v>56034</v>
      </c>
      <c r="BF112" s="5">
        <v>17008</v>
      </c>
      <c r="BG112" s="5"/>
      <c r="BH112" s="5">
        <v>99675</v>
      </c>
    </row>
    <row r="113" spans="1:60" x14ac:dyDescent="0.25">
      <c r="A113" s="1">
        <v>40118</v>
      </c>
      <c r="B113">
        <v>54618</v>
      </c>
      <c r="C113" t="s">
        <v>2</v>
      </c>
      <c r="J113" s="3">
        <v>42036</v>
      </c>
      <c r="K113" s="5">
        <v>9</v>
      </c>
      <c r="L113" s="5">
        <v>26</v>
      </c>
      <c r="M113" s="5">
        <v>63470</v>
      </c>
      <c r="N113" s="5">
        <v>7528</v>
      </c>
      <c r="O113" s="5">
        <v>26307</v>
      </c>
      <c r="P113" s="5"/>
      <c r="Q113" s="5">
        <v>97340</v>
      </c>
      <c r="U113" s="1">
        <v>39814</v>
      </c>
      <c r="V113">
        <v>36364</v>
      </c>
      <c r="W113" t="s">
        <v>15</v>
      </c>
      <c r="AA113" s="3">
        <v>42036</v>
      </c>
      <c r="AB113" s="5">
        <v>2211</v>
      </c>
      <c r="AC113" s="5">
        <v>41840</v>
      </c>
      <c r="AD113" s="5">
        <v>53289</v>
      </c>
      <c r="AE113" s="5"/>
      <c r="AF113" s="5">
        <v>97340</v>
      </c>
      <c r="AI113" s="1">
        <v>39995</v>
      </c>
      <c r="AJ113">
        <v>16311</v>
      </c>
      <c r="AK113" t="s">
        <v>25</v>
      </c>
      <c r="AN113" s="3">
        <v>41699</v>
      </c>
      <c r="AO113" s="5"/>
      <c r="AP113" s="5">
        <v>8095</v>
      </c>
      <c r="AQ113" s="5">
        <v>32180</v>
      </c>
      <c r="AR113" s="5">
        <v>6588</v>
      </c>
      <c r="AS113" s="5">
        <v>46863</v>
      </c>
      <c r="AW113" s="1">
        <v>39995</v>
      </c>
      <c r="AX113">
        <v>39349</v>
      </c>
      <c r="AY113" t="s">
        <v>25</v>
      </c>
      <c r="BB113" s="3">
        <v>41699</v>
      </c>
      <c r="BC113" s="5"/>
      <c r="BD113" s="5">
        <v>22506</v>
      </c>
      <c r="BE113" s="5">
        <v>39691</v>
      </c>
      <c r="BF113" s="5">
        <v>13934</v>
      </c>
      <c r="BG113" s="5"/>
      <c r="BH113" s="5">
        <v>76131</v>
      </c>
    </row>
    <row r="114" spans="1:60" x14ac:dyDescent="0.25">
      <c r="A114" s="1">
        <v>40148</v>
      </c>
      <c r="B114">
        <v>336</v>
      </c>
      <c r="C114" t="s">
        <v>3</v>
      </c>
      <c r="J114" s="3">
        <v>42064</v>
      </c>
      <c r="K114" s="5">
        <v>3319</v>
      </c>
      <c r="L114" s="5"/>
      <c r="M114" s="5">
        <v>43920</v>
      </c>
      <c r="N114" s="5">
        <v>34</v>
      </c>
      <c r="O114" s="5">
        <v>27603</v>
      </c>
      <c r="P114" s="5"/>
      <c r="Q114" s="5">
        <v>74876</v>
      </c>
      <c r="U114" s="1">
        <v>39814</v>
      </c>
      <c r="V114">
        <v>28940</v>
      </c>
      <c r="W114" t="s">
        <v>16</v>
      </c>
      <c r="AA114" s="3">
        <v>42064</v>
      </c>
      <c r="AB114" s="5">
        <v>1947</v>
      </c>
      <c r="AC114" s="5">
        <v>29926</v>
      </c>
      <c r="AD114" s="5">
        <v>43003</v>
      </c>
      <c r="AE114" s="5"/>
      <c r="AF114" s="5">
        <v>74876</v>
      </c>
      <c r="AI114" s="1">
        <v>40026</v>
      </c>
      <c r="AJ114">
        <v>89410</v>
      </c>
      <c r="AK114" t="s">
        <v>22</v>
      </c>
      <c r="AN114" s="3">
        <v>41730</v>
      </c>
      <c r="AO114" s="5"/>
      <c r="AP114" s="5">
        <v>3315</v>
      </c>
      <c r="AQ114" s="5">
        <v>34462</v>
      </c>
      <c r="AR114" s="5">
        <v>9473</v>
      </c>
      <c r="AS114" s="5">
        <v>47250</v>
      </c>
      <c r="AW114" s="1">
        <v>40026</v>
      </c>
      <c r="AX114">
        <v>79985</v>
      </c>
      <c r="AY114" t="s">
        <v>24</v>
      </c>
      <c r="BB114" s="3">
        <v>41730</v>
      </c>
      <c r="BC114" s="5"/>
      <c r="BD114" s="5">
        <v>19121</v>
      </c>
      <c r="BE114" s="5">
        <v>40882</v>
      </c>
      <c r="BF114" s="5">
        <v>12746</v>
      </c>
      <c r="BG114" s="5"/>
      <c r="BH114" s="5">
        <v>72749</v>
      </c>
    </row>
    <row r="115" spans="1:60" x14ac:dyDescent="0.25">
      <c r="A115" s="1">
        <v>40148</v>
      </c>
      <c r="B115">
        <v>30548</v>
      </c>
      <c r="C115" t="s">
        <v>4</v>
      </c>
      <c r="J115" s="3">
        <v>42095</v>
      </c>
      <c r="K115" s="5"/>
      <c r="L115" s="5">
        <v>1</v>
      </c>
      <c r="M115" s="5">
        <v>57744</v>
      </c>
      <c r="N115" s="5">
        <v>1</v>
      </c>
      <c r="O115" s="5">
        <v>38841</v>
      </c>
      <c r="P115" s="5"/>
      <c r="Q115" s="5">
        <v>96587</v>
      </c>
      <c r="U115" s="1">
        <v>39814</v>
      </c>
      <c r="V115">
        <v>397</v>
      </c>
      <c r="W115" t="s">
        <v>14</v>
      </c>
      <c r="AA115" s="3">
        <v>42095</v>
      </c>
      <c r="AB115" s="5">
        <v>2099</v>
      </c>
      <c r="AC115" s="5">
        <v>40194</v>
      </c>
      <c r="AD115" s="5">
        <v>54294</v>
      </c>
      <c r="AE115" s="5"/>
      <c r="AF115" s="5">
        <v>96587</v>
      </c>
      <c r="AI115" s="1">
        <v>40026</v>
      </c>
      <c r="AJ115">
        <v>71783</v>
      </c>
      <c r="AK115" t="s">
        <v>24</v>
      </c>
      <c r="AN115" s="3">
        <v>41760</v>
      </c>
      <c r="AO115" s="5"/>
      <c r="AP115" s="5">
        <v>3393</v>
      </c>
      <c r="AQ115" s="5">
        <v>46337</v>
      </c>
      <c r="AR115" s="5">
        <v>11593</v>
      </c>
      <c r="AS115" s="5">
        <v>61323</v>
      </c>
      <c r="AW115" s="1">
        <v>40026</v>
      </c>
      <c r="AX115">
        <v>41471</v>
      </c>
      <c r="AY115" t="s">
        <v>25</v>
      </c>
      <c r="BB115" s="3">
        <v>41760</v>
      </c>
      <c r="BC115" s="5"/>
      <c r="BD115" s="5">
        <v>20629</v>
      </c>
      <c r="BE115" s="5">
        <v>52579</v>
      </c>
      <c r="BF115" s="5">
        <v>14488</v>
      </c>
      <c r="BG115" s="5"/>
      <c r="BH115" s="5">
        <v>87696</v>
      </c>
    </row>
    <row r="116" spans="1:60" x14ac:dyDescent="0.25">
      <c r="A116" s="1">
        <v>40148</v>
      </c>
      <c r="B116">
        <v>25493</v>
      </c>
      <c r="C116" t="s">
        <v>5</v>
      </c>
      <c r="J116" s="3">
        <v>42125</v>
      </c>
      <c r="K116" s="5"/>
      <c r="L116" s="5"/>
      <c r="M116" s="5">
        <v>63761</v>
      </c>
      <c r="N116" s="5">
        <v>211</v>
      </c>
      <c r="O116" s="5">
        <v>32819</v>
      </c>
      <c r="P116" s="5"/>
      <c r="Q116" s="5">
        <v>96791</v>
      </c>
      <c r="U116" s="1">
        <v>39845</v>
      </c>
      <c r="V116">
        <v>88963</v>
      </c>
      <c r="W116" t="s">
        <v>15</v>
      </c>
      <c r="AA116" s="3">
        <v>42125</v>
      </c>
      <c r="AB116" s="5">
        <v>2013</v>
      </c>
      <c r="AC116" s="5">
        <v>45666</v>
      </c>
      <c r="AD116" s="5">
        <v>49112</v>
      </c>
      <c r="AE116" s="5"/>
      <c r="AF116" s="5">
        <v>96791</v>
      </c>
      <c r="AI116" s="1">
        <v>40026</v>
      </c>
      <c r="AJ116">
        <v>25480</v>
      </c>
      <c r="AK116" t="s">
        <v>25</v>
      </c>
      <c r="AN116" s="3">
        <v>41791</v>
      </c>
      <c r="AO116" s="5"/>
      <c r="AP116" s="5">
        <v>3248</v>
      </c>
      <c r="AQ116" s="5">
        <v>49505</v>
      </c>
      <c r="AR116" s="5">
        <v>11234</v>
      </c>
      <c r="AS116" s="5">
        <v>63987</v>
      </c>
      <c r="AW116" s="1">
        <v>40026</v>
      </c>
      <c r="AX116">
        <v>33907</v>
      </c>
      <c r="AY116" t="s">
        <v>22</v>
      </c>
      <c r="BB116" s="3">
        <v>41791</v>
      </c>
      <c r="BC116" s="5"/>
      <c r="BD116" s="5">
        <v>19641</v>
      </c>
      <c r="BE116" s="5">
        <v>60064</v>
      </c>
      <c r="BF116" s="5">
        <v>14305</v>
      </c>
      <c r="BG116" s="5"/>
      <c r="BH116" s="5">
        <v>94010</v>
      </c>
    </row>
    <row r="117" spans="1:60" x14ac:dyDescent="0.25">
      <c r="A117" s="1">
        <v>40148</v>
      </c>
      <c r="B117">
        <v>70439</v>
      </c>
      <c r="C117" t="s">
        <v>2</v>
      </c>
      <c r="J117" s="3">
        <v>42156</v>
      </c>
      <c r="K117" s="5"/>
      <c r="L117" s="5">
        <v>2</v>
      </c>
      <c r="M117" s="5">
        <v>74200</v>
      </c>
      <c r="N117" s="5">
        <v>2804</v>
      </c>
      <c r="O117" s="5">
        <v>29652</v>
      </c>
      <c r="P117" s="5"/>
      <c r="Q117" s="5">
        <v>106658</v>
      </c>
      <c r="U117" s="1">
        <v>39845</v>
      </c>
      <c r="V117">
        <v>24431</v>
      </c>
      <c r="W117" t="s">
        <v>16</v>
      </c>
      <c r="AA117" s="3">
        <v>42156</v>
      </c>
      <c r="AB117" s="5">
        <v>1859</v>
      </c>
      <c r="AC117" s="5">
        <v>53369</v>
      </c>
      <c r="AD117" s="5">
        <v>51430</v>
      </c>
      <c r="AE117" s="5"/>
      <c r="AF117" s="5">
        <v>106658</v>
      </c>
      <c r="AI117" s="1">
        <v>40057</v>
      </c>
      <c r="AJ117">
        <v>22620</v>
      </c>
      <c r="AK117" t="s">
        <v>25</v>
      </c>
      <c r="AN117" s="3">
        <v>41821</v>
      </c>
      <c r="AO117" s="5"/>
      <c r="AP117" s="5">
        <v>2784</v>
      </c>
      <c r="AQ117" s="5">
        <v>55296</v>
      </c>
      <c r="AR117" s="5">
        <v>10540</v>
      </c>
      <c r="AS117" s="5">
        <v>68620</v>
      </c>
      <c r="AW117" s="1">
        <v>40057</v>
      </c>
      <c r="AX117">
        <v>25673</v>
      </c>
      <c r="AY117" t="s">
        <v>22</v>
      </c>
      <c r="BB117" s="3">
        <v>41821</v>
      </c>
      <c r="BC117" s="5"/>
      <c r="BD117" s="5">
        <v>19650</v>
      </c>
      <c r="BE117" s="5">
        <v>71732</v>
      </c>
      <c r="BF117" s="5">
        <v>15182</v>
      </c>
      <c r="BG117" s="5"/>
      <c r="BH117" s="5">
        <v>106564</v>
      </c>
    </row>
    <row r="118" spans="1:60" x14ac:dyDescent="0.25">
      <c r="A118" s="1">
        <v>40179</v>
      </c>
      <c r="B118">
        <v>360</v>
      </c>
      <c r="C118" t="s">
        <v>3</v>
      </c>
      <c r="J118" s="3">
        <v>42186</v>
      </c>
      <c r="K118" s="5"/>
      <c r="L118" s="5"/>
      <c r="M118" s="5">
        <v>77621</v>
      </c>
      <c r="N118" s="5">
        <v>1279</v>
      </c>
      <c r="O118" s="5">
        <v>24711</v>
      </c>
      <c r="P118" s="5"/>
      <c r="Q118" s="5">
        <v>103611</v>
      </c>
      <c r="U118" s="1">
        <v>39845</v>
      </c>
      <c r="V118">
        <v>1250</v>
      </c>
      <c r="W118" t="s">
        <v>14</v>
      </c>
      <c r="AA118" s="3">
        <v>42186</v>
      </c>
      <c r="AB118" s="5">
        <v>1686</v>
      </c>
      <c r="AC118" s="5">
        <v>58490</v>
      </c>
      <c r="AD118" s="5">
        <v>43435</v>
      </c>
      <c r="AE118" s="5"/>
      <c r="AF118" s="5">
        <v>103611</v>
      </c>
      <c r="AI118" s="1">
        <v>40057</v>
      </c>
      <c r="AJ118">
        <v>45076</v>
      </c>
      <c r="AK118" t="s">
        <v>24</v>
      </c>
      <c r="AN118" s="3">
        <v>41852</v>
      </c>
      <c r="AO118" s="5"/>
      <c r="AP118" s="5">
        <v>2417</v>
      </c>
      <c r="AQ118" s="5">
        <v>65987</v>
      </c>
      <c r="AR118" s="5">
        <v>13459</v>
      </c>
      <c r="AS118" s="5">
        <v>81863</v>
      </c>
      <c r="AW118" s="1">
        <v>40057</v>
      </c>
      <c r="AX118">
        <v>49944</v>
      </c>
      <c r="AY118" t="s">
        <v>24</v>
      </c>
      <c r="BB118" s="3">
        <v>41852</v>
      </c>
      <c r="BC118" s="5"/>
      <c r="BD118" s="5">
        <v>21026</v>
      </c>
      <c r="BE118" s="5">
        <v>78272</v>
      </c>
      <c r="BF118" s="5">
        <v>17576</v>
      </c>
      <c r="BG118" s="5"/>
      <c r="BH118" s="5">
        <v>116874</v>
      </c>
    </row>
    <row r="119" spans="1:60" x14ac:dyDescent="0.25">
      <c r="A119" s="1">
        <v>40179</v>
      </c>
      <c r="B119">
        <v>24350</v>
      </c>
      <c r="C119" t="s">
        <v>4</v>
      </c>
      <c r="J119" s="3">
        <v>42217</v>
      </c>
      <c r="K119" s="5"/>
      <c r="L119" s="5"/>
      <c r="M119" s="5">
        <v>68006</v>
      </c>
      <c r="N119" s="5"/>
      <c r="O119" s="5">
        <v>17994</v>
      </c>
      <c r="P119" s="5"/>
      <c r="Q119" s="5">
        <v>86000</v>
      </c>
      <c r="U119" s="1">
        <v>39873</v>
      </c>
      <c r="V119">
        <v>187401</v>
      </c>
      <c r="W119" t="s">
        <v>15</v>
      </c>
      <c r="AA119" s="3">
        <v>42217</v>
      </c>
      <c r="AB119" s="5">
        <v>1399</v>
      </c>
      <c r="AC119" s="5">
        <v>50580</v>
      </c>
      <c r="AD119" s="5">
        <v>34021</v>
      </c>
      <c r="AE119" s="5"/>
      <c r="AF119" s="5">
        <v>86000</v>
      </c>
      <c r="AI119" s="1">
        <v>40057</v>
      </c>
      <c r="AJ119">
        <v>83867</v>
      </c>
      <c r="AK119" t="s">
        <v>22</v>
      </c>
      <c r="AN119" s="3">
        <v>41883</v>
      </c>
      <c r="AO119" s="5"/>
      <c r="AP119" s="5">
        <v>2312</v>
      </c>
      <c r="AQ119" s="5">
        <v>67292</v>
      </c>
      <c r="AR119" s="5">
        <v>14181</v>
      </c>
      <c r="AS119" s="5">
        <v>83785</v>
      </c>
      <c r="AW119" s="1">
        <v>40057</v>
      </c>
      <c r="AX119">
        <v>30038</v>
      </c>
      <c r="AY119" t="s">
        <v>25</v>
      </c>
      <c r="BB119" s="3">
        <v>41883</v>
      </c>
      <c r="BC119" s="5"/>
      <c r="BD119" s="5">
        <v>22613</v>
      </c>
      <c r="BE119" s="5">
        <v>76943</v>
      </c>
      <c r="BF119" s="5">
        <v>18183</v>
      </c>
      <c r="BG119" s="5"/>
      <c r="BH119" s="5">
        <v>117739</v>
      </c>
    </row>
    <row r="120" spans="1:60" x14ac:dyDescent="0.25">
      <c r="A120" s="1">
        <v>40179</v>
      </c>
      <c r="B120">
        <v>24649</v>
      </c>
      <c r="C120" t="s">
        <v>5</v>
      </c>
      <c r="J120" s="3">
        <v>42248</v>
      </c>
      <c r="K120" s="5"/>
      <c r="L120" s="5"/>
      <c r="M120" s="5">
        <v>75190</v>
      </c>
      <c r="N120" s="5">
        <v>11</v>
      </c>
      <c r="O120" s="5">
        <v>18141</v>
      </c>
      <c r="P120" s="5"/>
      <c r="Q120" s="5">
        <v>93342</v>
      </c>
      <c r="U120" s="1">
        <v>39873</v>
      </c>
      <c r="V120">
        <v>27687</v>
      </c>
      <c r="W120" t="s">
        <v>16</v>
      </c>
      <c r="AA120" s="3">
        <v>42248</v>
      </c>
      <c r="AB120" s="5">
        <v>1669</v>
      </c>
      <c r="AC120" s="5">
        <v>62040</v>
      </c>
      <c r="AD120" s="5">
        <v>29633</v>
      </c>
      <c r="AE120" s="5"/>
      <c r="AF120" s="5">
        <v>93342</v>
      </c>
      <c r="AI120" s="1">
        <v>40087</v>
      </c>
      <c r="AJ120">
        <v>16406</v>
      </c>
      <c r="AK120" t="s">
        <v>25</v>
      </c>
      <c r="AN120" s="3">
        <v>41913</v>
      </c>
      <c r="AO120" s="5"/>
      <c r="AP120" s="5">
        <v>2380</v>
      </c>
      <c r="AQ120" s="5">
        <v>63700</v>
      </c>
      <c r="AR120" s="5">
        <v>14351</v>
      </c>
      <c r="AS120" s="5">
        <v>80431</v>
      </c>
      <c r="AW120" s="1">
        <v>40087</v>
      </c>
      <c r="AX120">
        <v>25546</v>
      </c>
      <c r="AY120" t="s">
        <v>22</v>
      </c>
      <c r="BB120" s="3">
        <v>41913</v>
      </c>
      <c r="BC120" s="5"/>
      <c r="BD120" s="5">
        <v>3822</v>
      </c>
      <c r="BE120" s="5">
        <v>72571</v>
      </c>
      <c r="BF120" s="5">
        <v>39009</v>
      </c>
      <c r="BG120" s="5"/>
      <c r="BH120" s="5">
        <v>115402</v>
      </c>
    </row>
    <row r="121" spans="1:60" x14ac:dyDescent="0.25">
      <c r="A121" s="1">
        <v>40179</v>
      </c>
      <c r="B121">
        <v>51271</v>
      </c>
      <c r="C121" t="s">
        <v>2</v>
      </c>
      <c r="J121" s="3">
        <v>42278</v>
      </c>
      <c r="K121" s="5"/>
      <c r="L121" s="5"/>
      <c r="M121" s="5">
        <v>72819</v>
      </c>
      <c r="N121" s="5">
        <v>531</v>
      </c>
      <c r="O121" s="5">
        <v>17495</v>
      </c>
      <c r="P121" s="5"/>
      <c r="Q121" s="5">
        <v>90845</v>
      </c>
      <c r="U121" s="1">
        <v>39873</v>
      </c>
      <c r="V121">
        <v>2318</v>
      </c>
      <c r="W121" t="s">
        <v>14</v>
      </c>
      <c r="AA121" s="3">
        <v>42278</v>
      </c>
      <c r="AB121" s="5">
        <v>1726</v>
      </c>
      <c r="AC121" s="5">
        <v>56968</v>
      </c>
      <c r="AD121" s="5">
        <v>32151</v>
      </c>
      <c r="AE121" s="5"/>
      <c r="AF121" s="5">
        <v>90845</v>
      </c>
      <c r="AI121" s="1">
        <v>40087</v>
      </c>
      <c r="AJ121">
        <v>24616</v>
      </c>
      <c r="AK121" t="s">
        <v>24</v>
      </c>
      <c r="AN121" s="3">
        <v>41944</v>
      </c>
      <c r="AO121" s="5"/>
      <c r="AP121" s="5">
        <v>2381</v>
      </c>
      <c r="AQ121" s="5">
        <v>59685</v>
      </c>
      <c r="AR121" s="5">
        <v>15344</v>
      </c>
      <c r="AS121" s="5">
        <v>77410</v>
      </c>
      <c r="AW121" s="1">
        <v>40087</v>
      </c>
      <c r="AX121">
        <v>21784</v>
      </c>
      <c r="AY121" t="s">
        <v>25</v>
      </c>
      <c r="BB121" s="3">
        <v>41944</v>
      </c>
      <c r="BC121" s="5"/>
      <c r="BD121" s="5">
        <v>3734</v>
      </c>
      <c r="BE121" s="5">
        <v>67442</v>
      </c>
      <c r="BF121" s="5">
        <v>41903</v>
      </c>
      <c r="BG121" s="5"/>
      <c r="BH121" s="5">
        <v>113079</v>
      </c>
    </row>
    <row r="122" spans="1:60" x14ac:dyDescent="0.25">
      <c r="A122" s="1">
        <v>40210</v>
      </c>
      <c r="B122">
        <v>77</v>
      </c>
      <c r="C122" t="s">
        <v>3</v>
      </c>
      <c r="J122" s="3">
        <v>42309</v>
      </c>
      <c r="K122" s="5">
        <v>116</v>
      </c>
      <c r="L122" s="5">
        <v>63</v>
      </c>
      <c r="M122" s="5">
        <v>61380</v>
      </c>
      <c r="N122" s="5"/>
      <c r="O122" s="5">
        <v>17242</v>
      </c>
      <c r="P122" s="5"/>
      <c r="Q122" s="5">
        <v>78801</v>
      </c>
      <c r="U122" s="1">
        <v>39904</v>
      </c>
      <c r="V122">
        <v>140030</v>
      </c>
      <c r="W122" t="s">
        <v>15</v>
      </c>
      <c r="AA122" s="3">
        <v>42309</v>
      </c>
      <c r="AB122" s="5">
        <v>1395</v>
      </c>
      <c r="AC122" s="5">
        <v>45390</v>
      </c>
      <c r="AD122" s="5">
        <v>32016</v>
      </c>
      <c r="AE122" s="5"/>
      <c r="AF122" s="5">
        <v>78801</v>
      </c>
      <c r="AI122" s="1">
        <v>40087</v>
      </c>
      <c r="AJ122">
        <v>62931</v>
      </c>
      <c r="AK122" t="s">
        <v>22</v>
      </c>
      <c r="AN122" s="3">
        <v>41974</v>
      </c>
      <c r="AO122" s="5"/>
      <c r="AP122" s="5">
        <v>2277</v>
      </c>
      <c r="AQ122" s="5">
        <v>54341</v>
      </c>
      <c r="AR122" s="5">
        <v>15891</v>
      </c>
      <c r="AS122" s="5">
        <v>72509</v>
      </c>
      <c r="AW122" s="1">
        <v>40087</v>
      </c>
      <c r="AX122">
        <v>32936</v>
      </c>
      <c r="AY122" t="s">
        <v>24</v>
      </c>
      <c r="BB122" s="3">
        <v>41974</v>
      </c>
      <c r="BC122" s="5"/>
      <c r="BD122" s="5">
        <v>3478</v>
      </c>
      <c r="BE122" s="5">
        <v>70617</v>
      </c>
      <c r="BF122" s="5">
        <v>43011</v>
      </c>
      <c r="BG122" s="5"/>
      <c r="BH122" s="5">
        <v>117106</v>
      </c>
    </row>
    <row r="123" spans="1:60" x14ac:dyDescent="0.25">
      <c r="A123" s="1">
        <v>40210</v>
      </c>
      <c r="B123">
        <v>28003</v>
      </c>
      <c r="C123" t="s">
        <v>4</v>
      </c>
      <c r="J123" s="3">
        <v>42339</v>
      </c>
      <c r="K123" s="5"/>
      <c r="L123" s="5">
        <v>5</v>
      </c>
      <c r="M123" s="5">
        <v>56308</v>
      </c>
      <c r="N123" s="5"/>
      <c r="O123" s="5">
        <v>17651</v>
      </c>
      <c r="P123" s="5"/>
      <c r="Q123" s="5">
        <v>73964</v>
      </c>
      <c r="U123" s="1">
        <v>39904</v>
      </c>
      <c r="V123">
        <v>24673</v>
      </c>
      <c r="W123" t="s">
        <v>16</v>
      </c>
      <c r="AA123" s="3">
        <v>42339</v>
      </c>
      <c r="AB123" s="5">
        <v>1188</v>
      </c>
      <c r="AC123" s="5">
        <v>41614</v>
      </c>
      <c r="AD123" s="5">
        <v>31162</v>
      </c>
      <c r="AE123" s="5"/>
      <c r="AF123" s="5">
        <v>73964</v>
      </c>
      <c r="AI123" s="1">
        <v>40118</v>
      </c>
      <c r="AJ123">
        <v>13051</v>
      </c>
      <c r="AK123" t="s">
        <v>25</v>
      </c>
      <c r="AN123" s="3">
        <v>42005</v>
      </c>
      <c r="AO123" s="5"/>
      <c r="AP123" s="5">
        <v>1975</v>
      </c>
      <c r="AQ123" s="5">
        <v>47249</v>
      </c>
      <c r="AR123" s="5">
        <v>19500</v>
      </c>
      <c r="AS123" s="5">
        <v>68724</v>
      </c>
      <c r="AW123" s="1">
        <v>40118</v>
      </c>
      <c r="AX123">
        <v>24426</v>
      </c>
      <c r="AY123" t="s">
        <v>22</v>
      </c>
      <c r="BB123" s="3">
        <v>42005</v>
      </c>
      <c r="BC123" s="5"/>
      <c r="BD123" s="5">
        <v>2955</v>
      </c>
      <c r="BE123" s="5">
        <v>57379</v>
      </c>
      <c r="BF123" s="5">
        <v>46727</v>
      </c>
      <c r="BG123" s="5"/>
      <c r="BH123" s="5">
        <v>107061</v>
      </c>
    </row>
    <row r="124" spans="1:60" x14ac:dyDescent="0.25">
      <c r="A124" s="1">
        <v>40210</v>
      </c>
      <c r="B124">
        <v>26299</v>
      </c>
      <c r="C124" t="s">
        <v>5</v>
      </c>
      <c r="J124" s="3">
        <v>42370</v>
      </c>
      <c r="K124" s="5"/>
      <c r="L124" s="5"/>
      <c r="M124" s="5">
        <v>38576</v>
      </c>
      <c r="N124" s="5"/>
      <c r="O124" s="5">
        <v>10736</v>
      </c>
      <c r="P124" s="5"/>
      <c r="Q124" s="5">
        <v>49312</v>
      </c>
      <c r="U124" s="1">
        <v>39904</v>
      </c>
      <c r="V124">
        <v>1785</v>
      </c>
      <c r="W124" t="s">
        <v>14</v>
      </c>
      <c r="AA124" s="3">
        <v>42370</v>
      </c>
      <c r="AB124" s="5">
        <v>722</v>
      </c>
      <c r="AC124" s="5">
        <v>28453</v>
      </c>
      <c r="AD124" s="5">
        <v>20137</v>
      </c>
      <c r="AE124" s="5"/>
      <c r="AF124" s="5">
        <v>49312</v>
      </c>
      <c r="AI124" s="1">
        <v>40118</v>
      </c>
      <c r="AJ124">
        <v>20958</v>
      </c>
      <c r="AK124" t="s">
        <v>24</v>
      </c>
      <c r="AN124" s="3">
        <v>42036</v>
      </c>
      <c r="AO124" s="5"/>
      <c r="AP124" s="5">
        <v>2128</v>
      </c>
      <c r="AQ124" s="5">
        <v>50077</v>
      </c>
      <c r="AR124" s="5">
        <v>18810</v>
      </c>
      <c r="AS124" s="5">
        <v>71015</v>
      </c>
      <c r="AW124" s="1">
        <v>40118</v>
      </c>
      <c r="AX124">
        <v>25969</v>
      </c>
      <c r="AY124" t="s">
        <v>24</v>
      </c>
      <c r="BB124" s="3">
        <v>42036</v>
      </c>
      <c r="BC124" s="5"/>
      <c r="BD124" s="5">
        <v>3183</v>
      </c>
      <c r="BE124" s="5">
        <v>65620</v>
      </c>
      <c r="BF124" s="5">
        <v>54114</v>
      </c>
      <c r="BG124" s="5"/>
      <c r="BH124" s="5">
        <v>122917</v>
      </c>
    </row>
    <row r="125" spans="1:60" x14ac:dyDescent="0.25">
      <c r="A125" s="1">
        <v>40210</v>
      </c>
      <c r="B125">
        <v>51586</v>
      </c>
      <c r="C125" t="s">
        <v>2</v>
      </c>
      <c r="J125" s="4" t="s">
        <v>8</v>
      </c>
      <c r="K125" s="5"/>
      <c r="L125" s="5"/>
      <c r="M125" s="5"/>
      <c r="N125" s="5"/>
      <c r="O125" s="5"/>
      <c r="P125" s="5"/>
      <c r="Q125" s="5"/>
      <c r="U125" s="1">
        <v>39934</v>
      </c>
      <c r="V125">
        <v>123547</v>
      </c>
      <c r="W125" t="s">
        <v>15</v>
      </c>
      <c r="AA125" s="4" t="s">
        <v>8</v>
      </c>
      <c r="AB125" s="5"/>
      <c r="AC125" s="5"/>
      <c r="AD125" s="5"/>
      <c r="AE125" s="5"/>
      <c r="AF125" s="5"/>
      <c r="AI125" s="1">
        <v>40118</v>
      </c>
      <c r="AJ125">
        <v>58846</v>
      </c>
      <c r="AK125" t="s">
        <v>22</v>
      </c>
      <c r="AN125" s="3">
        <v>42064</v>
      </c>
      <c r="AO125" s="5"/>
      <c r="AP125" s="5">
        <v>1852</v>
      </c>
      <c r="AQ125" s="5">
        <v>39430</v>
      </c>
      <c r="AR125" s="5">
        <v>22277</v>
      </c>
      <c r="AS125" s="5">
        <v>63559</v>
      </c>
      <c r="AW125" s="1">
        <v>40118</v>
      </c>
      <c r="AX125">
        <v>18281</v>
      </c>
      <c r="AY125" t="s">
        <v>25</v>
      </c>
      <c r="BB125" s="3">
        <v>42064</v>
      </c>
      <c r="BC125" s="5"/>
      <c r="BD125" s="5">
        <v>2758</v>
      </c>
      <c r="BE125" s="5">
        <v>45536</v>
      </c>
      <c r="BF125" s="5">
        <v>50538</v>
      </c>
      <c r="BG125" s="5"/>
      <c r="BH125" s="5">
        <v>98832</v>
      </c>
    </row>
    <row r="126" spans="1:60" x14ac:dyDescent="0.25">
      <c r="A126" s="1">
        <v>40238</v>
      </c>
      <c r="B126">
        <v>679</v>
      </c>
      <c r="C126" t="s">
        <v>3</v>
      </c>
      <c r="J126" s="4" t="s">
        <v>9</v>
      </c>
      <c r="K126" s="5">
        <v>1071585</v>
      </c>
      <c r="L126" s="5">
        <v>1270049</v>
      </c>
      <c r="M126" s="5">
        <v>7768848</v>
      </c>
      <c r="N126" s="5">
        <v>1512868</v>
      </c>
      <c r="O126" s="5">
        <v>450073</v>
      </c>
      <c r="P126" s="5"/>
      <c r="Q126" s="5">
        <v>12073423</v>
      </c>
      <c r="U126" s="1">
        <v>39934</v>
      </c>
      <c r="V126">
        <v>24641</v>
      </c>
      <c r="W126" t="s">
        <v>16</v>
      </c>
      <c r="AA126" s="4" t="s">
        <v>9</v>
      </c>
      <c r="AB126" s="5">
        <v>743312</v>
      </c>
      <c r="AC126" s="5">
        <v>4968531</v>
      </c>
      <c r="AD126" s="5">
        <v>6361580</v>
      </c>
      <c r="AE126" s="5"/>
      <c r="AF126" s="5">
        <v>12073423</v>
      </c>
      <c r="AI126" s="1">
        <v>40148</v>
      </c>
      <c r="AJ126">
        <v>62802</v>
      </c>
      <c r="AK126" t="s">
        <v>22</v>
      </c>
      <c r="AN126" s="3">
        <v>42095</v>
      </c>
      <c r="AO126" s="5"/>
      <c r="AP126" s="5">
        <v>1910</v>
      </c>
      <c r="AQ126" s="5">
        <v>45765</v>
      </c>
      <c r="AR126" s="5">
        <v>33106</v>
      </c>
      <c r="AS126" s="5">
        <v>80781</v>
      </c>
      <c r="AW126" s="1">
        <v>40148</v>
      </c>
      <c r="AX126">
        <v>20048</v>
      </c>
      <c r="AY126" t="s">
        <v>25</v>
      </c>
      <c r="BB126" s="3">
        <v>42095</v>
      </c>
      <c r="BC126" s="5"/>
      <c r="BD126" s="5">
        <v>2890</v>
      </c>
      <c r="BE126" s="5">
        <v>47059</v>
      </c>
      <c r="BF126" s="5">
        <v>70674</v>
      </c>
      <c r="BG126" s="5"/>
      <c r="BH126" s="5">
        <v>120623</v>
      </c>
    </row>
    <row r="127" spans="1:60" x14ac:dyDescent="0.25">
      <c r="A127" s="1">
        <v>40238</v>
      </c>
      <c r="B127">
        <v>25937</v>
      </c>
      <c r="C127" t="s">
        <v>4</v>
      </c>
      <c r="U127" s="1">
        <v>39934</v>
      </c>
      <c r="V127">
        <v>2588</v>
      </c>
      <c r="W127" t="s">
        <v>14</v>
      </c>
      <c r="AI127" s="1">
        <v>40148</v>
      </c>
      <c r="AJ127">
        <v>26484</v>
      </c>
      <c r="AK127" t="s">
        <v>24</v>
      </c>
      <c r="AN127" s="3">
        <v>42125</v>
      </c>
      <c r="AO127" s="5"/>
      <c r="AP127" s="5">
        <v>2169</v>
      </c>
      <c r="AQ127" s="5">
        <v>63287</v>
      </c>
      <c r="AR127" s="5">
        <v>37447</v>
      </c>
      <c r="AS127" s="5">
        <v>102903</v>
      </c>
      <c r="AW127" s="1">
        <v>40148</v>
      </c>
      <c r="AX127">
        <v>26861</v>
      </c>
      <c r="AY127" t="s">
        <v>22</v>
      </c>
      <c r="BB127" s="3">
        <v>42125</v>
      </c>
      <c r="BC127" s="5"/>
      <c r="BD127" s="5">
        <v>3285</v>
      </c>
      <c r="BE127" s="5">
        <v>64171</v>
      </c>
      <c r="BF127" s="5">
        <v>78177</v>
      </c>
      <c r="BG127" s="5"/>
      <c r="BH127" s="5">
        <v>145633</v>
      </c>
    </row>
    <row r="128" spans="1:60" x14ac:dyDescent="0.25">
      <c r="A128" s="1">
        <v>40238</v>
      </c>
      <c r="B128">
        <v>21183</v>
      </c>
      <c r="C128" t="s">
        <v>5</v>
      </c>
      <c r="U128" s="1">
        <v>39965</v>
      </c>
      <c r="V128">
        <v>183268</v>
      </c>
      <c r="W128" t="s">
        <v>15</v>
      </c>
      <c r="AI128" s="1">
        <v>40148</v>
      </c>
      <c r="AJ128">
        <v>18179</v>
      </c>
      <c r="AK128" t="s">
        <v>25</v>
      </c>
      <c r="AN128" s="3">
        <v>42156</v>
      </c>
      <c r="AO128" s="5"/>
      <c r="AP128" s="5">
        <v>2004</v>
      </c>
      <c r="AQ128" s="5">
        <v>66830</v>
      </c>
      <c r="AR128" s="5">
        <v>28536</v>
      </c>
      <c r="AS128" s="5">
        <v>97370</v>
      </c>
      <c r="AW128" s="1">
        <v>40148</v>
      </c>
      <c r="AX128">
        <v>26137</v>
      </c>
      <c r="AY128" t="s">
        <v>24</v>
      </c>
      <c r="BB128" s="3">
        <v>42156</v>
      </c>
      <c r="BC128" s="5"/>
      <c r="BD128" s="5">
        <v>2905</v>
      </c>
      <c r="BE128" s="5">
        <v>67676</v>
      </c>
      <c r="BF128" s="5">
        <v>60562</v>
      </c>
      <c r="BG128" s="5"/>
      <c r="BH128" s="5">
        <v>131143</v>
      </c>
    </row>
    <row r="129" spans="1:60" x14ac:dyDescent="0.25">
      <c r="A129" s="1">
        <v>40238</v>
      </c>
      <c r="B129">
        <v>56751</v>
      </c>
      <c r="C129" t="s">
        <v>2</v>
      </c>
      <c r="U129" s="1">
        <v>39965</v>
      </c>
      <c r="V129">
        <v>41335</v>
      </c>
      <c r="W129" t="s">
        <v>16</v>
      </c>
      <c r="AI129" s="1">
        <v>40179</v>
      </c>
      <c r="AJ129">
        <v>60390</v>
      </c>
      <c r="AK129" t="s">
        <v>22</v>
      </c>
      <c r="AN129" s="3">
        <v>42186</v>
      </c>
      <c r="AO129" s="5"/>
      <c r="AP129" s="5">
        <v>1721</v>
      </c>
      <c r="AQ129" s="5">
        <v>70152</v>
      </c>
      <c r="AR129" s="5">
        <v>24520</v>
      </c>
      <c r="AS129" s="5">
        <v>96393</v>
      </c>
      <c r="AW129" s="1">
        <v>40179</v>
      </c>
      <c r="AX129">
        <v>27335</v>
      </c>
      <c r="AY129" t="s">
        <v>24</v>
      </c>
      <c r="BB129" s="3">
        <v>42186</v>
      </c>
      <c r="BC129" s="5"/>
      <c r="BD129" s="5">
        <v>2527</v>
      </c>
      <c r="BE129" s="5">
        <v>78212</v>
      </c>
      <c r="BF129" s="5">
        <v>56416</v>
      </c>
      <c r="BG129" s="5"/>
      <c r="BH129" s="5">
        <v>137155</v>
      </c>
    </row>
    <row r="130" spans="1:60" x14ac:dyDescent="0.25">
      <c r="A130" s="1">
        <v>40269</v>
      </c>
      <c r="B130">
        <v>113</v>
      </c>
      <c r="C130" t="s">
        <v>3</v>
      </c>
      <c r="U130" s="1">
        <v>39965</v>
      </c>
      <c r="V130">
        <v>9453</v>
      </c>
      <c r="W130" t="s">
        <v>14</v>
      </c>
      <c r="AI130" s="1">
        <v>40179</v>
      </c>
      <c r="AJ130">
        <v>23590</v>
      </c>
      <c r="AK130" t="s">
        <v>25</v>
      </c>
      <c r="AN130" s="3">
        <v>42217</v>
      </c>
      <c r="AO130" s="5"/>
      <c r="AP130" s="5">
        <v>1641</v>
      </c>
      <c r="AQ130" s="5">
        <v>73089</v>
      </c>
      <c r="AR130" s="5">
        <v>19762</v>
      </c>
      <c r="AS130" s="5">
        <v>94492</v>
      </c>
      <c r="AW130" s="1">
        <v>40179</v>
      </c>
      <c r="AX130">
        <v>22598</v>
      </c>
      <c r="AY130" t="s">
        <v>25</v>
      </c>
      <c r="BB130" s="3">
        <v>42217</v>
      </c>
      <c r="BC130" s="5"/>
      <c r="BD130" s="5">
        <v>2529</v>
      </c>
      <c r="BE130" s="5">
        <v>93543</v>
      </c>
      <c r="BF130" s="5">
        <v>55180</v>
      </c>
      <c r="BG130" s="5"/>
      <c r="BH130" s="5">
        <v>151252</v>
      </c>
    </row>
    <row r="131" spans="1:60" x14ac:dyDescent="0.25">
      <c r="A131" s="1">
        <v>40269</v>
      </c>
      <c r="B131">
        <v>14416</v>
      </c>
      <c r="C131" t="s">
        <v>4</v>
      </c>
      <c r="U131" s="1">
        <v>39995</v>
      </c>
      <c r="V131">
        <v>107233</v>
      </c>
      <c r="W131" t="s">
        <v>15</v>
      </c>
      <c r="AI131" s="1">
        <v>40179</v>
      </c>
      <c r="AJ131">
        <v>27562</v>
      </c>
      <c r="AK131" t="s">
        <v>24</v>
      </c>
      <c r="AN131" s="3">
        <v>42248</v>
      </c>
      <c r="AO131" s="5"/>
      <c r="AP131" s="5">
        <v>1471</v>
      </c>
      <c r="AQ131" s="5">
        <v>71662</v>
      </c>
      <c r="AR131" s="5">
        <v>15711</v>
      </c>
      <c r="AS131" s="5">
        <v>88844</v>
      </c>
      <c r="AW131" s="1">
        <v>40179</v>
      </c>
      <c r="AX131">
        <v>27023</v>
      </c>
      <c r="AY131" t="s">
        <v>22</v>
      </c>
      <c r="BB131" s="3">
        <v>42248</v>
      </c>
      <c r="BC131" s="5"/>
      <c r="BD131" s="5">
        <v>2316</v>
      </c>
      <c r="BE131" s="5">
        <v>87144</v>
      </c>
      <c r="BF131" s="5">
        <v>47513</v>
      </c>
      <c r="BG131" s="5"/>
      <c r="BH131" s="5">
        <v>136973</v>
      </c>
    </row>
    <row r="132" spans="1:60" x14ac:dyDescent="0.25">
      <c r="A132" s="1">
        <v>40269</v>
      </c>
      <c r="B132">
        <v>19513</v>
      </c>
      <c r="C132" t="s">
        <v>5</v>
      </c>
      <c r="U132" s="1">
        <v>39995</v>
      </c>
      <c r="V132">
        <v>32476</v>
      </c>
      <c r="W132" t="s">
        <v>16</v>
      </c>
      <c r="AI132" s="1">
        <v>40210</v>
      </c>
      <c r="AJ132">
        <v>29806</v>
      </c>
      <c r="AK132" t="s">
        <v>24</v>
      </c>
      <c r="AN132" s="3">
        <v>42278</v>
      </c>
      <c r="AO132" s="5"/>
      <c r="AP132" s="5">
        <v>1498</v>
      </c>
      <c r="AQ132" s="5">
        <v>69102</v>
      </c>
      <c r="AR132" s="5">
        <v>15047</v>
      </c>
      <c r="AS132" s="5">
        <v>85647</v>
      </c>
      <c r="AW132" s="1">
        <v>40210</v>
      </c>
      <c r="AX132">
        <v>31066</v>
      </c>
      <c r="AY132" t="s">
        <v>24</v>
      </c>
      <c r="BB132" s="3">
        <v>42278</v>
      </c>
      <c r="BC132" s="5"/>
      <c r="BD132" s="5">
        <v>2363</v>
      </c>
      <c r="BE132" s="5">
        <v>78995</v>
      </c>
      <c r="BF132" s="5">
        <v>44660</v>
      </c>
      <c r="BG132" s="5"/>
      <c r="BH132" s="5">
        <v>126018</v>
      </c>
    </row>
    <row r="133" spans="1:60" x14ac:dyDescent="0.25">
      <c r="A133" s="1">
        <v>40269</v>
      </c>
      <c r="B133">
        <v>37231</v>
      </c>
      <c r="C133" t="s">
        <v>2</v>
      </c>
      <c r="U133" s="1">
        <v>39995</v>
      </c>
      <c r="V133">
        <v>14498</v>
      </c>
      <c r="W133" t="s">
        <v>14</v>
      </c>
      <c r="AI133" s="1">
        <v>40210</v>
      </c>
      <c r="AJ133">
        <v>54738</v>
      </c>
      <c r="AK133" t="s">
        <v>22</v>
      </c>
      <c r="AN133" s="3">
        <v>42309</v>
      </c>
      <c r="AO133" s="5"/>
      <c r="AP133" s="5">
        <v>1452</v>
      </c>
      <c r="AQ133" s="5">
        <v>65190</v>
      </c>
      <c r="AR133" s="5">
        <v>16140</v>
      </c>
      <c r="AS133" s="5">
        <v>82782</v>
      </c>
      <c r="AW133" s="1">
        <v>40210</v>
      </c>
      <c r="AX133">
        <v>26006</v>
      </c>
      <c r="AY133" t="s">
        <v>25</v>
      </c>
      <c r="BB133" s="3">
        <v>42309</v>
      </c>
      <c r="BC133" s="5"/>
      <c r="BD133" s="5">
        <v>2226</v>
      </c>
      <c r="BE133" s="5">
        <v>74401</v>
      </c>
      <c r="BF133" s="5">
        <v>46143</v>
      </c>
      <c r="BG133" s="5"/>
      <c r="BH133" s="5">
        <v>122770</v>
      </c>
    </row>
    <row r="134" spans="1:60" x14ac:dyDescent="0.25">
      <c r="A134" s="1">
        <v>40299</v>
      </c>
      <c r="B134">
        <v>25</v>
      </c>
      <c r="C134" t="s">
        <v>3</v>
      </c>
      <c r="U134" s="1">
        <v>40026</v>
      </c>
      <c r="V134">
        <v>104917</v>
      </c>
      <c r="W134" t="s">
        <v>15</v>
      </c>
      <c r="AI134" s="1">
        <v>40210</v>
      </c>
      <c r="AJ134">
        <v>26564</v>
      </c>
      <c r="AK134" t="s">
        <v>25</v>
      </c>
      <c r="AN134" s="3">
        <v>42339</v>
      </c>
      <c r="AO134" s="5"/>
      <c r="AP134" s="5">
        <v>1357</v>
      </c>
      <c r="AQ134" s="5">
        <v>61618</v>
      </c>
      <c r="AR134" s="5">
        <v>17122</v>
      </c>
      <c r="AS134" s="5">
        <v>80097</v>
      </c>
      <c r="AW134" s="1">
        <v>40210</v>
      </c>
      <c r="AX134">
        <v>24131</v>
      </c>
      <c r="AY134" t="s">
        <v>22</v>
      </c>
      <c r="BB134" s="3">
        <v>42339</v>
      </c>
      <c r="BC134" s="5"/>
      <c r="BD134" s="5">
        <v>2112</v>
      </c>
      <c r="BE134" s="5">
        <v>66295</v>
      </c>
      <c r="BF134" s="5">
        <v>46372</v>
      </c>
      <c r="BG134" s="5"/>
      <c r="BH134" s="5">
        <v>114779</v>
      </c>
    </row>
    <row r="135" spans="1:60" x14ac:dyDescent="0.25">
      <c r="A135" s="1">
        <v>40299</v>
      </c>
      <c r="B135">
        <v>15988</v>
      </c>
      <c r="C135" t="s">
        <v>4</v>
      </c>
      <c r="U135" s="1">
        <v>40026</v>
      </c>
      <c r="V135">
        <v>42643</v>
      </c>
      <c r="W135" t="s">
        <v>16</v>
      </c>
      <c r="AI135" s="1">
        <v>40238</v>
      </c>
      <c r="AJ135">
        <v>24648</v>
      </c>
      <c r="AK135" t="s">
        <v>25</v>
      </c>
      <c r="AN135" s="3">
        <v>42370</v>
      </c>
      <c r="AO135" s="5"/>
      <c r="AP135" s="5">
        <v>961</v>
      </c>
      <c r="AQ135" s="5">
        <v>43151</v>
      </c>
      <c r="AR135" s="5">
        <v>13678</v>
      </c>
      <c r="AS135" s="5">
        <v>57790</v>
      </c>
      <c r="AW135" s="1">
        <v>40238</v>
      </c>
      <c r="AX135">
        <v>15542</v>
      </c>
      <c r="AY135" t="s">
        <v>22</v>
      </c>
      <c r="BB135" s="3">
        <v>42370</v>
      </c>
      <c r="BC135" s="5"/>
      <c r="BD135" s="5">
        <v>1626</v>
      </c>
      <c r="BE135" s="5">
        <v>45494</v>
      </c>
      <c r="BF135" s="5">
        <v>35833</v>
      </c>
      <c r="BG135" s="5"/>
      <c r="BH135" s="5">
        <v>82953</v>
      </c>
    </row>
    <row r="136" spans="1:60" x14ac:dyDescent="0.25">
      <c r="A136" s="1">
        <v>40299</v>
      </c>
      <c r="B136">
        <v>17575</v>
      </c>
      <c r="C136" t="s">
        <v>5</v>
      </c>
      <c r="U136" s="1">
        <v>40026</v>
      </c>
      <c r="V136">
        <v>16086</v>
      </c>
      <c r="W136" t="s">
        <v>14</v>
      </c>
      <c r="AI136" s="1">
        <v>40238</v>
      </c>
      <c r="AJ136">
        <v>25134</v>
      </c>
      <c r="AK136" t="s">
        <v>24</v>
      </c>
      <c r="AN136" s="3">
        <v>42401</v>
      </c>
      <c r="AO136" s="5"/>
      <c r="AP136" s="5">
        <v>434</v>
      </c>
      <c r="AQ136" s="5">
        <v>21694</v>
      </c>
      <c r="AR136" s="5">
        <v>5279</v>
      </c>
      <c r="AS136" s="5">
        <v>27407</v>
      </c>
      <c r="AW136" s="1">
        <v>40238</v>
      </c>
      <c r="AX136">
        <v>24778</v>
      </c>
      <c r="AY136" t="s">
        <v>25</v>
      </c>
      <c r="BB136" s="3">
        <v>42401</v>
      </c>
      <c r="BC136" s="5"/>
      <c r="BD136" s="5">
        <v>1089</v>
      </c>
      <c r="BE136" s="5">
        <v>23227</v>
      </c>
      <c r="BF136" s="5">
        <v>17971</v>
      </c>
      <c r="BG136" s="5"/>
      <c r="BH136" s="5">
        <v>42287</v>
      </c>
    </row>
    <row r="137" spans="1:60" x14ac:dyDescent="0.25">
      <c r="A137" s="1">
        <v>40299</v>
      </c>
      <c r="B137">
        <v>46855</v>
      </c>
      <c r="C137" t="s">
        <v>2</v>
      </c>
      <c r="U137" s="1">
        <v>40057</v>
      </c>
      <c r="V137">
        <v>67936</v>
      </c>
      <c r="W137" t="s">
        <v>15</v>
      </c>
      <c r="AI137" s="1">
        <v>40238</v>
      </c>
      <c r="AJ137">
        <v>43730</v>
      </c>
      <c r="AK137" t="s">
        <v>22</v>
      </c>
      <c r="AN137" s="3">
        <v>42430</v>
      </c>
      <c r="AO137" s="5"/>
      <c r="AP137" s="5">
        <v>1</v>
      </c>
      <c r="AQ137" s="5">
        <v>26</v>
      </c>
      <c r="AR137" s="5">
        <v>15</v>
      </c>
      <c r="AS137" s="5">
        <v>42</v>
      </c>
      <c r="AW137" s="1">
        <v>40238</v>
      </c>
      <c r="AX137">
        <v>24996</v>
      </c>
      <c r="AY137" t="s">
        <v>24</v>
      </c>
      <c r="BB137" s="3">
        <v>42430</v>
      </c>
      <c r="BC137" s="5"/>
      <c r="BD137" s="5">
        <v>12</v>
      </c>
      <c r="BE137" s="5">
        <v>67</v>
      </c>
      <c r="BF137" s="5">
        <v>204</v>
      </c>
      <c r="BG137" s="5"/>
      <c r="BH137" s="5">
        <v>283</v>
      </c>
    </row>
    <row r="138" spans="1:60" x14ac:dyDescent="0.25">
      <c r="A138" s="1">
        <v>40330</v>
      </c>
      <c r="B138">
        <v>4</v>
      </c>
      <c r="C138" t="s">
        <v>3</v>
      </c>
      <c r="U138" s="1">
        <v>40057</v>
      </c>
      <c r="V138">
        <v>41473</v>
      </c>
      <c r="W138" t="s">
        <v>16</v>
      </c>
      <c r="AI138" s="1">
        <v>40269</v>
      </c>
      <c r="AJ138">
        <v>42612</v>
      </c>
      <c r="AK138" t="s">
        <v>22</v>
      </c>
      <c r="AN138" s="3" t="s">
        <v>9</v>
      </c>
      <c r="AO138" s="5">
        <v>1054165</v>
      </c>
      <c r="AP138" s="5">
        <v>1317130</v>
      </c>
      <c r="AQ138" s="5">
        <v>7702544</v>
      </c>
      <c r="AR138" s="5">
        <v>1915890</v>
      </c>
      <c r="AS138" s="5">
        <v>11989729</v>
      </c>
      <c r="AW138" s="1">
        <v>40269</v>
      </c>
      <c r="AX138">
        <v>15025</v>
      </c>
      <c r="AY138" t="s">
        <v>22</v>
      </c>
      <c r="BB138" s="4" t="s">
        <v>8</v>
      </c>
      <c r="BC138" s="5"/>
      <c r="BD138" s="5"/>
      <c r="BE138" s="5"/>
      <c r="BF138" s="5"/>
      <c r="BG138" s="5"/>
      <c r="BH138" s="5"/>
    </row>
    <row r="139" spans="1:60" x14ac:dyDescent="0.25">
      <c r="A139" s="1">
        <v>40330</v>
      </c>
      <c r="B139">
        <v>14269</v>
      </c>
      <c r="C139" t="s">
        <v>4</v>
      </c>
      <c r="U139" s="1">
        <v>40057</v>
      </c>
      <c r="V139">
        <v>8996</v>
      </c>
      <c r="W139" t="s">
        <v>14</v>
      </c>
      <c r="AI139" s="1">
        <v>40269</v>
      </c>
      <c r="AJ139">
        <v>17440</v>
      </c>
      <c r="AK139" t="s">
        <v>25</v>
      </c>
      <c r="AW139" s="1">
        <v>40269</v>
      </c>
      <c r="AX139">
        <v>16955</v>
      </c>
      <c r="AY139" t="s">
        <v>24</v>
      </c>
      <c r="BB139" s="4" t="s">
        <v>9</v>
      </c>
      <c r="BC139" s="5">
        <v>1272735</v>
      </c>
      <c r="BD139" s="5">
        <v>2425482</v>
      </c>
      <c r="BE139" s="5">
        <v>5161326</v>
      </c>
      <c r="BF139" s="5">
        <v>3745096</v>
      </c>
      <c r="BG139" s="5"/>
      <c r="BH139" s="5">
        <v>12604639</v>
      </c>
    </row>
    <row r="140" spans="1:60" x14ac:dyDescent="0.25">
      <c r="A140" s="1">
        <v>40330</v>
      </c>
      <c r="B140">
        <v>19523</v>
      </c>
      <c r="C140" t="s">
        <v>5</v>
      </c>
      <c r="U140" s="1">
        <v>40087</v>
      </c>
      <c r="V140">
        <v>54105</v>
      </c>
      <c r="W140" t="s">
        <v>15</v>
      </c>
      <c r="AI140" s="1">
        <v>40269</v>
      </c>
      <c r="AJ140">
        <v>17800</v>
      </c>
      <c r="AK140" t="s">
        <v>24</v>
      </c>
      <c r="AW140" s="1">
        <v>40269</v>
      </c>
      <c r="AX140">
        <v>19537</v>
      </c>
      <c r="AY140" t="s">
        <v>25</v>
      </c>
    </row>
    <row r="141" spans="1:60" x14ac:dyDescent="0.25">
      <c r="A141" s="1">
        <v>40330</v>
      </c>
      <c r="B141">
        <v>55813</v>
      </c>
      <c r="C141" t="s">
        <v>2</v>
      </c>
      <c r="U141" s="1">
        <v>40087</v>
      </c>
      <c r="V141">
        <v>37039</v>
      </c>
      <c r="W141" t="s">
        <v>16</v>
      </c>
      <c r="AI141" s="1">
        <v>40299</v>
      </c>
      <c r="AJ141">
        <v>21045</v>
      </c>
      <c r="AK141" t="s">
        <v>25</v>
      </c>
      <c r="AW141" s="1">
        <v>40299</v>
      </c>
      <c r="AX141">
        <v>23581</v>
      </c>
      <c r="AY141" t="s">
        <v>25</v>
      </c>
    </row>
    <row r="142" spans="1:60" x14ac:dyDescent="0.25">
      <c r="A142" s="1">
        <v>40360</v>
      </c>
      <c r="B142">
        <v>1</v>
      </c>
      <c r="C142" t="s">
        <v>3</v>
      </c>
      <c r="U142" s="1">
        <v>40087</v>
      </c>
      <c r="V142">
        <v>6341</v>
      </c>
      <c r="W142" t="s">
        <v>14</v>
      </c>
      <c r="AI142" s="1">
        <v>40299</v>
      </c>
      <c r="AJ142">
        <v>16829</v>
      </c>
      <c r="AK142" t="s">
        <v>24</v>
      </c>
      <c r="AW142" s="1">
        <v>40299</v>
      </c>
      <c r="AX142">
        <v>24751</v>
      </c>
      <c r="AY142" t="s">
        <v>22</v>
      </c>
    </row>
    <row r="143" spans="1:60" x14ac:dyDescent="0.25">
      <c r="A143" s="1">
        <v>40360</v>
      </c>
      <c r="B143">
        <v>13900</v>
      </c>
      <c r="C143" t="s">
        <v>4</v>
      </c>
      <c r="U143" s="1">
        <v>40118</v>
      </c>
      <c r="V143">
        <v>53423</v>
      </c>
      <c r="W143" t="s">
        <v>15</v>
      </c>
      <c r="AI143" s="1">
        <v>40299</v>
      </c>
      <c r="AJ143">
        <v>46375</v>
      </c>
      <c r="AK143" t="s">
        <v>22</v>
      </c>
      <c r="AW143" s="1">
        <v>40299</v>
      </c>
      <c r="AX143">
        <v>23261</v>
      </c>
      <c r="AY143" t="s">
        <v>24</v>
      </c>
    </row>
    <row r="144" spans="1:60" x14ac:dyDescent="0.25">
      <c r="A144" s="1">
        <v>40360</v>
      </c>
      <c r="B144">
        <v>19158</v>
      </c>
      <c r="C144" t="s">
        <v>5</v>
      </c>
      <c r="U144" s="1">
        <v>40118</v>
      </c>
      <c r="V144">
        <v>32297</v>
      </c>
      <c r="W144" t="s">
        <v>16</v>
      </c>
      <c r="AI144" s="1">
        <v>40330</v>
      </c>
      <c r="AJ144">
        <v>49599</v>
      </c>
      <c r="AK144" t="s">
        <v>22</v>
      </c>
      <c r="AW144" s="1">
        <v>40330</v>
      </c>
      <c r="AX144">
        <v>19774</v>
      </c>
      <c r="AY144" t="s">
        <v>24</v>
      </c>
    </row>
    <row r="145" spans="1:51" x14ac:dyDescent="0.25">
      <c r="A145" s="1">
        <v>40360</v>
      </c>
      <c r="B145">
        <v>50706</v>
      </c>
      <c r="C145" t="s">
        <v>2</v>
      </c>
      <c r="U145" s="1">
        <v>40118</v>
      </c>
      <c r="V145">
        <v>8103</v>
      </c>
      <c r="W145" t="s">
        <v>14</v>
      </c>
      <c r="AI145" s="1">
        <v>40330</v>
      </c>
      <c r="AJ145">
        <v>19445</v>
      </c>
      <c r="AK145" t="s">
        <v>25</v>
      </c>
      <c r="AW145" s="1">
        <v>40330</v>
      </c>
      <c r="AX145">
        <v>21651</v>
      </c>
      <c r="AY145" t="s">
        <v>25</v>
      </c>
    </row>
    <row r="146" spans="1:51" x14ac:dyDescent="0.25">
      <c r="A146" s="1">
        <v>40391</v>
      </c>
      <c r="B146">
        <v>1120</v>
      </c>
      <c r="C146" t="s">
        <v>3</v>
      </c>
      <c r="U146" s="1">
        <v>40148</v>
      </c>
      <c r="V146">
        <v>71676</v>
      </c>
      <c r="W146" t="s">
        <v>15</v>
      </c>
      <c r="AI146" s="1">
        <v>40330</v>
      </c>
      <c r="AJ146">
        <v>14699</v>
      </c>
      <c r="AK146" t="s">
        <v>24</v>
      </c>
      <c r="AW146" s="1">
        <v>40330</v>
      </c>
      <c r="AX146">
        <v>26297</v>
      </c>
      <c r="AY146" t="s">
        <v>22</v>
      </c>
    </row>
    <row r="147" spans="1:51" x14ac:dyDescent="0.25">
      <c r="A147" s="1">
        <v>40391</v>
      </c>
      <c r="B147">
        <v>16488</v>
      </c>
      <c r="C147" t="s">
        <v>4</v>
      </c>
      <c r="U147" s="1">
        <v>40148</v>
      </c>
      <c r="V147">
        <v>42345</v>
      </c>
      <c r="W147" t="s">
        <v>16</v>
      </c>
      <c r="AI147" s="1">
        <v>40360</v>
      </c>
      <c r="AJ147">
        <v>15205</v>
      </c>
      <c r="AK147" t="s">
        <v>25</v>
      </c>
      <c r="AW147" s="1">
        <v>40360</v>
      </c>
      <c r="AX147">
        <v>16373</v>
      </c>
      <c r="AY147" t="s">
        <v>24</v>
      </c>
    </row>
    <row r="148" spans="1:51" x14ac:dyDescent="0.25">
      <c r="A148" s="1">
        <v>40391</v>
      </c>
      <c r="B148">
        <v>20121</v>
      </c>
      <c r="C148" t="s">
        <v>5</v>
      </c>
      <c r="U148" s="1">
        <v>40148</v>
      </c>
      <c r="V148">
        <v>12795</v>
      </c>
      <c r="W148" t="s">
        <v>14</v>
      </c>
      <c r="AI148" s="1">
        <v>40360</v>
      </c>
      <c r="AJ148">
        <v>11907</v>
      </c>
      <c r="AK148" t="s">
        <v>24</v>
      </c>
      <c r="AW148" s="1">
        <v>40360</v>
      </c>
      <c r="AX148">
        <v>17093</v>
      </c>
      <c r="AY148" t="s">
        <v>25</v>
      </c>
    </row>
    <row r="149" spans="1:51" x14ac:dyDescent="0.25">
      <c r="A149" s="1">
        <v>40391</v>
      </c>
      <c r="B149">
        <v>48810</v>
      </c>
      <c r="C149" t="s">
        <v>2</v>
      </c>
      <c r="U149" s="1">
        <v>40179</v>
      </c>
      <c r="V149">
        <v>57979</v>
      </c>
      <c r="W149" t="s">
        <v>15</v>
      </c>
      <c r="AI149" s="1">
        <v>40360</v>
      </c>
      <c r="AJ149">
        <v>51493</v>
      </c>
      <c r="AK149" t="s">
        <v>22</v>
      </c>
      <c r="AW149" s="1">
        <v>40360</v>
      </c>
      <c r="AX149">
        <v>29344</v>
      </c>
      <c r="AY149" t="s">
        <v>22</v>
      </c>
    </row>
    <row r="150" spans="1:51" x14ac:dyDescent="0.25">
      <c r="A150" s="1">
        <v>40422</v>
      </c>
      <c r="B150">
        <v>326</v>
      </c>
      <c r="C150" t="s">
        <v>3</v>
      </c>
      <c r="U150" s="1">
        <v>40179</v>
      </c>
      <c r="V150">
        <v>29955</v>
      </c>
      <c r="W150" t="s">
        <v>16</v>
      </c>
      <c r="AI150" s="1">
        <v>40391</v>
      </c>
      <c r="AJ150">
        <v>55048</v>
      </c>
      <c r="AK150" t="s">
        <v>22</v>
      </c>
      <c r="AW150" s="1">
        <v>40391</v>
      </c>
      <c r="AX150">
        <v>36104</v>
      </c>
      <c r="AY150" t="s">
        <v>22</v>
      </c>
    </row>
    <row r="151" spans="1:51" x14ac:dyDescent="0.25">
      <c r="A151" s="1">
        <v>40422</v>
      </c>
      <c r="B151">
        <v>24337</v>
      </c>
      <c r="C151" t="s">
        <v>4</v>
      </c>
      <c r="U151" s="1">
        <v>40179</v>
      </c>
      <c r="V151">
        <v>12696</v>
      </c>
      <c r="W151" t="s">
        <v>14</v>
      </c>
      <c r="AI151" s="1">
        <v>40391</v>
      </c>
      <c r="AJ151">
        <v>21345</v>
      </c>
      <c r="AK151" t="s">
        <v>25</v>
      </c>
      <c r="AW151" s="1">
        <v>40391</v>
      </c>
      <c r="AX151">
        <v>19377</v>
      </c>
      <c r="AY151" t="s">
        <v>25</v>
      </c>
    </row>
    <row r="152" spans="1:51" x14ac:dyDescent="0.25">
      <c r="A152" s="1">
        <v>40422</v>
      </c>
      <c r="B152">
        <v>38354</v>
      </c>
      <c r="C152" t="s">
        <v>5</v>
      </c>
      <c r="U152" s="1">
        <v>40210</v>
      </c>
      <c r="V152">
        <v>64815</v>
      </c>
      <c r="W152" t="s">
        <v>15</v>
      </c>
      <c r="AI152" s="1">
        <v>40391</v>
      </c>
      <c r="AJ152">
        <v>16456</v>
      </c>
      <c r="AK152" t="s">
        <v>24</v>
      </c>
      <c r="AW152" s="1">
        <v>40391</v>
      </c>
      <c r="AX152">
        <v>22123</v>
      </c>
      <c r="AY152" t="s">
        <v>24</v>
      </c>
    </row>
    <row r="153" spans="1:51" x14ac:dyDescent="0.25">
      <c r="A153" s="1">
        <v>40422</v>
      </c>
      <c r="B153">
        <v>42017</v>
      </c>
      <c r="C153" t="s">
        <v>2</v>
      </c>
      <c r="U153" s="1">
        <v>40210</v>
      </c>
      <c r="V153">
        <v>27636</v>
      </c>
      <c r="W153" t="s">
        <v>16</v>
      </c>
      <c r="AI153" s="1">
        <v>40422</v>
      </c>
      <c r="AJ153">
        <v>28168</v>
      </c>
      <c r="AK153" t="s">
        <v>25</v>
      </c>
      <c r="AW153" s="1">
        <v>40422</v>
      </c>
      <c r="AX153">
        <v>28611</v>
      </c>
      <c r="AY153" t="s">
        <v>22</v>
      </c>
    </row>
    <row r="154" spans="1:51" x14ac:dyDescent="0.25">
      <c r="A154" s="1">
        <v>40452</v>
      </c>
      <c r="B154">
        <v>3</v>
      </c>
      <c r="C154" t="s">
        <v>3</v>
      </c>
      <c r="U154" s="1">
        <v>40210</v>
      </c>
      <c r="V154">
        <v>13514</v>
      </c>
      <c r="W154" t="s">
        <v>14</v>
      </c>
      <c r="AI154" s="1">
        <v>40422</v>
      </c>
      <c r="AJ154">
        <v>22322</v>
      </c>
      <c r="AK154" t="s">
        <v>24</v>
      </c>
      <c r="AW154" s="1">
        <v>40422</v>
      </c>
      <c r="AX154">
        <v>34966</v>
      </c>
      <c r="AY154" t="s">
        <v>24</v>
      </c>
    </row>
    <row r="155" spans="1:51" x14ac:dyDescent="0.25">
      <c r="A155" s="1">
        <v>40452</v>
      </c>
      <c r="B155">
        <v>29103</v>
      </c>
      <c r="C155" t="s">
        <v>4</v>
      </c>
      <c r="U155" s="1">
        <v>40238</v>
      </c>
      <c r="V155">
        <v>61902</v>
      </c>
      <c r="W155" t="s">
        <v>15</v>
      </c>
      <c r="AI155" s="1">
        <v>40422</v>
      </c>
      <c r="AJ155">
        <v>40328</v>
      </c>
      <c r="AK155" t="s">
        <v>22</v>
      </c>
      <c r="AW155" s="1">
        <v>40422</v>
      </c>
      <c r="AX155">
        <v>25614</v>
      </c>
      <c r="AY155" t="s">
        <v>25</v>
      </c>
    </row>
    <row r="156" spans="1:51" x14ac:dyDescent="0.25">
      <c r="A156" s="1">
        <v>40452</v>
      </c>
      <c r="B156">
        <v>36203</v>
      </c>
      <c r="C156" t="s">
        <v>5</v>
      </c>
      <c r="U156" s="1">
        <v>40238</v>
      </c>
      <c r="V156">
        <v>30875</v>
      </c>
      <c r="W156" t="s">
        <v>16</v>
      </c>
      <c r="AI156" s="1">
        <v>40452</v>
      </c>
      <c r="AJ156">
        <v>33340</v>
      </c>
      <c r="AK156" t="s">
        <v>25</v>
      </c>
      <c r="AW156" s="1">
        <v>40452</v>
      </c>
      <c r="AX156">
        <v>35899</v>
      </c>
      <c r="AY156" t="s">
        <v>25</v>
      </c>
    </row>
    <row r="157" spans="1:51" x14ac:dyDescent="0.25">
      <c r="A157" s="1">
        <v>40452</v>
      </c>
      <c r="B157">
        <v>39705</v>
      </c>
      <c r="C157" t="s">
        <v>2</v>
      </c>
      <c r="U157" s="1">
        <v>40238</v>
      </c>
      <c r="V157">
        <v>11773</v>
      </c>
      <c r="W157" t="s">
        <v>14</v>
      </c>
      <c r="AI157" s="1">
        <v>40452</v>
      </c>
      <c r="AJ157">
        <v>30002</v>
      </c>
      <c r="AK157" t="s">
        <v>24</v>
      </c>
      <c r="AW157" s="1">
        <v>40452</v>
      </c>
      <c r="AX157">
        <v>34726</v>
      </c>
      <c r="AY157" t="s">
        <v>22</v>
      </c>
    </row>
    <row r="158" spans="1:51" x14ac:dyDescent="0.25">
      <c r="A158" s="1">
        <v>40483</v>
      </c>
      <c r="B158">
        <v>24</v>
      </c>
      <c r="C158" t="s">
        <v>3</v>
      </c>
      <c r="U158" s="1">
        <v>40269</v>
      </c>
      <c r="V158">
        <v>37869</v>
      </c>
      <c r="W158" t="s">
        <v>15</v>
      </c>
      <c r="AI158" s="1">
        <v>40452</v>
      </c>
      <c r="AJ158">
        <v>41549</v>
      </c>
      <c r="AK158" t="s">
        <v>22</v>
      </c>
      <c r="AW158" s="1">
        <v>40452</v>
      </c>
      <c r="AX158">
        <v>54825</v>
      </c>
      <c r="AY158" t="s">
        <v>24</v>
      </c>
    </row>
    <row r="159" spans="1:51" x14ac:dyDescent="0.25">
      <c r="A159" s="1">
        <v>40483</v>
      </c>
      <c r="B159">
        <v>28907</v>
      </c>
      <c r="C159" t="s">
        <v>4</v>
      </c>
      <c r="U159" s="1">
        <v>40269</v>
      </c>
      <c r="V159">
        <v>23058</v>
      </c>
      <c r="W159" t="s">
        <v>16</v>
      </c>
      <c r="AI159" s="1">
        <v>40483</v>
      </c>
      <c r="AJ159">
        <v>37450</v>
      </c>
      <c r="AK159" t="s">
        <v>22</v>
      </c>
      <c r="AW159" s="1">
        <v>40483</v>
      </c>
      <c r="AX159">
        <v>65313</v>
      </c>
      <c r="AY159" t="s">
        <v>24</v>
      </c>
    </row>
    <row r="160" spans="1:51" x14ac:dyDescent="0.25">
      <c r="A160" s="1">
        <v>40483</v>
      </c>
      <c r="B160">
        <v>39308</v>
      </c>
      <c r="C160" t="s">
        <v>5</v>
      </c>
      <c r="U160" s="1">
        <v>40269</v>
      </c>
      <c r="V160">
        <v>10346</v>
      </c>
      <c r="W160" t="s">
        <v>14</v>
      </c>
      <c r="AI160" s="1">
        <v>40483</v>
      </c>
      <c r="AJ160">
        <v>30869</v>
      </c>
      <c r="AK160" t="s">
        <v>24</v>
      </c>
      <c r="AW160" s="1">
        <v>40483</v>
      </c>
      <c r="AX160">
        <v>39955</v>
      </c>
      <c r="AY160" t="s">
        <v>25</v>
      </c>
    </row>
    <row r="161" spans="1:51" x14ac:dyDescent="0.25">
      <c r="A161" s="1">
        <v>40483</v>
      </c>
      <c r="B161">
        <v>35585</v>
      </c>
      <c r="C161" t="s">
        <v>2</v>
      </c>
      <c r="U161" s="1">
        <v>40299</v>
      </c>
      <c r="V161">
        <v>40562</v>
      </c>
      <c r="W161" t="s">
        <v>15</v>
      </c>
      <c r="AI161" s="1">
        <v>40483</v>
      </c>
      <c r="AJ161">
        <v>38106</v>
      </c>
      <c r="AK161" t="s">
        <v>25</v>
      </c>
      <c r="AW161" s="1">
        <v>40483</v>
      </c>
      <c r="AX161">
        <v>34796</v>
      </c>
      <c r="AY161" t="s">
        <v>22</v>
      </c>
    </row>
    <row r="162" spans="1:51" x14ac:dyDescent="0.25">
      <c r="A162" s="1">
        <v>40513</v>
      </c>
      <c r="B162">
        <v>3</v>
      </c>
      <c r="C162" t="s">
        <v>3</v>
      </c>
      <c r="U162" s="1">
        <v>40299</v>
      </c>
      <c r="V162">
        <v>30710</v>
      </c>
      <c r="W162" t="s">
        <v>16</v>
      </c>
      <c r="AI162" s="1">
        <v>40513</v>
      </c>
      <c r="AJ162">
        <v>38964</v>
      </c>
      <c r="AK162" t="s">
        <v>22</v>
      </c>
      <c r="AW162" s="1">
        <v>40513</v>
      </c>
      <c r="AX162">
        <v>32088</v>
      </c>
      <c r="AY162" t="s">
        <v>22</v>
      </c>
    </row>
    <row r="163" spans="1:51" x14ac:dyDescent="0.25">
      <c r="A163" s="1">
        <v>40513</v>
      </c>
      <c r="B163">
        <v>29330</v>
      </c>
      <c r="C163" t="s">
        <v>4</v>
      </c>
      <c r="U163" s="1">
        <v>40299</v>
      </c>
      <c r="V163">
        <v>9171</v>
      </c>
      <c r="W163" t="s">
        <v>14</v>
      </c>
      <c r="AI163" s="1">
        <v>40513</v>
      </c>
      <c r="AJ163">
        <v>43237</v>
      </c>
      <c r="AK163" t="s">
        <v>25</v>
      </c>
      <c r="AW163" s="1">
        <v>40513</v>
      </c>
      <c r="AX163">
        <v>43745</v>
      </c>
      <c r="AY163" t="s">
        <v>25</v>
      </c>
    </row>
    <row r="164" spans="1:51" x14ac:dyDescent="0.25">
      <c r="A164" s="1">
        <v>40513</v>
      </c>
      <c r="B164">
        <v>45723</v>
      </c>
      <c r="C164" t="s">
        <v>5</v>
      </c>
      <c r="U164" s="1">
        <v>40330</v>
      </c>
      <c r="V164">
        <v>40799</v>
      </c>
      <c r="W164" t="s">
        <v>15</v>
      </c>
      <c r="AI164" s="1">
        <v>40513</v>
      </c>
      <c r="AJ164">
        <v>34888</v>
      </c>
      <c r="AK164" t="s">
        <v>24</v>
      </c>
      <c r="AW164" s="1">
        <v>40513</v>
      </c>
      <c r="AX164">
        <v>68437</v>
      </c>
      <c r="AY164" t="s">
        <v>24</v>
      </c>
    </row>
    <row r="165" spans="1:51" x14ac:dyDescent="0.25">
      <c r="A165" s="1">
        <v>40513</v>
      </c>
      <c r="B165">
        <v>33399</v>
      </c>
      <c r="C165" t="s">
        <v>2</v>
      </c>
      <c r="U165" s="1">
        <v>40330</v>
      </c>
      <c r="V165">
        <v>38377</v>
      </c>
      <c r="W165" t="s">
        <v>16</v>
      </c>
      <c r="AI165" s="1">
        <v>40544</v>
      </c>
      <c r="AJ165">
        <v>33215</v>
      </c>
      <c r="AK165" t="s">
        <v>24</v>
      </c>
      <c r="AW165" s="1">
        <v>40544</v>
      </c>
      <c r="AX165">
        <v>31798</v>
      </c>
      <c r="AY165" t="s">
        <v>22</v>
      </c>
    </row>
    <row r="166" spans="1:51" x14ac:dyDescent="0.25">
      <c r="A166" s="1">
        <v>40544</v>
      </c>
      <c r="B166">
        <v>36053</v>
      </c>
      <c r="C166" t="s">
        <v>4</v>
      </c>
      <c r="U166" s="1">
        <v>40330</v>
      </c>
      <c r="V166">
        <v>10433</v>
      </c>
      <c r="W166" t="s">
        <v>14</v>
      </c>
      <c r="AI166" s="1">
        <v>40544</v>
      </c>
      <c r="AJ166">
        <v>36931</v>
      </c>
      <c r="AK166" t="s">
        <v>22</v>
      </c>
      <c r="AW166" s="1">
        <v>40544</v>
      </c>
      <c r="AX166">
        <v>44688</v>
      </c>
      <c r="AY166" t="s">
        <v>25</v>
      </c>
    </row>
    <row r="167" spans="1:51" x14ac:dyDescent="0.25">
      <c r="A167" s="1">
        <v>40544</v>
      </c>
      <c r="B167">
        <v>31180</v>
      </c>
      <c r="C167" t="s">
        <v>5</v>
      </c>
      <c r="U167" s="1">
        <v>40360</v>
      </c>
      <c r="V167">
        <v>37795</v>
      </c>
      <c r="W167" t="s">
        <v>15</v>
      </c>
      <c r="AI167" s="1">
        <v>40544</v>
      </c>
      <c r="AJ167">
        <v>44477</v>
      </c>
      <c r="AK167" t="s">
        <v>25</v>
      </c>
      <c r="AW167" s="1">
        <v>40544</v>
      </c>
      <c r="AX167">
        <v>71391</v>
      </c>
      <c r="AY167" t="s">
        <v>24</v>
      </c>
    </row>
    <row r="168" spans="1:51" x14ac:dyDescent="0.25">
      <c r="A168" s="1">
        <v>40544</v>
      </c>
      <c r="B168">
        <v>40868</v>
      </c>
      <c r="C168" t="s">
        <v>2</v>
      </c>
      <c r="U168" s="1">
        <v>40360</v>
      </c>
      <c r="V168">
        <v>36953</v>
      </c>
      <c r="W168" t="s">
        <v>16</v>
      </c>
      <c r="AI168" s="1">
        <v>40575</v>
      </c>
      <c r="AJ168">
        <v>37322</v>
      </c>
      <c r="AK168" t="s">
        <v>25</v>
      </c>
      <c r="AW168" s="1">
        <v>40575</v>
      </c>
      <c r="AX168">
        <v>61672</v>
      </c>
      <c r="AY168" t="s">
        <v>24</v>
      </c>
    </row>
    <row r="169" spans="1:51" x14ac:dyDescent="0.25">
      <c r="A169" s="1">
        <v>40575</v>
      </c>
      <c r="B169">
        <v>150</v>
      </c>
      <c r="C169" t="s">
        <v>3</v>
      </c>
      <c r="U169" s="1">
        <v>40360</v>
      </c>
      <c r="V169">
        <v>9017</v>
      </c>
      <c r="W169" t="s">
        <v>14</v>
      </c>
      <c r="AI169" s="1">
        <v>40575</v>
      </c>
      <c r="AJ169">
        <v>30768</v>
      </c>
      <c r="AK169" t="s">
        <v>24</v>
      </c>
      <c r="AW169" s="1">
        <v>40575</v>
      </c>
      <c r="AX169">
        <v>43163</v>
      </c>
      <c r="AY169" t="s">
        <v>25</v>
      </c>
    </row>
    <row r="170" spans="1:51" x14ac:dyDescent="0.25">
      <c r="A170" s="1">
        <v>40575</v>
      </c>
      <c r="B170">
        <v>24920</v>
      </c>
      <c r="C170" t="s">
        <v>4</v>
      </c>
      <c r="U170" s="1">
        <v>40391</v>
      </c>
      <c r="V170">
        <v>44543</v>
      </c>
      <c r="W170" t="s">
        <v>15</v>
      </c>
      <c r="AI170" s="1">
        <v>40575</v>
      </c>
      <c r="AJ170">
        <v>41383</v>
      </c>
      <c r="AK170" t="s">
        <v>22</v>
      </c>
      <c r="AW170" s="1">
        <v>40575</v>
      </c>
      <c r="AX170">
        <v>32165</v>
      </c>
      <c r="AY170" t="s">
        <v>22</v>
      </c>
    </row>
    <row r="171" spans="1:51" x14ac:dyDescent="0.25">
      <c r="A171" s="1">
        <v>40575</v>
      </c>
      <c r="B171">
        <v>36604</v>
      </c>
      <c r="C171" t="s">
        <v>5</v>
      </c>
      <c r="U171" s="1">
        <v>40391</v>
      </c>
      <c r="V171">
        <v>32778</v>
      </c>
      <c r="W171" t="s">
        <v>16</v>
      </c>
      <c r="AI171" s="1">
        <v>40603</v>
      </c>
      <c r="AJ171">
        <v>32289</v>
      </c>
      <c r="AK171" t="s">
        <v>25</v>
      </c>
      <c r="AW171" s="1">
        <v>40603</v>
      </c>
      <c r="AX171">
        <v>39380</v>
      </c>
      <c r="AY171" t="s">
        <v>24</v>
      </c>
    </row>
    <row r="172" spans="1:51" x14ac:dyDescent="0.25">
      <c r="A172" s="1">
        <v>40575</v>
      </c>
      <c r="B172">
        <v>38825</v>
      </c>
      <c r="C172" t="s">
        <v>2</v>
      </c>
      <c r="U172" s="1">
        <v>40391</v>
      </c>
      <c r="V172">
        <v>9218</v>
      </c>
      <c r="W172" t="s">
        <v>14</v>
      </c>
      <c r="AI172" s="1">
        <v>40603</v>
      </c>
      <c r="AJ172">
        <v>20081</v>
      </c>
      <c r="AK172" t="s">
        <v>24</v>
      </c>
      <c r="AW172" s="1">
        <v>40603</v>
      </c>
      <c r="AX172">
        <v>37615</v>
      </c>
      <c r="AY172" t="s">
        <v>25</v>
      </c>
    </row>
    <row r="173" spans="1:51" x14ac:dyDescent="0.25">
      <c r="A173" s="1">
        <v>40603</v>
      </c>
      <c r="B173">
        <v>2646</v>
      </c>
      <c r="C173" t="s">
        <v>3</v>
      </c>
      <c r="U173" s="1">
        <v>40422</v>
      </c>
      <c r="V173">
        <v>63945</v>
      </c>
      <c r="W173" t="s">
        <v>15</v>
      </c>
      <c r="AI173" s="1">
        <v>40603</v>
      </c>
      <c r="AJ173">
        <v>32412</v>
      </c>
      <c r="AK173" t="s">
        <v>22</v>
      </c>
      <c r="AW173" s="1">
        <v>40603</v>
      </c>
      <c r="AX173">
        <v>20587</v>
      </c>
      <c r="AY173" t="s">
        <v>22</v>
      </c>
    </row>
    <row r="174" spans="1:51" x14ac:dyDescent="0.25">
      <c r="A174" s="1">
        <v>40603</v>
      </c>
      <c r="B174">
        <v>11405</v>
      </c>
      <c r="C174" t="s">
        <v>4</v>
      </c>
      <c r="U174" s="1">
        <v>40422</v>
      </c>
      <c r="V174">
        <v>25077</v>
      </c>
      <c r="W174" t="s">
        <v>16</v>
      </c>
      <c r="AI174" s="1">
        <v>40634</v>
      </c>
      <c r="AJ174">
        <v>22609</v>
      </c>
      <c r="AK174" t="s">
        <v>22</v>
      </c>
      <c r="AW174" s="1">
        <v>40634</v>
      </c>
      <c r="AX174">
        <v>28893</v>
      </c>
      <c r="AY174" t="s">
        <v>24</v>
      </c>
    </row>
    <row r="175" spans="1:51" x14ac:dyDescent="0.25">
      <c r="A175" s="1">
        <v>40603</v>
      </c>
      <c r="B175">
        <v>19980</v>
      </c>
      <c r="C175" t="s">
        <v>5</v>
      </c>
      <c r="U175" s="1">
        <v>40422</v>
      </c>
      <c r="V175">
        <v>16012</v>
      </c>
      <c r="W175" t="s">
        <v>14</v>
      </c>
      <c r="AI175" s="1">
        <v>40634</v>
      </c>
      <c r="AJ175">
        <v>10793</v>
      </c>
      <c r="AK175" t="s">
        <v>24</v>
      </c>
      <c r="AW175" s="1">
        <v>40634</v>
      </c>
      <c r="AX175">
        <v>30023</v>
      </c>
      <c r="AY175" t="s">
        <v>25</v>
      </c>
    </row>
    <row r="176" spans="1:51" x14ac:dyDescent="0.25">
      <c r="A176" s="1">
        <v>40603</v>
      </c>
      <c r="B176">
        <v>29596</v>
      </c>
      <c r="C176" t="s">
        <v>2</v>
      </c>
      <c r="U176" s="1">
        <v>40452</v>
      </c>
      <c r="V176">
        <v>69234</v>
      </c>
      <c r="W176" t="s">
        <v>15</v>
      </c>
      <c r="AI176" s="1">
        <v>40634</v>
      </c>
      <c r="AJ176">
        <v>21224</v>
      </c>
      <c r="AK176" t="s">
        <v>25</v>
      </c>
      <c r="AW176" s="1">
        <v>40634</v>
      </c>
      <c r="AX176">
        <v>22676</v>
      </c>
      <c r="AY176" t="s">
        <v>22</v>
      </c>
    </row>
    <row r="177" spans="1:51" x14ac:dyDescent="0.25">
      <c r="A177" s="1">
        <v>40634</v>
      </c>
      <c r="B177">
        <v>10</v>
      </c>
      <c r="C177" t="s">
        <v>3</v>
      </c>
      <c r="U177" s="1">
        <v>40452</v>
      </c>
      <c r="V177">
        <v>21824</v>
      </c>
      <c r="W177" t="s">
        <v>16</v>
      </c>
      <c r="AI177" s="1">
        <v>40664</v>
      </c>
      <c r="AJ177">
        <v>29809</v>
      </c>
      <c r="AK177" t="s">
        <v>22</v>
      </c>
      <c r="AW177" s="1">
        <v>40664</v>
      </c>
      <c r="AX177">
        <v>27054</v>
      </c>
      <c r="AY177" t="s">
        <v>22</v>
      </c>
    </row>
    <row r="178" spans="1:51" x14ac:dyDescent="0.25">
      <c r="A178" s="1">
        <v>40634</v>
      </c>
      <c r="B178">
        <v>9549</v>
      </c>
      <c r="C178" t="s">
        <v>4</v>
      </c>
      <c r="U178" s="1">
        <v>40452</v>
      </c>
      <c r="V178">
        <v>13956</v>
      </c>
      <c r="W178" t="s">
        <v>14</v>
      </c>
      <c r="AI178" s="1">
        <v>40664</v>
      </c>
      <c r="AJ178">
        <v>14491</v>
      </c>
      <c r="AK178" t="s">
        <v>25</v>
      </c>
      <c r="AW178" s="1">
        <v>40664</v>
      </c>
      <c r="AX178">
        <v>30663</v>
      </c>
      <c r="AY178" t="s">
        <v>25</v>
      </c>
    </row>
    <row r="179" spans="1:51" x14ac:dyDescent="0.25">
      <c r="A179" s="1">
        <v>40634</v>
      </c>
      <c r="B179">
        <v>18800</v>
      </c>
      <c r="C179" t="s">
        <v>5</v>
      </c>
      <c r="U179" s="1">
        <v>40483</v>
      </c>
      <c r="V179">
        <v>68606</v>
      </c>
      <c r="W179" t="s">
        <v>15</v>
      </c>
      <c r="AI179" s="1">
        <v>40664</v>
      </c>
      <c r="AJ179">
        <v>9553</v>
      </c>
      <c r="AK179" t="s">
        <v>24</v>
      </c>
      <c r="AW179" s="1">
        <v>40664</v>
      </c>
      <c r="AX179">
        <v>23356</v>
      </c>
      <c r="AY179" t="s">
        <v>24</v>
      </c>
    </row>
    <row r="180" spans="1:51" x14ac:dyDescent="0.25">
      <c r="A180" s="1">
        <v>40634</v>
      </c>
      <c r="B180">
        <v>24320</v>
      </c>
      <c r="C180" t="s">
        <v>2</v>
      </c>
      <c r="U180" s="1">
        <v>40483</v>
      </c>
      <c r="V180">
        <v>19204</v>
      </c>
      <c r="W180" t="s">
        <v>16</v>
      </c>
      <c r="AI180" s="1">
        <v>40695</v>
      </c>
      <c r="AJ180">
        <v>7592</v>
      </c>
      <c r="AK180" t="s">
        <v>24</v>
      </c>
      <c r="AW180" s="1">
        <v>40695</v>
      </c>
      <c r="AX180">
        <v>26124</v>
      </c>
      <c r="AY180" t="s">
        <v>22</v>
      </c>
    </row>
    <row r="181" spans="1:51" x14ac:dyDescent="0.25">
      <c r="A181" s="1">
        <v>40664</v>
      </c>
      <c r="B181">
        <v>7249</v>
      </c>
      <c r="C181" t="s">
        <v>4</v>
      </c>
      <c r="U181" s="1">
        <v>40483</v>
      </c>
      <c r="V181">
        <v>16014</v>
      </c>
      <c r="W181" t="s">
        <v>14</v>
      </c>
      <c r="AI181" s="1">
        <v>40695</v>
      </c>
      <c r="AJ181">
        <v>30453</v>
      </c>
      <c r="AK181" t="s">
        <v>22</v>
      </c>
      <c r="AW181" s="1">
        <v>40695</v>
      </c>
      <c r="AX181">
        <v>16989</v>
      </c>
      <c r="AY181" t="s">
        <v>24</v>
      </c>
    </row>
    <row r="182" spans="1:51" x14ac:dyDescent="0.25">
      <c r="A182" s="1">
        <v>40664</v>
      </c>
      <c r="B182">
        <v>12820</v>
      </c>
      <c r="C182" t="s">
        <v>5</v>
      </c>
      <c r="U182" s="1">
        <v>40513</v>
      </c>
      <c r="V182">
        <v>73157</v>
      </c>
      <c r="W182" t="s">
        <v>15</v>
      </c>
      <c r="AI182" s="1">
        <v>40695</v>
      </c>
      <c r="AJ182">
        <v>13261</v>
      </c>
      <c r="AK182" t="s">
        <v>25</v>
      </c>
      <c r="AW182" s="1">
        <v>40695</v>
      </c>
      <c r="AX182">
        <v>26665</v>
      </c>
      <c r="AY182" t="s">
        <v>25</v>
      </c>
    </row>
    <row r="183" spans="1:51" x14ac:dyDescent="0.25">
      <c r="A183" s="1">
        <v>40664</v>
      </c>
      <c r="B183">
        <v>26412</v>
      </c>
      <c r="C183" t="s">
        <v>2</v>
      </c>
      <c r="U183" s="1">
        <v>40513</v>
      </c>
      <c r="V183">
        <v>17561</v>
      </c>
      <c r="W183" t="s">
        <v>16</v>
      </c>
      <c r="AI183" s="1">
        <v>40725</v>
      </c>
      <c r="AJ183">
        <v>11117</v>
      </c>
      <c r="AK183" t="s">
        <v>25</v>
      </c>
      <c r="AW183" s="1">
        <v>40725</v>
      </c>
      <c r="AX183">
        <v>24085</v>
      </c>
      <c r="AY183" t="s">
        <v>25</v>
      </c>
    </row>
    <row r="184" spans="1:51" x14ac:dyDescent="0.25">
      <c r="A184" s="1">
        <v>40695</v>
      </c>
      <c r="B184">
        <v>7079</v>
      </c>
      <c r="C184" t="s">
        <v>4</v>
      </c>
      <c r="U184" s="1">
        <v>40513</v>
      </c>
      <c r="V184">
        <v>17737</v>
      </c>
      <c r="W184" t="s">
        <v>14</v>
      </c>
      <c r="AI184" s="1">
        <v>40725</v>
      </c>
      <c r="AJ184">
        <v>6380</v>
      </c>
      <c r="AK184" t="s">
        <v>24</v>
      </c>
      <c r="AW184" s="1">
        <v>40725</v>
      </c>
      <c r="AX184">
        <v>30974</v>
      </c>
      <c r="AY184" t="s">
        <v>22</v>
      </c>
    </row>
    <row r="185" spans="1:51" x14ac:dyDescent="0.25">
      <c r="A185" s="1">
        <v>40695</v>
      </c>
      <c r="B185">
        <v>12588</v>
      </c>
      <c r="C185" t="s">
        <v>5</v>
      </c>
      <c r="U185" s="1">
        <v>40544</v>
      </c>
      <c r="V185">
        <v>71333</v>
      </c>
      <c r="W185" t="s">
        <v>15</v>
      </c>
      <c r="AI185" s="1">
        <v>40725</v>
      </c>
      <c r="AJ185">
        <v>31433</v>
      </c>
      <c r="AK185" t="s">
        <v>22</v>
      </c>
      <c r="AW185" s="1">
        <v>40725</v>
      </c>
      <c r="AX185">
        <v>15387</v>
      </c>
      <c r="AY185" t="s">
        <v>24</v>
      </c>
    </row>
    <row r="186" spans="1:51" x14ac:dyDescent="0.25">
      <c r="A186" s="1">
        <v>40695</v>
      </c>
      <c r="B186">
        <v>32058</v>
      </c>
      <c r="C186" t="s">
        <v>2</v>
      </c>
      <c r="U186" s="1">
        <v>40544</v>
      </c>
      <c r="V186">
        <v>21831</v>
      </c>
      <c r="W186" t="s">
        <v>16</v>
      </c>
      <c r="AI186" s="1">
        <v>40756</v>
      </c>
      <c r="AJ186">
        <v>12492</v>
      </c>
      <c r="AK186" t="s">
        <v>25</v>
      </c>
      <c r="AW186" s="1">
        <v>40756</v>
      </c>
      <c r="AX186">
        <v>16908</v>
      </c>
      <c r="AY186" t="s">
        <v>24</v>
      </c>
    </row>
    <row r="187" spans="1:51" x14ac:dyDescent="0.25">
      <c r="A187" s="1">
        <v>40725</v>
      </c>
      <c r="B187">
        <v>5161</v>
      </c>
      <c r="C187" t="s">
        <v>4</v>
      </c>
      <c r="U187" s="1">
        <v>40544</v>
      </c>
      <c r="V187">
        <v>14937</v>
      </c>
      <c r="W187" t="s">
        <v>14</v>
      </c>
      <c r="AI187" s="1">
        <v>40756</v>
      </c>
      <c r="AJ187">
        <v>8952</v>
      </c>
      <c r="AK187" t="s">
        <v>24</v>
      </c>
      <c r="AW187" s="1">
        <v>40756</v>
      </c>
      <c r="AX187">
        <v>26981</v>
      </c>
      <c r="AY187" t="s">
        <v>25</v>
      </c>
    </row>
    <row r="188" spans="1:51" x14ac:dyDescent="0.25">
      <c r="A188" s="1">
        <v>40725</v>
      </c>
      <c r="B188">
        <v>11579</v>
      </c>
      <c r="C188" t="s">
        <v>5</v>
      </c>
      <c r="U188" s="1">
        <v>40575</v>
      </c>
      <c r="V188">
        <v>61002</v>
      </c>
      <c r="W188" t="s">
        <v>15</v>
      </c>
      <c r="AI188" s="1">
        <v>40756</v>
      </c>
      <c r="AJ188">
        <v>41640</v>
      </c>
      <c r="AK188" t="s">
        <v>22</v>
      </c>
      <c r="AW188" s="1">
        <v>40756</v>
      </c>
      <c r="AX188">
        <v>35877</v>
      </c>
      <c r="AY188" t="s">
        <v>22</v>
      </c>
    </row>
    <row r="189" spans="1:51" x14ac:dyDescent="0.25">
      <c r="A189" s="1">
        <v>40725</v>
      </c>
      <c r="B189">
        <v>25325</v>
      </c>
      <c r="C189" t="s">
        <v>2</v>
      </c>
      <c r="U189" s="1">
        <v>40575</v>
      </c>
      <c r="V189">
        <v>22007</v>
      </c>
      <c r="W189" t="s">
        <v>16</v>
      </c>
      <c r="AI189" s="1">
        <v>40787</v>
      </c>
      <c r="AJ189">
        <v>37088</v>
      </c>
      <c r="AK189" t="s">
        <v>22</v>
      </c>
      <c r="AW189" s="1">
        <v>40787</v>
      </c>
      <c r="AX189">
        <v>18583</v>
      </c>
      <c r="AY189" t="s">
        <v>24</v>
      </c>
    </row>
    <row r="190" spans="1:51" x14ac:dyDescent="0.25">
      <c r="A190" s="1">
        <v>40756</v>
      </c>
      <c r="B190">
        <v>8995</v>
      </c>
      <c r="C190" t="s">
        <v>4</v>
      </c>
      <c r="U190" s="1">
        <v>40575</v>
      </c>
      <c r="V190">
        <v>17490</v>
      </c>
      <c r="W190" t="s">
        <v>14</v>
      </c>
      <c r="AI190" s="1">
        <v>40787</v>
      </c>
      <c r="AJ190">
        <v>14123</v>
      </c>
      <c r="AK190" t="s">
        <v>25</v>
      </c>
      <c r="AW190" s="1">
        <v>40787</v>
      </c>
      <c r="AX190">
        <v>34579</v>
      </c>
      <c r="AY190" t="s">
        <v>22</v>
      </c>
    </row>
    <row r="191" spans="1:51" x14ac:dyDescent="0.25">
      <c r="A191" s="1">
        <v>40756</v>
      </c>
      <c r="B191">
        <v>13279</v>
      </c>
      <c r="C191" t="s">
        <v>5</v>
      </c>
      <c r="U191" s="1">
        <v>40603</v>
      </c>
      <c r="V191">
        <v>36850</v>
      </c>
      <c r="W191" t="s">
        <v>15</v>
      </c>
      <c r="AI191" s="1">
        <v>40787</v>
      </c>
      <c r="AJ191">
        <v>9875</v>
      </c>
      <c r="AK191" t="s">
        <v>24</v>
      </c>
      <c r="AW191" s="1">
        <v>40787</v>
      </c>
      <c r="AX191">
        <v>26476</v>
      </c>
      <c r="AY191" t="s">
        <v>25</v>
      </c>
    </row>
    <row r="192" spans="1:51" x14ac:dyDescent="0.25">
      <c r="A192" s="1">
        <v>40756</v>
      </c>
      <c r="B192">
        <v>34306</v>
      </c>
      <c r="C192" t="s">
        <v>2</v>
      </c>
      <c r="U192" s="1">
        <v>40603</v>
      </c>
      <c r="V192">
        <v>16260</v>
      </c>
      <c r="W192" t="s">
        <v>16</v>
      </c>
      <c r="AI192" s="1">
        <v>40817</v>
      </c>
      <c r="AJ192">
        <v>14084</v>
      </c>
      <c r="AK192" t="s">
        <v>25</v>
      </c>
      <c r="AW192" s="1">
        <v>40817</v>
      </c>
      <c r="AX192">
        <v>40512</v>
      </c>
      <c r="AY192" t="s">
        <v>22</v>
      </c>
    </row>
    <row r="193" spans="1:51" x14ac:dyDescent="0.25">
      <c r="A193" s="1">
        <v>40787</v>
      </c>
      <c r="B193">
        <v>9559</v>
      </c>
      <c r="C193" t="s">
        <v>4</v>
      </c>
      <c r="U193" s="1">
        <v>40603</v>
      </c>
      <c r="V193">
        <v>10517</v>
      </c>
      <c r="W193" t="s">
        <v>14</v>
      </c>
      <c r="AI193" s="1">
        <v>40817</v>
      </c>
      <c r="AJ193">
        <v>11433</v>
      </c>
      <c r="AK193" t="s">
        <v>24</v>
      </c>
      <c r="AW193" s="1">
        <v>40817</v>
      </c>
      <c r="AX193">
        <v>26683</v>
      </c>
      <c r="AY193" t="s">
        <v>25</v>
      </c>
    </row>
    <row r="194" spans="1:51" x14ac:dyDescent="0.25">
      <c r="A194" s="1">
        <v>40787</v>
      </c>
      <c r="B194">
        <v>15550</v>
      </c>
      <c r="C194" t="s">
        <v>5</v>
      </c>
      <c r="U194" s="1">
        <v>40634</v>
      </c>
      <c r="V194">
        <v>28254</v>
      </c>
      <c r="W194" t="s">
        <v>15</v>
      </c>
      <c r="AI194" s="1">
        <v>40817</v>
      </c>
      <c r="AJ194">
        <v>36313</v>
      </c>
      <c r="AK194" t="s">
        <v>22</v>
      </c>
      <c r="AW194" s="1">
        <v>40817</v>
      </c>
      <c r="AX194">
        <v>25002</v>
      </c>
      <c r="AY194" t="s">
        <v>24</v>
      </c>
    </row>
    <row r="195" spans="1:51" x14ac:dyDescent="0.25">
      <c r="A195" s="1">
        <v>40787</v>
      </c>
      <c r="B195">
        <v>35181</v>
      </c>
      <c r="C195" t="s">
        <v>2</v>
      </c>
      <c r="U195" s="1">
        <v>40634</v>
      </c>
      <c r="V195">
        <v>15307</v>
      </c>
      <c r="W195" t="s">
        <v>16</v>
      </c>
      <c r="AI195" s="1">
        <v>40848</v>
      </c>
      <c r="AJ195">
        <v>32247</v>
      </c>
      <c r="AK195" t="s">
        <v>22</v>
      </c>
      <c r="AW195" s="1">
        <v>40848</v>
      </c>
      <c r="AX195">
        <v>39519</v>
      </c>
      <c r="AY195" t="s">
        <v>22</v>
      </c>
    </row>
    <row r="196" spans="1:51" x14ac:dyDescent="0.25">
      <c r="A196" s="1">
        <v>40817</v>
      </c>
      <c r="B196">
        <v>15321</v>
      </c>
      <c r="C196" t="s">
        <v>4</v>
      </c>
      <c r="U196" s="1">
        <v>40634</v>
      </c>
      <c r="V196">
        <v>9118</v>
      </c>
      <c r="W196" t="s">
        <v>14</v>
      </c>
      <c r="AI196" s="1">
        <v>40848</v>
      </c>
      <c r="AJ196">
        <v>22206</v>
      </c>
      <c r="AK196" t="s">
        <v>24</v>
      </c>
      <c r="AW196" s="1">
        <v>40848</v>
      </c>
      <c r="AX196">
        <v>40035</v>
      </c>
      <c r="AY196" t="s">
        <v>24</v>
      </c>
    </row>
    <row r="197" spans="1:51" x14ac:dyDescent="0.25">
      <c r="A197" s="1">
        <v>40817</v>
      </c>
      <c r="B197">
        <v>16474</v>
      </c>
      <c r="C197" t="s">
        <v>5</v>
      </c>
      <c r="U197" s="1">
        <v>40664</v>
      </c>
      <c r="V197">
        <v>22304</v>
      </c>
      <c r="W197" t="s">
        <v>15</v>
      </c>
      <c r="AI197" s="1">
        <v>40848</v>
      </c>
      <c r="AJ197">
        <v>17551</v>
      </c>
      <c r="AK197" t="s">
        <v>25</v>
      </c>
      <c r="AW197" s="1">
        <v>40848</v>
      </c>
      <c r="AX197">
        <v>28920</v>
      </c>
      <c r="AY197" t="s">
        <v>25</v>
      </c>
    </row>
    <row r="198" spans="1:51" x14ac:dyDescent="0.25">
      <c r="A198" s="1">
        <v>40817</v>
      </c>
      <c r="B198">
        <v>28354</v>
      </c>
      <c r="C198" t="s">
        <v>2</v>
      </c>
      <c r="U198" s="1">
        <v>40664</v>
      </c>
      <c r="V198">
        <v>18349</v>
      </c>
      <c r="W198" t="s">
        <v>16</v>
      </c>
      <c r="AI198" s="1">
        <v>40878</v>
      </c>
      <c r="AJ198">
        <v>24462</v>
      </c>
      <c r="AK198" t="s">
        <v>22</v>
      </c>
      <c r="AW198" s="1">
        <v>40878</v>
      </c>
      <c r="AX198">
        <v>35167</v>
      </c>
      <c r="AY198" t="s">
        <v>25</v>
      </c>
    </row>
    <row r="199" spans="1:51" x14ac:dyDescent="0.25">
      <c r="A199" s="1">
        <v>40848</v>
      </c>
      <c r="B199">
        <v>16</v>
      </c>
      <c r="C199" t="s">
        <v>3</v>
      </c>
      <c r="U199" s="1">
        <v>40664</v>
      </c>
      <c r="V199">
        <v>5828</v>
      </c>
      <c r="W199" t="s">
        <v>14</v>
      </c>
      <c r="AI199" s="1">
        <v>40878</v>
      </c>
      <c r="AJ199">
        <v>21822</v>
      </c>
      <c r="AK199" t="s">
        <v>24</v>
      </c>
      <c r="AW199" s="1">
        <v>40878</v>
      </c>
      <c r="AX199">
        <v>45073</v>
      </c>
      <c r="AY199" t="s">
        <v>22</v>
      </c>
    </row>
    <row r="200" spans="1:51" x14ac:dyDescent="0.25">
      <c r="A200" s="1">
        <v>40848</v>
      </c>
      <c r="B200">
        <v>16181</v>
      </c>
      <c r="C200" t="s">
        <v>4</v>
      </c>
      <c r="U200" s="1">
        <v>40695</v>
      </c>
      <c r="V200">
        <v>22239</v>
      </c>
      <c r="W200" t="s">
        <v>15</v>
      </c>
      <c r="AI200" s="1">
        <v>40878</v>
      </c>
      <c r="AJ200">
        <v>20154</v>
      </c>
      <c r="AK200" t="s">
        <v>25</v>
      </c>
      <c r="AW200" s="1">
        <v>40878</v>
      </c>
      <c r="AX200">
        <v>62449</v>
      </c>
      <c r="AY200" t="s">
        <v>24</v>
      </c>
    </row>
    <row r="201" spans="1:51" x14ac:dyDescent="0.25">
      <c r="A201" s="1">
        <v>40848</v>
      </c>
      <c r="B201">
        <v>15358</v>
      </c>
      <c r="C201" t="s">
        <v>5</v>
      </c>
      <c r="U201" s="1">
        <v>40695</v>
      </c>
      <c r="V201">
        <v>23616</v>
      </c>
      <c r="W201" t="s">
        <v>16</v>
      </c>
      <c r="AI201" s="1">
        <v>40909</v>
      </c>
      <c r="AJ201">
        <v>25527</v>
      </c>
      <c r="AK201" t="s">
        <v>22</v>
      </c>
      <c r="AW201" s="1">
        <v>40909</v>
      </c>
      <c r="AX201">
        <v>69339</v>
      </c>
      <c r="AY201" t="s">
        <v>24</v>
      </c>
    </row>
    <row r="202" spans="1:51" x14ac:dyDescent="0.25">
      <c r="A202" s="1">
        <v>40848</v>
      </c>
      <c r="B202">
        <v>22321</v>
      </c>
      <c r="C202" t="s">
        <v>2</v>
      </c>
      <c r="U202" s="1">
        <v>40695</v>
      </c>
      <c r="V202">
        <v>5870</v>
      </c>
      <c r="W202" t="s">
        <v>14</v>
      </c>
      <c r="AI202" s="1">
        <v>40909</v>
      </c>
      <c r="AJ202">
        <v>22762</v>
      </c>
      <c r="AK202" t="s">
        <v>24</v>
      </c>
      <c r="AW202" s="1">
        <v>40909</v>
      </c>
      <c r="AX202">
        <v>36302</v>
      </c>
      <c r="AY202" t="s">
        <v>25</v>
      </c>
    </row>
    <row r="203" spans="1:51" x14ac:dyDescent="0.25">
      <c r="A203" s="1">
        <v>40878</v>
      </c>
      <c r="B203">
        <v>13058</v>
      </c>
      <c r="C203" t="s">
        <v>4</v>
      </c>
      <c r="U203" s="1">
        <v>40725</v>
      </c>
      <c r="V203">
        <v>16955</v>
      </c>
      <c r="W203" t="s">
        <v>15</v>
      </c>
      <c r="AI203" s="1">
        <v>40909</v>
      </c>
      <c r="AJ203">
        <v>21857</v>
      </c>
      <c r="AK203" t="s">
        <v>25</v>
      </c>
      <c r="AW203" s="1">
        <v>40909</v>
      </c>
      <c r="AX203">
        <v>43789</v>
      </c>
      <c r="AY203" t="s">
        <v>22</v>
      </c>
    </row>
    <row r="204" spans="1:51" x14ac:dyDescent="0.25">
      <c r="A204" s="1">
        <v>40878</v>
      </c>
      <c r="B204">
        <v>17850</v>
      </c>
      <c r="C204" t="s">
        <v>5</v>
      </c>
      <c r="U204" s="1">
        <v>40725</v>
      </c>
      <c r="V204">
        <v>19009</v>
      </c>
      <c r="W204" t="s">
        <v>16</v>
      </c>
      <c r="AI204" s="1">
        <v>40940</v>
      </c>
      <c r="AJ204">
        <v>30765</v>
      </c>
      <c r="AK204" t="s">
        <v>22</v>
      </c>
      <c r="AW204" s="1">
        <v>40940</v>
      </c>
      <c r="AX204">
        <v>68368</v>
      </c>
      <c r="AY204" t="s">
        <v>24</v>
      </c>
    </row>
    <row r="205" spans="1:51" x14ac:dyDescent="0.25">
      <c r="A205" s="1">
        <v>40878</v>
      </c>
      <c r="B205">
        <v>12661</v>
      </c>
      <c r="C205" t="s">
        <v>2</v>
      </c>
      <c r="U205" s="1">
        <v>40725</v>
      </c>
      <c r="V205">
        <v>6101</v>
      </c>
      <c r="W205" t="s">
        <v>14</v>
      </c>
      <c r="AI205" s="1">
        <v>40940</v>
      </c>
      <c r="AJ205">
        <v>25465</v>
      </c>
      <c r="AK205" t="s">
        <v>24</v>
      </c>
      <c r="AW205" s="1">
        <v>40940</v>
      </c>
      <c r="AX205">
        <v>37421</v>
      </c>
      <c r="AY205" t="s">
        <v>25</v>
      </c>
    </row>
    <row r="206" spans="1:51" x14ac:dyDescent="0.25">
      <c r="A206" s="1">
        <v>40909</v>
      </c>
      <c r="B206">
        <v>21613</v>
      </c>
      <c r="C206" t="s">
        <v>4</v>
      </c>
      <c r="U206" s="1">
        <v>40756</v>
      </c>
      <c r="V206">
        <v>24762</v>
      </c>
      <c r="W206" t="s">
        <v>15</v>
      </c>
      <c r="AI206" s="1">
        <v>40940</v>
      </c>
      <c r="AJ206">
        <v>18923</v>
      </c>
      <c r="AK206" t="s">
        <v>25</v>
      </c>
      <c r="AW206" s="1">
        <v>40940</v>
      </c>
      <c r="AX206">
        <v>45234</v>
      </c>
      <c r="AY206" t="s">
        <v>22</v>
      </c>
    </row>
    <row r="207" spans="1:51" x14ac:dyDescent="0.25">
      <c r="A207" s="1">
        <v>40909</v>
      </c>
      <c r="B207">
        <v>21469</v>
      </c>
      <c r="C207" t="s">
        <v>5</v>
      </c>
      <c r="U207" s="1">
        <v>40756</v>
      </c>
      <c r="V207">
        <v>25639</v>
      </c>
      <c r="W207" t="s">
        <v>16</v>
      </c>
      <c r="AI207" s="1">
        <v>40969</v>
      </c>
      <c r="AJ207">
        <v>21029</v>
      </c>
      <c r="AK207" t="s">
        <v>22</v>
      </c>
      <c r="AW207" s="1">
        <v>40969</v>
      </c>
      <c r="AX207">
        <v>37294</v>
      </c>
      <c r="AY207" t="s">
        <v>22</v>
      </c>
    </row>
    <row r="208" spans="1:51" x14ac:dyDescent="0.25">
      <c r="A208" s="1">
        <v>40909</v>
      </c>
      <c r="B208">
        <v>26095</v>
      </c>
      <c r="C208" t="s">
        <v>2</v>
      </c>
      <c r="U208" s="1">
        <v>40756</v>
      </c>
      <c r="V208">
        <v>6179</v>
      </c>
      <c r="W208" t="s">
        <v>14</v>
      </c>
      <c r="AI208" s="1">
        <v>40969</v>
      </c>
      <c r="AJ208">
        <v>22392</v>
      </c>
      <c r="AK208" t="s">
        <v>24</v>
      </c>
      <c r="AW208" s="1">
        <v>40969</v>
      </c>
      <c r="AX208">
        <v>41993</v>
      </c>
      <c r="AY208" t="s">
        <v>25</v>
      </c>
    </row>
    <row r="209" spans="1:51" x14ac:dyDescent="0.25">
      <c r="A209" s="1">
        <v>40940</v>
      </c>
      <c r="B209">
        <v>35057</v>
      </c>
      <c r="C209" t="s">
        <v>4</v>
      </c>
      <c r="U209" s="1">
        <v>40787</v>
      </c>
      <c r="V209">
        <v>25880</v>
      </c>
      <c r="W209" t="s">
        <v>15</v>
      </c>
      <c r="AI209" s="1">
        <v>40969</v>
      </c>
      <c r="AJ209">
        <v>20650</v>
      </c>
      <c r="AK209" t="s">
        <v>25</v>
      </c>
      <c r="AW209" s="1">
        <v>40969</v>
      </c>
      <c r="AX209">
        <v>74896</v>
      </c>
      <c r="AY209" t="s">
        <v>24</v>
      </c>
    </row>
    <row r="210" spans="1:51" x14ac:dyDescent="0.25">
      <c r="A210" s="1">
        <v>40940</v>
      </c>
      <c r="B210">
        <v>19436</v>
      </c>
      <c r="C210" t="s">
        <v>5</v>
      </c>
      <c r="U210" s="1">
        <v>40787</v>
      </c>
      <c r="V210">
        <v>27102</v>
      </c>
      <c r="W210" t="s">
        <v>16</v>
      </c>
      <c r="AI210" s="1">
        <v>41000</v>
      </c>
      <c r="AJ210">
        <v>20238</v>
      </c>
      <c r="AK210" t="s">
        <v>22</v>
      </c>
      <c r="AW210" s="1">
        <v>41000</v>
      </c>
      <c r="AX210">
        <v>43130</v>
      </c>
      <c r="AY210" t="s">
        <v>22</v>
      </c>
    </row>
    <row r="211" spans="1:51" x14ac:dyDescent="0.25">
      <c r="A211" s="1">
        <v>40940</v>
      </c>
      <c r="B211">
        <v>35310</v>
      </c>
      <c r="C211" t="s">
        <v>2</v>
      </c>
      <c r="U211" s="1">
        <v>40787</v>
      </c>
      <c r="V211">
        <v>7308</v>
      </c>
      <c r="W211" t="s">
        <v>14</v>
      </c>
      <c r="AI211" s="1">
        <v>41000</v>
      </c>
      <c r="AJ211">
        <v>22169</v>
      </c>
      <c r="AK211" t="s">
        <v>24</v>
      </c>
      <c r="AW211" s="1">
        <v>41000</v>
      </c>
      <c r="AX211">
        <v>87727</v>
      </c>
      <c r="AY211" t="s">
        <v>24</v>
      </c>
    </row>
    <row r="212" spans="1:51" x14ac:dyDescent="0.25">
      <c r="A212" s="1">
        <v>40969</v>
      </c>
      <c r="B212">
        <v>28239</v>
      </c>
      <c r="C212" t="s">
        <v>4</v>
      </c>
      <c r="U212" s="1">
        <v>40817</v>
      </c>
      <c r="V212">
        <v>32509</v>
      </c>
      <c r="W212" t="s">
        <v>15</v>
      </c>
      <c r="AI212" s="1">
        <v>41000</v>
      </c>
      <c r="AJ212">
        <v>23750</v>
      </c>
      <c r="AK212" t="s">
        <v>25</v>
      </c>
      <c r="AW212" s="1">
        <v>41000</v>
      </c>
      <c r="AX212">
        <v>46599</v>
      </c>
      <c r="AY212" t="s">
        <v>25</v>
      </c>
    </row>
    <row r="213" spans="1:51" x14ac:dyDescent="0.25">
      <c r="A213" s="1">
        <v>40969</v>
      </c>
      <c r="B213">
        <v>29010</v>
      </c>
      <c r="C213" t="s">
        <v>5</v>
      </c>
      <c r="U213" s="1">
        <v>40817</v>
      </c>
      <c r="V213">
        <v>20424</v>
      </c>
      <c r="W213" t="s">
        <v>16</v>
      </c>
      <c r="AI213" s="1">
        <v>41030</v>
      </c>
      <c r="AJ213">
        <v>22147</v>
      </c>
      <c r="AK213" t="s">
        <v>25</v>
      </c>
      <c r="AW213" s="1">
        <v>41030</v>
      </c>
      <c r="AX213">
        <v>44701</v>
      </c>
      <c r="AY213" t="s">
        <v>25</v>
      </c>
    </row>
    <row r="214" spans="1:51" x14ac:dyDescent="0.25">
      <c r="A214" s="1">
        <v>40969</v>
      </c>
      <c r="B214">
        <v>26813</v>
      </c>
      <c r="C214" t="s">
        <v>2</v>
      </c>
      <c r="U214" s="1">
        <v>40817</v>
      </c>
      <c r="V214">
        <v>7216</v>
      </c>
      <c r="W214" t="s">
        <v>14</v>
      </c>
      <c r="AI214" s="1">
        <v>41030</v>
      </c>
      <c r="AJ214">
        <v>24408</v>
      </c>
      <c r="AK214" t="s">
        <v>22</v>
      </c>
      <c r="AW214" s="1">
        <v>41030</v>
      </c>
      <c r="AX214">
        <v>83635</v>
      </c>
      <c r="AY214" t="s">
        <v>24</v>
      </c>
    </row>
    <row r="215" spans="1:51" x14ac:dyDescent="0.25">
      <c r="A215" s="1">
        <v>41000</v>
      </c>
      <c r="B215">
        <v>30739</v>
      </c>
      <c r="C215" t="s">
        <v>4</v>
      </c>
      <c r="U215" s="1">
        <v>40848</v>
      </c>
      <c r="V215">
        <v>31848</v>
      </c>
      <c r="W215" t="s">
        <v>15</v>
      </c>
      <c r="AI215" s="1">
        <v>41030</v>
      </c>
      <c r="AJ215">
        <v>21904</v>
      </c>
      <c r="AK215" t="s">
        <v>24</v>
      </c>
      <c r="AW215" s="1">
        <v>41030</v>
      </c>
      <c r="AX215">
        <v>56078</v>
      </c>
      <c r="AY215" t="s">
        <v>22</v>
      </c>
    </row>
    <row r="216" spans="1:51" x14ac:dyDescent="0.25">
      <c r="A216" s="1">
        <v>41000</v>
      </c>
      <c r="B216">
        <v>18814</v>
      </c>
      <c r="C216" t="s">
        <v>5</v>
      </c>
      <c r="U216" s="1">
        <v>40848</v>
      </c>
      <c r="V216">
        <v>15277</v>
      </c>
      <c r="W216" t="s">
        <v>16</v>
      </c>
      <c r="AI216" s="1">
        <v>41061</v>
      </c>
      <c r="AJ216">
        <v>18591</v>
      </c>
      <c r="AK216" t="s">
        <v>24</v>
      </c>
      <c r="AW216" s="1">
        <v>41061</v>
      </c>
      <c r="AX216">
        <v>66120</v>
      </c>
      <c r="AY216" t="s">
        <v>24</v>
      </c>
    </row>
    <row r="217" spans="1:51" x14ac:dyDescent="0.25">
      <c r="A217" s="1">
        <v>41000</v>
      </c>
      <c r="B217">
        <v>37089</v>
      </c>
      <c r="C217" t="s">
        <v>2</v>
      </c>
      <c r="U217" s="1">
        <v>40848</v>
      </c>
      <c r="V217">
        <v>6751</v>
      </c>
      <c r="W217" t="s">
        <v>14</v>
      </c>
      <c r="AI217" s="1">
        <v>41061</v>
      </c>
      <c r="AJ217">
        <v>32500</v>
      </c>
      <c r="AK217" t="s">
        <v>22</v>
      </c>
      <c r="AW217" s="1">
        <v>41061</v>
      </c>
      <c r="AX217">
        <v>41557</v>
      </c>
      <c r="AY217" t="s">
        <v>25</v>
      </c>
    </row>
    <row r="218" spans="1:51" x14ac:dyDescent="0.25">
      <c r="A218" s="1">
        <v>41030</v>
      </c>
      <c r="B218">
        <v>28</v>
      </c>
      <c r="C218" t="s">
        <v>3</v>
      </c>
      <c r="U218" s="1">
        <v>40878</v>
      </c>
      <c r="V218">
        <v>30460</v>
      </c>
      <c r="W218" t="s">
        <v>15</v>
      </c>
      <c r="AI218" s="1">
        <v>41061</v>
      </c>
      <c r="AJ218">
        <v>20132</v>
      </c>
      <c r="AK218" t="s">
        <v>25</v>
      </c>
      <c r="AW218" s="1">
        <v>41061</v>
      </c>
      <c r="AX218">
        <v>54558</v>
      </c>
      <c r="AY218" t="s">
        <v>22</v>
      </c>
    </row>
    <row r="219" spans="1:51" x14ac:dyDescent="0.25">
      <c r="A219" s="1">
        <v>41030</v>
      </c>
      <c r="B219">
        <v>17578</v>
      </c>
      <c r="C219" t="s">
        <v>4</v>
      </c>
      <c r="U219" s="1">
        <v>40878</v>
      </c>
      <c r="V219">
        <v>7570</v>
      </c>
      <c r="W219" t="s">
        <v>16</v>
      </c>
      <c r="AI219" s="1">
        <v>41091</v>
      </c>
      <c r="AJ219">
        <v>40914</v>
      </c>
      <c r="AK219" t="s">
        <v>22</v>
      </c>
      <c r="AW219" s="1">
        <v>41091</v>
      </c>
      <c r="AX219">
        <v>63132</v>
      </c>
      <c r="AY219" t="s">
        <v>22</v>
      </c>
    </row>
    <row r="220" spans="1:51" x14ac:dyDescent="0.25">
      <c r="A220" s="1">
        <v>41030</v>
      </c>
      <c r="B220">
        <v>22353</v>
      </c>
      <c r="C220" t="s">
        <v>5</v>
      </c>
      <c r="U220" s="1">
        <v>40878</v>
      </c>
      <c r="V220">
        <v>5539</v>
      </c>
      <c r="W220" t="s">
        <v>14</v>
      </c>
      <c r="AI220" s="1">
        <v>41091</v>
      </c>
      <c r="AJ220">
        <v>20169</v>
      </c>
      <c r="AK220" t="s">
        <v>24</v>
      </c>
      <c r="AW220" s="1">
        <v>41091</v>
      </c>
      <c r="AX220">
        <v>58704</v>
      </c>
      <c r="AY220" t="s">
        <v>24</v>
      </c>
    </row>
    <row r="221" spans="1:51" x14ac:dyDescent="0.25">
      <c r="A221" s="1">
        <v>41030</v>
      </c>
      <c r="B221">
        <v>26357</v>
      </c>
      <c r="C221" t="s">
        <v>2</v>
      </c>
      <c r="U221" s="1">
        <v>40909</v>
      </c>
      <c r="V221">
        <v>40253</v>
      </c>
      <c r="W221" t="s">
        <v>15</v>
      </c>
      <c r="AI221" s="1">
        <v>41091</v>
      </c>
      <c r="AJ221">
        <v>20818</v>
      </c>
      <c r="AK221" t="s">
        <v>25</v>
      </c>
      <c r="AW221" s="1">
        <v>41091</v>
      </c>
      <c r="AX221">
        <v>42169</v>
      </c>
      <c r="AY221" t="s">
        <v>25</v>
      </c>
    </row>
    <row r="222" spans="1:51" x14ac:dyDescent="0.25">
      <c r="A222" s="1">
        <v>41061</v>
      </c>
      <c r="B222">
        <v>25831</v>
      </c>
      <c r="C222" t="s">
        <v>4</v>
      </c>
      <c r="U222" s="1">
        <v>40909</v>
      </c>
      <c r="V222">
        <v>16546</v>
      </c>
      <c r="W222" t="s">
        <v>16</v>
      </c>
      <c r="AI222" s="1">
        <v>41122</v>
      </c>
      <c r="AJ222">
        <v>40188</v>
      </c>
      <c r="AK222" t="s">
        <v>22</v>
      </c>
      <c r="AW222" s="1">
        <v>41122</v>
      </c>
      <c r="AX222">
        <v>68002</v>
      </c>
      <c r="AY222" t="s">
        <v>24</v>
      </c>
    </row>
    <row r="223" spans="1:51" x14ac:dyDescent="0.25">
      <c r="A223" s="1">
        <v>41061</v>
      </c>
      <c r="B223">
        <v>23679</v>
      </c>
      <c r="C223" t="s">
        <v>5</v>
      </c>
      <c r="U223" s="1">
        <v>40909</v>
      </c>
      <c r="V223">
        <v>12378</v>
      </c>
      <c r="W223" t="s">
        <v>14</v>
      </c>
      <c r="AI223" s="1">
        <v>41122</v>
      </c>
      <c r="AJ223">
        <v>20467</v>
      </c>
      <c r="AK223" t="s">
        <v>24</v>
      </c>
      <c r="AW223" s="1">
        <v>41122</v>
      </c>
      <c r="AX223">
        <v>42658</v>
      </c>
      <c r="AY223" t="s">
        <v>25</v>
      </c>
    </row>
    <row r="224" spans="1:51" x14ac:dyDescent="0.25">
      <c r="A224" s="1">
        <v>41061</v>
      </c>
      <c r="B224">
        <v>49421</v>
      </c>
      <c r="C224" t="s">
        <v>2</v>
      </c>
      <c r="U224" s="1">
        <v>40940</v>
      </c>
      <c r="V224">
        <v>59797</v>
      </c>
      <c r="W224" t="s">
        <v>15</v>
      </c>
      <c r="AI224" s="1">
        <v>41122</v>
      </c>
      <c r="AJ224">
        <v>21157</v>
      </c>
      <c r="AK224" t="s">
        <v>25</v>
      </c>
      <c r="AW224" s="1">
        <v>41122</v>
      </c>
      <c r="AX224">
        <v>71358</v>
      </c>
      <c r="AY224" t="s">
        <v>22</v>
      </c>
    </row>
    <row r="225" spans="1:51" x14ac:dyDescent="0.25">
      <c r="A225" s="1">
        <v>41091</v>
      </c>
      <c r="B225">
        <v>18827</v>
      </c>
      <c r="C225" t="s">
        <v>4</v>
      </c>
      <c r="U225" s="1">
        <v>40940</v>
      </c>
      <c r="V225">
        <v>20135</v>
      </c>
      <c r="W225" t="s">
        <v>16</v>
      </c>
      <c r="AI225" s="1">
        <v>41153</v>
      </c>
      <c r="AJ225">
        <v>43003</v>
      </c>
      <c r="AK225" t="s">
        <v>22</v>
      </c>
      <c r="AW225" s="1">
        <v>41153</v>
      </c>
      <c r="AX225">
        <v>60637</v>
      </c>
      <c r="AY225" t="s">
        <v>25</v>
      </c>
    </row>
    <row r="226" spans="1:51" x14ac:dyDescent="0.25">
      <c r="A226" s="1">
        <v>41091</v>
      </c>
      <c r="B226">
        <v>21930</v>
      </c>
      <c r="C226" t="s">
        <v>5</v>
      </c>
      <c r="U226" s="1">
        <v>40940</v>
      </c>
      <c r="V226">
        <v>9871</v>
      </c>
      <c r="W226" t="s">
        <v>14</v>
      </c>
      <c r="AI226" s="1">
        <v>41153</v>
      </c>
      <c r="AJ226">
        <v>25359</v>
      </c>
      <c r="AK226" t="s">
        <v>24</v>
      </c>
      <c r="AW226" s="1">
        <v>41153</v>
      </c>
      <c r="AX226">
        <v>62940</v>
      </c>
      <c r="AY226" t="s">
        <v>24</v>
      </c>
    </row>
    <row r="227" spans="1:51" x14ac:dyDescent="0.25">
      <c r="A227" s="1">
        <v>41091</v>
      </c>
      <c r="B227">
        <v>37815</v>
      </c>
      <c r="C227" t="s">
        <v>2</v>
      </c>
      <c r="U227" s="1">
        <v>40969</v>
      </c>
      <c r="V227">
        <v>52700</v>
      </c>
      <c r="W227" t="s">
        <v>15</v>
      </c>
      <c r="AI227" s="1">
        <v>41153</v>
      </c>
      <c r="AJ227">
        <v>23362</v>
      </c>
      <c r="AK227" t="s">
        <v>25</v>
      </c>
      <c r="AW227" s="1">
        <v>41153</v>
      </c>
      <c r="AX227">
        <v>64773</v>
      </c>
      <c r="AY227" t="s">
        <v>22</v>
      </c>
    </row>
    <row r="228" spans="1:51" x14ac:dyDescent="0.25">
      <c r="A228" s="1">
        <v>41122</v>
      </c>
      <c r="B228">
        <v>26774</v>
      </c>
      <c r="C228" t="s">
        <v>4</v>
      </c>
      <c r="U228" s="1">
        <v>40969</v>
      </c>
      <c r="V228">
        <v>14854</v>
      </c>
      <c r="W228" t="s">
        <v>16</v>
      </c>
      <c r="AI228" s="1">
        <v>41183</v>
      </c>
      <c r="AJ228">
        <v>47014</v>
      </c>
      <c r="AK228" t="s">
        <v>22</v>
      </c>
      <c r="AW228" s="1">
        <v>41183</v>
      </c>
      <c r="AX228">
        <v>77943</v>
      </c>
      <c r="AY228" t="s">
        <v>24</v>
      </c>
    </row>
    <row r="229" spans="1:51" x14ac:dyDescent="0.25">
      <c r="A229" s="1">
        <v>41122</v>
      </c>
      <c r="B229">
        <v>25715</v>
      </c>
      <c r="C229" t="s">
        <v>5</v>
      </c>
      <c r="U229" s="1">
        <v>40969</v>
      </c>
      <c r="V229">
        <v>16508</v>
      </c>
      <c r="W229" t="s">
        <v>14</v>
      </c>
      <c r="AI229" s="1">
        <v>41183</v>
      </c>
      <c r="AJ229">
        <v>33904</v>
      </c>
      <c r="AK229" t="s">
        <v>24</v>
      </c>
      <c r="AW229" s="1">
        <v>41183</v>
      </c>
      <c r="AX229">
        <v>67250</v>
      </c>
      <c r="AY229" t="s">
        <v>25</v>
      </c>
    </row>
    <row r="230" spans="1:51" x14ac:dyDescent="0.25">
      <c r="A230" s="1">
        <v>41122</v>
      </c>
      <c r="B230">
        <v>51040</v>
      </c>
      <c r="C230" t="s">
        <v>2</v>
      </c>
      <c r="U230" s="1">
        <v>41000</v>
      </c>
      <c r="V230">
        <v>52285</v>
      </c>
      <c r="W230" t="s">
        <v>15</v>
      </c>
      <c r="AI230" s="1">
        <v>41183</v>
      </c>
      <c r="AJ230">
        <v>24936</v>
      </c>
      <c r="AK230" t="s">
        <v>25</v>
      </c>
      <c r="AW230" s="1">
        <v>41183</v>
      </c>
      <c r="AX230">
        <v>66759</v>
      </c>
      <c r="AY230" t="s">
        <v>22</v>
      </c>
    </row>
    <row r="231" spans="1:51" x14ac:dyDescent="0.25">
      <c r="A231" s="1">
        <v>41153</v>
      </c>
      <c r="B231">
        <v>25041</v>
      </c>
      <c r="C231" t="s">
        <v>4</v>
      </c>
      <c r="U231" s="1">
        <v>41000</v>
      </c>
      <c r="V231">
        <v>22249</v>
      </c>
      <c r="W231" t="s">
        <v>16</v>
      </c>
      <c r="AI231" s="1">
        <v>41214</v>
      </c>
      <c r="AJ231">
        <v>49817</v>
      </c>
      <c r="AK231" t="s">
        <v>22</v>
      </c>
      <c r="AW231" s="1">
        <v>41214</v>
      </c>
      <c r="AX231">
        <v>54797</v>
      </c>
      <c r="AY231" t="s">
        <v>22</v>
      </c>
    </row>
    <row r="232" spans="1:51" x14ac:dyDescent="0.25">
      <c r="A232" s="1">
        <v>41153</v>
      </c>
      <c r="B232">
        <v>20098</v>
      </c>
      <c r="C232" t="s">
        <v>5</v>
      </c>
      <c r="U232" s="1">
        <v>41000</v>
      </c>
      <c r="V232">
        <v>12108</v>
      </c>
      <c r="W232" t="s">
        <v>14</v>
      </c>
      <c r="AI232" s="1">
        <v>41214</v>
      </c>
      <c r="AJ232">
        <v>40037</v>
      </c>
      <c r="AK232" t="s">
        <v>24</v>
      </c>
      <c r="AW232" s="1">
        <v>41214</v>
      </c>
      <c r="AX232">
        <v>67527</v>
      </c>
      <c r="AY232" t="s">
        <v>24</v>
      </c>
    </row>
    <row r="233" spans="1:51" x14ac:dyDescent="0.25">
      <c r="A233" s="1">
        <v>41153</v>
      </c>
      <c r="B233">
        <v>34014</v>
      </c>
      <c r="C233" t="s">
        <v>2</v>
      </c>
      <c r="U233" s="1">
        <v>41030</v>
      </c>
      <c r="V233">
        <v>37066</v>
      </c>
      <c r="W233" t="s">
        <v>15</v>
      </c>
      <c r="AI233" s="1">
        <v>41214</v>
      </c>
      <c r="AJ233">
        <v>26328</v>
      </c>
      <c r="AK233" t="s">
        <v>25</v>
      </c>
      <c r="AW233" s="1">
        <v>41214</v>
      </c>
      <c r="AX233">
        <v>63599</v>
      </c>
      <c r="AY233" t="s">
        <v>25</v>
      </c>
    </row>
    <row r="234" spans="1:51" x14ac:dyDescent="0.25">
      <c r="A234" s="1">
        <v>41183</v>
      </c>
      <c r="B234">
        <v>38833</v>
      </c>
      <c r="C234" t="s">
        <v>4</v>
      </c>
      <c r="U234" s="1">
        <v>41030</v>
      </c>
      <c r="V234">
        <v>16856</v>
      </c>
      <c r="W234" t="s">
        <v>16</v>
      </c>
      <c r="AI234" s="1">
        <v>41244</v>
      </c>
      <c r="AJ234">
        <v>49997</v>
      </c>
      <c r="AK234" t="s">
        <v>22</v>
      </c>
      <c r="AW234" s="1">
        <v>41244</v>
      </c>
      <c r="AX234">
        <v>83263</v>
      </c>
      <c r="AY234" t="s">
        <v>24</v>
      </c>
    </row>
    <row r="235" spans="1:51" x14ac:dyDescent="0.25">
      <c r="A235" s="1">
        <v>41183</v>
      </c>
      <c r="B235">
        <v>23340</v>
      </c>
      <c r="C235" t="s">
        <v>5</v>
      </c>
      <c r="U235" s="1">
        <v>41030</v>
      </c>
      <c r="V235">
        <v>12394</v>
      </c>
      <c r="W235" t="s">
        <v>14</v>
      </c>
      <c r="AI235" s="1">
        <v>41244</v>
      </c>
      <c r="AJ235">
        <v>40485</v>
      </c>
      <c r="AK235" t="s">
        <v>24</v>
      </c>
      <c r="AW235" s="1">
        <v>41244</v>
      </c>
      <c r="AX235">
        <v>74296</v>
      </c>
      <c r="AY235" t="s">
        <v>25</v>
      </c>
    </row>
    <row r="236" spans="1:51" x14ac:dyDescent="0.25">
      <c r="A236" s="1">
        <v>41183</v>
      </c>
      <c r="B236">
        <v>50866</v>
      </c>
      <c r="C236" t="s">
        <v>2</v>
      </c>
      <c r="U236" s="1">
        <v>41061</v>
      </c>
      <c r="V236">
        <v>46044</v>
      </c>
      <c r="W236" t="s">
        <v>15</v>
      </c>
      <c r="AI236" s="1">
        <v>41244</v>
      </c>
      <c r="AJ236">
        <v>29752</v>
      </c>
      <c r="AK236" t="s">
        <v>25</v>
      </c>
      <c r="AW236" s="1">
        <v>41244</v>
      </c>
      <c r="AX236">
        <v>58892</v>
      </c>
      <c r="AY236" t="s">
        <v>22</v>
      </c>
    </row>
    <row r="237" spans="1:51" x14ac:dyDescent="0.25">
      <c r="A237" s="1">
        <v>41214</v>
      </c>
      <c r="B237">
        <v>1190</v>
      </c>
      <c r="C237" t="s">
        <v>3</v>
      </c>
      <c r="U237" s="1">
        <v>41061</v>
      </c>
      <c r="V237">
        <v>37261</v>
      </c>
      <c r="W237" t="s">
        <v>16</v>
      </c>
      <c r="AI237" s="1">
        <v>41275</v>
      </c>
      <c r="AJ237">
        <v>39735</v>
      </c>
      <c r="AK237" t="s">
        <v>22</v>
      </c>
      <c r="AW237" s="1">
        <v>41275</v>
      </c>
      <c r="AX237">
        <v>58734</v>
      </c>
      <c r="AY237" t="s">
        <v>22</v>
      </c>
    </row>
    <row r="238" spans="1:51" x14ac:dyDescent="0.25">
      <c r="A238" s="1">
        <v>41214</v>
      </c>
      <c r="B238">
        <v>49783</v>
      </c>
      <c r="C238" t="s">
        <v>4</v>
      </c>
      <c r="U238" s="1">
        <v>41061</v>
      </c>
      <c r="V238">
        <v>15626</v>
      </c>
      <c r="W238" t="s">
        <v>14</v>
      </c>
      <c r="AI238" s="1">
        <v>41275</v>
      </c>
      <c r="AJ238">
        <v>36497</v>
      </c>
      <c r="AK238" t="s">
        <v>24</v>
      </c>
      <c r="AW238" s="1">
        <v>41275</v>
      </c>
      <c r="AX238">
        <v>84096</v>
      </c>
      <c r="AY238" t="s">
        <v>24</v>
      </c>
    </row>
    <row r="239" spans="1:51" x14ac:dyDescent="0.25">
      <c r="A239" s="1">
        <v>41214</v>
      </c>
      <c r="B239">
        <v>40576</v>
      </c>
      <c r="C239" t="s">
        <v>5</v>
      </c>
      <c r="U239" s="1">
        <v>41091</v>
      </c>
      <c r="V239">
        <v>36784</v>
      </c>
      <c r="W239" t="s">
        <v>15</v>
      </c>
      <c r="AI239" s="1">
        <v>41275</v>
      </c>
      <c r="AJ239">
        <v>26820</v>
      </c>
      <c r="AK239" t="s">
        <v>25</v>
      </c>
      <c r="AW239" s="1">
        <v>41275</v>
      </c>
      <c r="AX239">
        <v>70012</v>
      </c>
      <c r="AY239" t="s">
        <v>25</v>
      </c>
    </row>
    <row r="240" spans="1:51" x14ac:dyDescent="0.25">
      <c r="A240" s="1">
        <v>41214</v>
      </c>
      <c r="B240">
        <v>70841</v>
      </c>
      <c r="C240" t="s">
        <v>2</v>
      </c>
      <c r="U240" s="1">
        <v>41091</v>
      </c>
      <c r="V240">
        <v>26911</v>
      </c>
      <c r="W240" t="s">
        <v>16</v>
      </c>
      <c r="AI240" s="1">
        <v>41306</v>
      </c>
      <c r="AJ240">
        <v>44263</v>
      </c>
      <c r="AK240" t="s">
        <v>22</v>
      </c>
      <c r="AW240" s="1">
        <v>41306</v>
      </c>
      <c r="AX240">
        <v>83542</v>
      </c>
      <c r="AY240" t="s">
        <v>24</v>
      </c>
    </row>
    <row r="241" spans="1:51" x14ac:dyDescent="0.25">
      <c r="A241" s="1">
        <v>41244</v>
      </c>
      <c r="B241">
        <v>7</v>
      </c>
      <c r="C241" t="s">
        <v>3</v>
      </c>
      <c r="U241" s="1">
        <v>41091</v>
      </c>
      <c r="V241">
        <v>14877</v>
      </c>
      <c r="W241" t="s">
        <v>14</v>
      </c>
      <c r="AI241" s="1">
        <v>41306</v>
      </c>
      <c r="AJ241">
        <v>41281</v>
      </c>
      <c r="AK241" t="s">
        <v>24</v>
      </c>
      <c r="AW241" s="1">
        <v>41306</v>
      </c>
      <c r="AX241">
        <v>71858</v>
      </c>
      <c r="AY241" t="s">
        <v>25</v>
      </c>
    </row>
    <row r="242" spans="1:51" x14ac:dyDescent="0.25">
      <c r="A242" s="1">
        <v>41244</v>
      </c>
      <c r="B242">
        <v>23978</v>
      </c>
      <c r="C242" t="s">
        <v>4</v>
      </c>
      <c r="U242" s="1">
        <v>41122</v>
      </c>
      <c r="V242">
        <v>51984</v>
      </c>
      <c r="W242" t="s">
        <v>15</v>
      </c>
      <c r="AI242" s="1">
        <v>41306</v>
      </c>
      <c r="AJ242">
        <v>27439</v>
      </c>
      <c r="AK242" t="s">
        <v>25</v>
      </c>
      <c r="AW242" s="1">
        <v>41306</v>
      </c>
      <c r="AX242">
        <v>56759</v>
      </c>
      <c r="AY242" t="s">
        <v>22</v>
      </c>
    </row>
    <row r="243" spans="1:51" x14ac:dyDescent="0.25">
      <c r="A243" s="1">
        <v>41244</v>
      </c>
      <c r="B243">
        <v>16073</v>
      </c>
      <c r="C243" t="s">
        <v>5</v>
      </c>
      <c r="U243" s="1">
        <v>41122</v>
      </c>
      <c r="V243">
        <v>37843</v>
      </c>
      <c r="W243" t="s">
        <v>16</v>
      </c>
      <c r="AI243" s="1">
        <v>41334</v>
      </c>
      <c r="AJ243">
        <v>42586</v>
      </c>
      <c r="AK243" t="s">
        <v>22</v>
      </c>
      <c r="AW243" s="1">
        <v>41334</v>
      </c>
      <c r="AX243">
        <v>42223</v>
      </c>
      <c r="AY243" t="s">
        <v>22</v>
      </c>
    </row>
    <row r="244" spans="1:51" x14ac:dyDescent="0.25">
      <c r="A244" s="1">
        <v>41244</v>
      </c>
      <c r="B244">
        <v>26902</v>
      </c>
      <c r="C244" t="s">
        <v>2</v>
      </c>
      <c r="U244" s="1">
        <v>41122</v>
      </c>
      <c r="V244">
        <v>13702</v>
      </c>
      <c r="W244" t="s">
        <v>14</v>
      </c>
      <c r="AI244" s="1">
        <v>41334</v>
      </c>
      <c r="AJ244">
        <v>45862</v>
      </c>
      <c r="AK244" t="s">
        <v>24</v>
      </c>
      <c r="AW244" s="1">
        <v>41334</v>
      </c>
      <c r="AX244">
        <v>73084</v>
      </c>
      <c r="AY244" t="s">
        <v>25</v>
      </c>
    </row>
    <row r="245" spans="1:51" x14ac:dyDescent="0.25">
      <c r="A245" s="1">
        <v>41275</v>
      </c>
      <c r="B245">
        <v>39760</v>
      </c>
      <c r="C245" t="s">
        <v>4</v>
      </c>
      <c r="U245" s="1">
        <v>41153</v>
      </c>
      <c r="V245">
        <v>44391</v>
      </c>
      <c r="W245" t="s">
        <v>15</v>
      </c>
      <c r="AI245" s="1">
        <v>41334</v>
      </c>
      <c r="AJ245">
        <v>29625</v>
      </c>
      <c r="AK245" t="s">
        <v>25</v>
      </c>
      <c r="AW245" s="1">
        <v>41334</v>
      </c>
      <c r="AX245">
        <v>80177</v>
      </c>
      <c r="AY245" t="s">
        <v>24</v>
      </c>
    </row>
    <row r="246" spans="1:51" x14ac:dyDescent="0.25">
      <c r="A246" s="1">
        <v>41275</v>
      </c>
      <c r="B246">
        <v>31891</v>
      </c>
      <c r="C246" t="s">
        <v>5</v>
      </c>
      <c r="U246" s="1">
        <v>41153</v>
      </c>
      <c r="V246">
        <v>23418</v>
      </c>
      <c r="W246" t="s">
        <v>16</v>
      </c>
      <c r="AI246" s="1">
        <v>41365</v>
      </c>
      <c r="AJ246">
        <v>46377</v>
      </c>
      <c r="AK246" t="s">
        <v>22</v>
      </c>
      <c r="AW246" s="1">
        <v>41365</v>
      </c>
      <c r="AX246">
        <v>39632</v>
      </c>
      <c r="AY246" t="s">
        <v>22</v>
      </c>
    </row>
    <row r="247" spans="1:51" x14ac:dyDescent="0.25">
      <c r="A247" s="1">
        <v>41275</v>
      </c>
      <c r="B247">
        <v>42899</v>
      </c>
      <c r="C247" t="s">
        <v>2</v>
      </c>
      <c r="U247" s="1">
        <v>41153</v>
      </c>
      <c r="V247">
        <v>11344</v>
      </c>
      <c r="W247" t="s">
        <v>14</v>
      </c>
      <c r="AI247" s="1">
        <v>41365</v>
      </c>
      <c r="AJ247">
        <v>40421</v>
      </c>
      <c r="AK247" t="s">
        <v>24</v>
      </c>
      <c r="AW247" s="1">
        <v>41365</v>
      </c>
      <c r="AX247">
        <v>64077</v>
      </c>
      <c r="AY247" t="s">
        <v>25</v>
      </c>
    </row>
    <row r="248" spans="1:51" x14ac:dyDescent="0.25">
      <c r="A248" s="1">
        <v>41306</v>
      </c>
      <c r="B248">
        <v>38300</v>
      </c>
      <c r="C248" t="s">
        <v>4</v>
      </c>
      <c r="U248" s="1">
        <v>41183</v>
      </c>
      <c r="V248">
        <v>66015</v>
      </c>
      <c r="W248" t="s">
        <v>15</v>
      </c>
      <c r="AI248" s="1">
        <v>41365</v>
      </c>
      <c r="AJ248">
        <v>29886</v>
      </c>
      <c r="AK248" t="s">
        <v>25</v>
      </c>
      <c r="AW248" s="1">
        <v>41365</v>
      </c>
      <c r="AX248">
        <v>62542</v>
      </c>
      <c r="AY248" t="s">
        <v>24</v>
      </c>
    </row>
    <row r="249" spans="1:51" x14ac:dyDescent="0.25">
      <c r="A249" s="1">
        <v>41306</v>
      </c>
      <c r="B249">
        <v>28858</v>
      </c>
      <c r="C249" t="s">
        <v>5</v>
      </c>
      <c r="U249" s="1">
        <v>41183</v>
      </c>
      <c r="V249">
        <v>34325</v>
      </c>
      <c r="W249" t="s">
        <v>16</v>
      </c>
      <c r="AI249" s="1">
        <v>41395</v>
      </c>
      <c r="AJ249">
        <v>47960</v>
      </c>
      <c r="AK249" t="s">
        <v>22</v>
      </c>
      <c r="AW249" s="1">
        <v>41395</v>
      </c>
      <c r="AX249">
        <v>60513</v>
      </c>
      <c r="AY249" t="s">
        <v>22</v>
      </c>
    </row>
    <row r="250" spans="1:51" x14ac:dyDescent="0.25">
      <c r="A250" s="1">
        <v>41306</v>
      </c>
      <c r="B250">
        <v>41255</v>
      </c>
      <c r="C250" t="s">
        <v>2</v>
      </c>
      <c r="U250" s="1">
        <v>41183</v>
      </c>
      <c r="V250">
        <v>12699</v>
      </c>
      <c r="W250" t="s">
        <v>14</v>
      </c>
      <c r="AI250" s="1">
        <v>41395</v>
      </c>
      <c r="AJ250">
        <v>30711</v>
      </c>
      <c r="AK250" t="s">
        <v>24</v>
      </c>
      <c r="AW250" s="1">
        <v>41395</v>
      </c>
      <c r="AX250">
        <v>66704</v>
      </c>
      <c r="AY250" t="s">
        <v>25</v>
      </c>
    </row>
    <row r="251" spans="1:51" x14ac:dyDescent="0.25">
      <c r="A251" s="1">
        <v>41334</v>
      </c>
      <c r="B251">
        <v>8</v>
      </c>
      <c r="C251" t="s">
        <v>3</v>
      </c>
      <c r="U251" s="1">
        <v>41214</v>
      </c>
      <c r="V251">
        <v>95074</v>
      </c>
      <c r="W251" t="s">
        <v>15</v>
      </c>
      <c r="AI251" s="1">
        <v>41395</v>
      </c>
      <c r="AJ251">
        <v>30220</v>
      </c>
      <c r="AK251" t="s">
        <v>25</v>
      </c>
      <c r="AW251" s="1">
        <v>41395</v>
      </c>
      <c r="AX251">
        <v>70534</v>
      </c>
      <c r="AY251" t="s">
        <v>24</v>
      </c>
    </row>
    <row r="252" spans="1:51" x14ac:dyDescent="0.25">
      <c r="A252" s="1">
        <v>41334</v>
      </c>
      <c r="B252">
        <v>48117</v>
      </c>
      <c r="C252" t="s">
        <v>4</v>
      </c>
      <c r="U252" s="1">
        <v>41214</v>
      </c>
      <c r="V252">
        <v>46278</v>
      </c>
      <c r="W252" t="s">
        <v>16</v>
      </c>
      <c r="AI252" s="1">
        <v>41426</v>
      </c>
      <c r="AJ252">
        <v>48520</v>
      </c>
      <c r="AK252" t="s">
        <v>22</v>
      </c>
      <c r="AW252" s="1">
        <v>41426</v>
      </c>
      <c r="AX252">
        <v>70508</v>
      </c>
      <c r="AY252" t="s">
        <v>22</v>
      </c>
    </row>
    <row r="253" spans="1:51" x14ac:dyDescent="0.25">
      <c r="A253" s="1">
        <v>41334</v>
      </c>
      <c r="B253">
        <v>30621</v>
      </c>
      <c r="C253" t="s">
        <v>5</v>
      </c>
      <c r="U253" s="1">
        <v>41214</v>
      </c>
      <c r="V253">
        <v>21038</v>
      </c>
      <c r="W253" t="s">
        <v>14</v>
      </c>
      <c r="AI253" s="1">
        <v>41426</v>
      </c>
      <c r="AJ253">
        <v>26806</v>
      </c>
      <c r="AK253" t="s">
        <v>24</v>
      </c>
      <c r="AW253" s="1">
        <v>41426</v>
      </c>
      <c r="AX253">
        <v>64185</v>
      </c>
      <c r="AY253" t="s">
        <v>25</v>
      </c>
    </row>
    <row r="254" spans="1:51" x14ac:dyDescent="0.25">
      <c r="A254" s="1">
        <v>41334</v>
      </c>
      <c r="B254">
        <v>48881</v>
      </c>
      <c r="C254" t="s">
        <v>2</v>
      </c>
      <c r="U254" s="1">
        <v>41244</v>
      </c>
      <c r="V254">
        <v>41588</v>
      </c>
      <c r="W254" t="s">
        <v>15</v>
      </c>
      <c r="AI254" s="1">
        <v>41426</v>
      </c>
      <c r="AJ254">
        <v>28244</v>
      </c>
      <c r="AK254" t="s">
        <v>25</v>
      </c>
      <c r="AW254" s="1">
        <v>41426</v>
      </c>
      <c r="AX254">
        <v>65961</v>
      </c>
      <c r="AY254" t="s">
        <v>24</v>
      </c>
    </row>
    <row r="255" spans="1:51" x14ac:dyDescent="0.25">
      <c r="A255" s="1">
        <v>41365</v>
      </c>
      <c r="B255">
        <v>7</v>
      </c>
      <c r="C255" t="s">
        <v>3</v>
      </c>
      <c r="U255" s="1">
        <v>41244</v>
      </c>
      <c r="V255">
        <v>16571</v>
      </c>
      <c r="W255" t="s">
        <v>16</v>
      </c>
      <c r="AI255" s="1">
        <v>41456</v>
      </c>
      <c r="AJ255">
        <v>62247</v>
      </c>
      <c r="AK255" t="s">
        <v>22</v>
      </c>
      <c r="AW255" s="1">
        <v>41456</v>
      </c>
      <c r="AX255">
        <v>80327</v>
      </c>
      <c r="AY255" t="s">
        <v>22</v>
      </c>
    </row>
    <row r="256" spans="1:51" x14ac:dyDescent="0.25">
      <c r="A256" s="1">
        <v>41365</v>
      </c>
      <c r="B256">
        <v>40468</v>
      </c>
      <c r="C256" t="s">
        <v>4</v>
      </c>
      <c r="U256" s="1">
        <v>41244</v>
      </c>
      <c r="V256">
        <v>8801</v>
      </c>
      <c r="W256" t="s">
        <v>14</v>
      </c>
      <c r="AI256" s="1">
        <v>41456</v>
      </c>
      <c r="AJ256">
        <v>32722</v>
      </c>
      <c r="AK256" t="s">
        <v>24</v>
      </c>
      <c r="AW256" s="1">
        <v>41456</v>
      </c>
      <c r="AX256">
        <v>62288</v>
      </c>
      <c r="AY256" t="s">
        <v>25</v>
      </c>
    </row>
    <row r="257" spans="1:51" x14ac:dyDescent="0.25">
      <c r="A257" s="1">
        <v>41365</v>
      </c>
      <c r="B257">
        <v>33414</v>
      </c>
      <c r="C257" t="s">
        <v>5</v>
      </c>
      <c r="U257" s="1">
        <v>41275</v>
      </c>
      <c r="V257">
        <v>73417</v>
      </c>
      <c r="W257" t="s">
        <v>15</v>
      </c>
      <c r="AI257" s="1">
        <v>41456</v>
      </c>
      <c r="AJ257">
        <v>26787</v>
      </c>
      <c r="AK257" t="s">
        <v>25</v>
      </c>
      <c r="AW257" s="1">
        <v>41456</v>
      </c>
      <c r="AX257">
        <v>61838</v>
      </c>
      <c r="AY257" t="s">
        <v>24</v>
      </c>
    </row>
    <row r="258" spans="1:51" x14ac:dyDescent="0.25">
      <c r="A258" s="1">
        <v>41365</v>
      </c>
      <c r="B258">
        <v>53226</v>
      </c>
      <c r="C258" t="s">
        <v>2</v>
      </c>
      <c r="U258" s="1">
        <v>41275</v>
      </c>
      <c r="V258">
        <v>25177</v>
      </c>
      <c r="W258" t="s">
        <v>16</v>
      </c>
      <c r="AI258" s="1">
        <v>41487</v>
      </c>
      <c r="AJ258">
        <v>60521</v>
      </c>
      <c r="AK258" t="s">
        <v>22</v>
      </c>
      <c r="AW258" s="1">
        <v>41487</v>
      </c>
      <c r="AX258">
        <v>86838</v>
      </c>
      <c r="AY258" t="s">
        <v>22</v>
      </c>
    </row>
    <row r="259" spans="1:51" x14ac:dyDescent="0.25">
      <c r="A259" s="1">
        <v>41395</v>
      </c>
      <c r="B259">
        <v>88</v>
      </c>
      <c r="C259" t="s">
        <v>3</v>
      </c>
      <c r="U259" s="1">
        <v>41275</v>
      </c>
      <c r="V259">
        <v>15956</v>
      </c>
      <c r="W259" t="s">
        <v>14</v>
      </c>
      <c r="AI259" s="1">
        <v>41487</v>
      </c>
      <c r="AJ259">
        <v>23013</v>
      </c>
      <c r="AK259" t="s">
        <v>25</v>
      </c>
      <c r="AW259" s="1">
        <v>41487</v>
      </c>
      <c r="AX259">
        <v>57439</v>
      </c>
      <c r="AY259" t="s">
        <v>25</v>
      </c>
    </row>
    <row r="260" spans="1:51" x14ac:dyDescent="0.25">
      <c r="A260" s="1">
        <v>41395</v>
      </c>
      <c r="B260">
        <v>26944</v>
      </c>
      <c r="C260" t="s">
        <v>4</v>
      </c>
      <c r="U260" s="1">
        <v>41306</v>
      </c>
      <c r="V260">
        <v>67911</v>
      </c>
      <c r="W260" t="s">
        <v>15</v>
      </c>
      <c r="AI260" s="1">
        <v>41487</v>
      </c>
      <c r="AJ260">
        <v>27485</v>
      </c>
      <c r="AK260" t="s">
        <v>24</v>
      </c>
      <c r="AW260" s="1">
        <v>41487</v>
      </c>
      <c r="AX260">
        <v>54706</v>
      </c>
      <c r="AY260" t="s">
        <v>24</v>
      </c>
    </row>
    <row r="261" spans="1:51" x14ac:dyDescent="0.25">
      <c r="A261" s="1">
        <v>41395</v>
      </c>
      <c r="B261">
        <v>28554</v>
      </c>
      <c r="C261" t="s">
        <v>5</v>
      </c>
      <c r="U261" s="1">
        <v>41306</v>
      </c>
      <c r="V261">
        <v>25580</v>
      </c>
      <c r="W261" t="s">
        <v>16</v>
      </c>
      <c r="AI261" s="1">
        <v>41518</v>
      </c>
      <c r="AJ261">
        <v>19112</v>
      </c>
      <c r="AK261" t="s">
        <v>24</v>
      </c>
      <c r="AW261" s="1">
        <v>41518</v>
      </c>
      <c r="AX261">
        <v>91301</v>
      </c>
      <c r="AY261" t="s">
        <v>22</v>
      </c>
    </row>
    <row r="262" spans="1:51" x14ac:dyDescent="0.25">
      <c r="A262" s="1">
        <v>41395</v>
      </c>
      <c r="B262">
        <v>49248</v>
      </c>
      <c r="C262" t="s">
        <v>2</v>
      </c>
      <c r="U262" s="1">
        <v>41306</v>
      </c>
      <c r="V262">
        <v>14922</v>
      </c>
      <c r="W262" t="s">
        <v>14</v>
      </c>
      <c r="AI262" s="1">
        <v>41518</v>
      </c>
      <c r="AJ262">
        <v>56082</v>
      </c>
      <c r="AK262" t="s">
        <v>22</v>
      </c>
      <c r="AW262" s="1">
        <v>41518</v>
      </c>
      <c r="AX262">
        <v>49678</v>
      </c>
      <c r="AY262" t="s">
        <v>25</v>
      </c>
    </row>
    <row r="263" spans="1:51" x14ac:dyDescent="0.25">
      <c r="A263" s="1">
        <v>41426</v>
      </c>
      <c r="B263">
        <v>19</v>
      </c>
      <c r="C263" t="s">
        <v>3</v>
      </c>
      <c r="U263" s="1">
        <v>41334</v>
      </c>
      <c r="V263">
        <v>82614</v>
      </c>
      <c r="W263" t="s">
        <v>15</v>
      </c>
      <c r="AI263" s="1">
        <v>41518</v>
      </c>
      <c r="AJ263">
        <v>20541</v>
      </c>
      <c r="AK263" t="s">
        <v>25</v>
      </c>
      <c r="AW263" s="1">
        <v>41518</v>
      </c>
      <c r="AX263">
        <v>43768</v>
      </c>
      <c r="AY263" t="s">
        <v>24</v>
      </c>
    </row>
    <row r="264" spans="1:51" x14ac:dyDescent="0.25">
      <c r="A264" s="1">
        <v>41426</v>
      </c>
      <c r="B264">
        <v>33375</v>
      </c>
      <c r="C264" t="s">
        <v>4</v>
      </c>
      <c r="U264" s="1">
        <v>41334</v>
      </c>
      <c r="V264">
        <v>28914</v>
      </c>
      <c r="W264" t="s">
        <v>16</v>
      </c>
      <c r="AI264" s="1">
        <v>41548</v>
      </c>
      <c r="AJ264">
        <v>11604</v>
      </c>
      <c r="AK264" t="s">
        <v>24</v>
      </c>
      <c r="AW264" s="1">
        <v>41548</v>
      </c>
      <c r="AX264">
        <v>91705</v>
      </c>
      <c r="AY264" t="s">
        <v>22</v>
      </c>
    </row>
    <row r="265" spans="1:51" x14ac:dyDescent="0.25">
      <c r="A265" s="1">
        <v>41426</v>
      </c>
      <c r="B265">
        <v>30201</v>
      </c>
      <c r="C265" t="s">
        <v>5</v>
      </c>
      <c r="U265" s="1">
        <v>41334</v>
      </c>
      <c r="V265">
        <v>16099</v>
      </c>
      <c r="W265" t="s">
        <v>14</v>
      </c>
      <c r="AI265" s="1">
        <v>41548</v>
      </c>
      <c r="AJ265">
        <v>15993</v>
      </c>
      <c r="AK265" t="s">
        <v>25</v>
      </c>
      <c r="AW265" s="1">
        <v>41548</v>
      </c>
      <c r="AX265">
        <v>40554</v>
      </c>
      <c r="AY265" t="s">
        <v>25</v>
      </c>
    </row>
    <row r="266" spans="1:51" x14ac:dyDescent="0.25">
      <c r="A266" s="1">
        <v>41426</v>
      </c>
      <c r="B266">
        <v>62348</v>
      </c>
      <c r="C266" t="s">
        <v>2</v>
      </c>
      <c r="U266" s="1">
        <v>41365</v>
      </c>
      <c r="V266">
        <v>75037</v>
      </c>
      <c r="W266" t="s">
        <v>15</v>
      </c>
      <c r="AI266" s="1">
        <v>41548</v>
      </c>
      <c r="AJ266">
        <v>49157</v>
      </c>
      <c r="AK266" t="s">
        <v>22</v>
      </c>
      <c r="AW266" s="1">
        <v>41548</v>
      </c>
      <c r="AX266">
        <v>30822</v>
      </c>
      <c r="AY266" t="s">
        <v>24</v>
      </c>
    </row>
    <row r="267" spans="1:51" x14ac:dyDescent="0.25">
      <c r="A267" s="1">
        <v>41456</v>
      </c>
      <c r="B267">
        <v>26413</v>
      </c>
      <c r="C267" t="s">
        <v>4</v>
      </c>
      <c r="U267" s="1">
        <v>41365</v>
      </c>
      <c r="V267">
        <v>35275</v>
      </c>
      <c r="W267" t="s">
        <v>16</v>
      </c>
      <c r="AI267" s="1">
        <v>41579</v>
      </c>
      <c r="AJ267">
        <v>12082</v>
      </c>
      <c r="AK267" t="s">
        <v>25</v>
      </c>
      <c r="AW267" s="1">
        <v>41579</v>
      </c>
      <c r="AX267">
        <v>77750</v>
      </c>
      <c r="AY267" t="s">
        <v>22</v>
      </c>
    </row>
    <row r="268" spans="1:51" x14ac:dyDescent="0.25">
      <c r="A268" s="1">
        <v>41456</v>
      </c>
      <c r="B268">
        <v>22463</v>
      </c>
      <c r="C268" t="s">
        <v>5</v>
      </c>
      <c r="U268" s="1">
        <v>41365</v>
      </c>
      <c r="V268">
        <v>16803</v>
      </c>
      <c r="W268" t="s">
        <v>14</v>
      </c>
      <c r="AI268" s="1">
        <v>41579</v>
      </c>
      <c r="AJ268">
        <v>7900</v>
      </c>
      <c r="AK268" t="s">
        <v>24</v>
      </c>
      <c r="AW268" s="1">
        <v>41579</v>
      </c>
      <c r="AX268">
        <v>33744</v>
      </c>
      <c r="AY268" t="s">
        <v>25</v>
      </c>
    </row>
    <row r="269" spans="1:51" x14ac:dyDescent="0.25">
      <c r="A269" s="1">
        <v>41456</v>
      </c>
      <c r="B269">
        <v>52562</v>
      </c>
      <c r="C269" t="s">
        <v>2</v>
      </c>
      <c r="U269" s="1">
        <v>41395</v>
      </c>
      <c r="V269">
        <v>55021</v>
      </c>
      <c r="W269" t="s">
        <v>15</v>
      </c>
      <c r="AI269" s="1">
        <v>41579</v>
      </c>
      <c r="AJ269">
        <v>41646</v>
      </c>
      <c r="AK269" t="s">
        <v>22</v>
      </c>
      <c r="AW269" s="1">
        <v>41579</v>
      </c>
      <c r="AX269">
        <v>21446</v>
      </c>
      <c r="AY269" t="s">
        <v>24</v>
      </c>
    </row>
    <row r="270" spans="1:51" x14ac:dyDescent="0.25">
      <c r="A270" s="1">
        <v>41487</v>
      </c>
      <c r="B270">
        <v>1</v>
      </c>
      <c r="C270" t="s">
        <v>3</v>
      </c>
      <c r="U270" s="1">
        <v>41395</v>
      </c>
      <c r="V270">
        <v>34586</v>
      </c>
      <c r="W270" t="s">
        <v>16</v>
      </c>
      <c r="AI270" s="1">
        <v>41609</v>
      </c>
      <c r="AJ270">
        <v>45669</v>
      </c>
      <c r="AK270" t="s">
        <v>22</v>
      </c>
      <c r="AW270" s="1">
        <v>41609</v>
      </c>
      <c r="AX270">
        <v>71683</v>
      </c>
      <c r="AY270" t="s">
        <v>22</v>
      </c>
    </row>
    <row r="271" spans="1:51" x14ac:dyDescent="0.25">
      <c r="A271" s="1">
        <v>41487</v>
      </c>
      <c r="B271">
        <v>23108</v>
      </c>
      <c r="C271" t="s">
        <v>4</v>
      </c>
      <c r="U271" s="1">
        <v>41395</v>
      </c>
      <c r="V271">
        <v>15227</v>
      </c>
      <c r="W271" t="s">
        <v>14</v>
      </c>
      <c r="AI271" s="1">
        <v>41609</v>
      </c>
      <c r="AJ271">
        <v>10922</v>
      </c>
      <c r="AK271" t="s">
        <v>25</v>
      </c>
      <c r="AW271" s="1">
        <v>41609</v>
      </c>
      <c r="AX271">
        <v>32773</v>
      </c>
      <c r="AY271" t="s">
        <v>25</v>
      </c>
    </row>
    <row r="272" spans="1:51" x14ac:dyDescent="0.25">
      <c r="A272" s="1">
        <v>41487</v>
      </c>
      <c r="B272">
        <v>18785</v>
      </c>
      <c r="C272" t="s">
        <v>5</v>
      </c>
      <c r="U272" s="1">
        <v>41426</v>
      </c>
      <c r="V272">
        <v>66427</v>
      </c>
      <c r="W272" t="s">
        <v>15</v>
      </c>
      <c r="AI272" s="1">
        <v>41609</v>
      </c>
      <c r="AJ272">
        <v>8033</v>
      </c>
      <c r="AK272" t="s">
        <v>24</v>
      </c>
      <c r="AW272" s="1">
        <v>41609</v>
      </c>
      <c r="AX272">
        <v>19444</v>
      </c>
      <c r="AY272" t="s">
        <v>24</v>
      </c>
    </row>
    <row r="273" spans="1:51" x14ac:dyDescent="0.25">
      <c r="A273" s="1">
        <v>41487</v>
      </c>
      <c r="B273">
        <v>62201</v>
      </c>
      <c r="C273" t="s">
        <v>2</v>
      </c>
      <c r="U273" s="1">
        <v>41426</v>
      </c>
      <c r="V273">
        <v>44700</v>
      </c>
      <c r="W273" t="s">
        <v>16</v>
      </c>
      <c r="AI273" s="1">
        <v>41640</v>
      </c>
      <c r="AJ273">
        <v>9751</v>
      </c>
      <c r="AK273" t="s">
        <v>25</v>
      </c>
      <c r="AW273" s="1">
        <v>41640</v>
      </c>
      <c r="AX273">
        <v>55718</v>
      </c>
      <c r="AY273" t="s">
        <v>22</v>
      </c>
    </row>
    <row r="274" spans="1:51" x14ac:dyDescent="0.25">
      <c r="A274" s="1">
        <v>41518</v>
      </c>
      <c r="B274">
        <v>90</v>
      </c>
      <c r="C274" t="s">
        <v>3</v>
      </c>
      <c r="U274" s="1">
        <v>41426</v>
      </c>
      <c r="V274">
        <v>14816</v>
      </c>
      <c r="W274" t="s">
        <v>14</v>
      </c>
      <c r="AI274" s="1">
        <v>41640</v>
      </c>
      <c r="AJ274">
        <v>9674</v>
      </c>
      <c r="AK274" t="s">
        <v>24</v>
      </c>
      <c r="AW274" s="1">
        <v>41640</v>
      </c>
      <c r="AX274">
        <v>28222</v>
      </c>
      <c r="AY274" t="s">
        <v>25</v>
      </c>
    </row>
    <row r="275" spans="1:51" x14ac:dyDescent="0.25">
      <c r="A275" s="1">
        <v>41518</v>
      </c>
      <c r="B275">
        <v>12617</v>
      </c>
      <c r="C275" t="s">
        <v>4</v>
      </c>
      <c r="U275" s="1">
        <v>41456</v>
      </c>
      <c r="V275">
        <v>51039</v>
      </c>
      <c r="W275" t="s">
        <v>15</v>
      </c>
      <c r="AI275" s="1">
        <v>41640</v>
      </c>
      <c r="AJ275">
        <v>45740</v>
      </c>
      <c r="AK275" t="s">
        <v>22</v>
      </c>
      <c r="AW275" s="1">
        <v>41640</v>
      </c>
      <c r="AX275">
        <v>18437</v>
      </c>
      <c r="AY275" t="s">
        <v>24</v>
      </c>
    </row>
    <row r="276" spans="1:51" x14ac:dyDescent="0.25">
      <c r="A276" s="1">
        <v>41518</v>
      </c>
      <c r="B276">
        <v>16394</v>
      </c>
      <c r="C276" t="s">
        <v>5</v>
      </c>
      <c r="U276" s="1">
        <v>41456</v>
      </c>
      <c r="V276">
        <v>39068</v>
      </c>
      <c r="W276" t="s">
        <v>16</v>
      </c>
      <c r="AI276" s="1">
        <v>41671</v>
      </c>
      <c r="AJ276">
        <v>9770</v>
      </c>
      <c r="AK276" t="s">
        <v>24</v>
      </c>
      <c r="AW276" s="1">
        <v>41671</v>
      </c>
      <c r="AX276">
        <v>56034</v>
      </c>
      <c r="AY276" t="s">
        <v>22</v>
      </c>
    </row>
    <row r="277" spans="1:51" x14ac:dyDescent="0.25">
      <c r="A277" s="1">
        <v>41518</v>
      </c>
      <c r="B277">
        <v>44797</v>
      </c>
      <c r="C277" t="s">
        <v>2</v>
      </c>
      <c r="U277" s="1">
        <v>41456</v>
      </c>
      <c r="V277">
        <v>11331</v>
      </c>
      <c r="W277" t="s">
        <v>14</v>
      </c>
      <c r="AI277" s="1">
        <v>41671</v>
      </c>
      <c r="AJ277">
        <v>48083</v>
      </c>
      <c r="AK277" t="s">
        <v>22</v>
      </c>
      <c r="AW277" s="1">
        <v>41671</v>
      </c>
      <c r="AX277">
        <v>26633</v>
      </c>
      <c r="AY277" t="s">
        <v>25</v>
      </c>
    </row>
    <row r="278" spans="1:51" x14ac:dyDescent="0.25">
      <c r="A278" s="1">
        <v>41548</v>
      </c>
      <c r="B278">
        <v>8614</v>
      </c>
      <c r="C278" t="s">
        <v>4</v>
      </c>
      <c r="U278" s="1">
        <v>41487</v>
      </c>
      <c r="V278">
        <v>46731</v>
      </c>
      <c r="W278" t="s">
        <v>15</v>
      </c>
      <c r="AI278" s="1">
        <v>41671</v>
      </c>
      <c r="AJ278">
        <v>9671</v>
      </c>
      <c r="AK278" t="s">
        <v>25</v>
      </c>
      <c r="AW278" s="1">
        <v>41671</v>
      </c>
      <c r="AX278">
        <v>17008</v>
      </c>
      <c r="AY278" t="s">
        <v>24</v>
      </c>
    </row>
    <row r="279" spans="1:51" x14ac:dyDescent="0.25">
      <c r="A279" s="1">
        <v>41548</v>
      </c>
      <c r="B279">
        <v>13595</v>
      </c>
      <c r="C279" t="s">
        <v>5</v>
      </c>
      <c r="U279" s="1">
        <v>41487</v>
      </c>
      <c r="V279">
        <v>47444</v>
      </c>
      <c r="W279" t="s">
        <v>16</v>
      </c>
      <c r="AI279" s="1">
        <v>41699</v>
      </c>
      <c r="AJ279">
        <v>6588</v>
      </c>
      <c r="AK279" t="s">
        <v>24</v>
      </c>
      <c r="AW279" s="1">
        <v>41699</v>
      </c>
      <c r="AX279">
        <v>39691</v>
      </c>
      <c r="AY279" t="s">
        <v>22</v>
      </c>
    </row>
    <row r="280" spans="1:51" x14ac:dyDescent="0.25">
      <c r="A280" s="1">
        <v>41548</v>
      </c>
      <c r="B280">
        <v>41608</v>
      </c>
      <c r="C280" t="s">
        <v>2</v>
      </c>
      <c r="U280" s="1">
        <v>41487</v>
      </c>
      <c r="V280">
        <v>9920</v>
      </c>
      <c r="W280" t="s">
        <v>14</v>
      </c>
      <c r="AI280" s="1">
        <v>41699</v>
      </c>
      <c r="AJ280">
        <v>32180</v>
      </c>
      <c r="AK280" t="s">
        <v>22</v>
      </c>
      <c r="AW280" s="1">
        <v>41699</v>
      </c>
      <c r="AX280">
        <v>22506</v>
      </c>
      <c r="AY280" t="s">
        <v>25</v>
      </c>
    </row>
    <row r="281" spans="1:51" x14ac:dyDescent="0.25">
      <c r="A281" s="1">
        <v>41579</v>
      </c>
      <c r="B281">
        <v>969</v>
      </c>
      <c r="C281" t="s">
        <v>3</v>
      </c>
      <c r="U281" s="1">
        <v>41518</v>
      </c>
      <c r="V281">
        <v>30127</v>
      </c>
      <c r="W281" t="s">
        <v>15</v>
      </c>
      <c r="AI281" s="1">
        <v>41699</v>
      </c>
      <c r="AJ281">
        <v>8095</v>
      </c>
      <c r="AK281" t="s">
        <v>25</v>
      </c>
      <c r="AW281" s="1">
        <v>41699</v>
      </c>
      <c r="AX281">
        <v>13934</v>
      </c>
      <c r="AY281" t="s">
        <v>24</v>
      </c>
    </row>
    <row r="282" spans="1:51" x14ac:dyDescent="0.25">
      <c r="A282" s="1">
        <v>41579</v>
      </c>
      <c r="B282">
        <v>7821</v>
      </c>
      <c r="C282" t="s">
        <v>4</v>
      </c>
      <c r="U282" s="1">
        <v>41518</v>
      </c>
      <c r="V282">
        <v>35267</v>
      </c>
      <c r="W282" t="s">
        <v>16</v>
      </c>
      <c r="AI282" s="1">
        <v>41730</v>
      </c>
      <c r="AJ282">
        <v>3315</v>
      </c>
      <c r="AK282" t="s">
        <v>25</v>
      </c>
      <c r="AW282" s="1">
        <v>41730</v>
      </c>
      <c r="AX282">
        <v>40882</v>
      </c>
      <c r="AY282" t="s">
        <v>22</v>
      </c>
    </row>
    <row r="283" spans="1:51" x14ac:dyDescent="0.25">
      <c r="A283" s="1">
        <v>41579</v>
      </c>
      <c r="B283">
        <v>12144</v>
      </c>
      <c r="C283" t="s">
        <v>5</v>
      </c>
      <c r="U283" s="1">
        <v>41518</v>
      </c>
      <c r="V283">
        <v>8504</v>
      </c>
      <c r="W283" t="s">
        <v>14</v>
      </c>
      <c r="AI283" s="1">
        <v>41730</v>
      </c>
      <c r="AJ283">
        <v>9473</v>
      </c>
      <c r="AK283" t="s">
        <v>24</v>
      </c>
      <c r="AW283" s="1">
        <v>41730</v>
      </c>
      <c r="AX283">
        <v>19121</v>
      </c>
      <c r="AY283" t="s">
        <v>25</v>
      </c>
    </row>
    <row r="284" spans="1:51" x14ac:dyDescent="0.25">
      <c r="A284" s="1">
        <v>41579</v>
      </c>
      <c r="B284">
        <v>50491</v>
      </c>
      <c r="C284" t="s">
        <v>2</v>
      </c>
      <c r="U284" s="1">
        <v>41548</v>
      </c>
      <c r="V284">
        <v>22632</v>
      </c>
      <c r="W284" t="s">
        <v>15</v>
      </c>
      <c r="AI284" s="1">
        <v>41730</v>
      </c>
      <c r="AJ284">
        <v>34462</v>
      </c>
      <c r="AK284" t="s">
        <v>22</v>
      </c>
      <c r="AW284" s="1">
        <v>41730</v>
      </c>
      <c r="AX284">
        <v>12746</v>
      </c>
      <c r="AY284" t="s">
        <v>24</v>
      </c>
    </row>
    <row r="285" spans="1:51" x14ac:dyDescent="0.25">
      <c r="A285" s="1">
        <v>41609</v>
      </c>
      <c r="B285">
        <v>1125</v>
      </c>
      <c r="C285" t="s">
        <v>3</v>
      </c>
      <c r="U285" s="1">
        <v>41548</v>
      </c>
      <c r="V285">
        <v>33777</v>
      </c>
      <c r="W285" t="s">
        <v>16</v>
      </c>
      <c r="AI285" s="1">
        <v>41760</v>
      </c>
      <c r="AJ285">
        <v>3393</v>
      </c>
      <c r="AK285" t="s">
        <v>25</v>
      </c>
      <c r="AW285" s="1">
        <v>41760</v>
      </c>
      <c r="AX285">
        <v>52579</v>
      </c>
      <c r="AY285" t="s">
        <v>22</v>
      </c>
    </row>
    <row r="286" spans="1:51" x14ac:dyDescent="0.25">
      <c r="A286" s="1">
        <v>41609</v>
      </c>
      <c r="B286">
        <v>9232</v>
      </c>
      <c r="C286" t="s">
        <v>4</v>
      </c>
      <c r="U286" s="1">
        <v>41548</v>
      </c>
      <c r="V286">
        <v>7408</v>
      </c>
      <c r="W286" t="s">
        <v>14</v>
      </c>
      <c r="AI286" s="1">
        <v>41760</v>
      </c>
      <c r="AJ286">
        <v>11593</v>
      </c>
      <c r="AK286" t="s">
        <v>24</v>
      </c>
      <c r="AW286" s="1">
        <v>41760</v>
      </c>
      <c r="AX286">
        <v>20629</v>
      </c>
      <c r="AY286" t="s">
        <v>25</v>
      </c>
    </row>
    <row r="287" spans="1:51" x14ac:dyDescent="0.25">
      <c r="A287" s="1">
        <v>41609</v>
      </c>
      <c r="B287">
        <v>8436</v>
      </c>
      <c r="C287" t="s">
        <v>5</v>
      </c>
      <c r="U287" s="1">
        <v>41579</v>
      </c>
      <c r="V287">
        <v>24532</v>
      </c>
      <c r="W287" t="s">
        <v>15</v>
      </c>
      <c r="AI287" s="1">
        <v>41760</v>
      </c>
      <c r="AJ287">
        <v>46337</v>
      </c>
      <c r="AK287" t="s">
        <v>22</v>
      </c>
      <c r="AW287" s="1">
        <v>41760</v>
      </c>
      <c r="AX287">
        <v>14488</v>
      </c>
      <c r="AY287" t="s">
        <v>24</v>
      </c>
    </row>
    <row r="288" spans="1:51" x14ac:dyDescent="0.25">
      <c r="A288" s="1">
        <v>41609</v>
      </c>
      <c r="B288">
        <v>51152</v>
      </c>
      <c r="C288" t="s">
        <v>2</v>
      </c>
      <c r="U288" s="1">
        <v>41579</v>
      </c>
      <c r="V288">
        <v>40694</v>
      </c>
      <c r="W288" t="s">
        <v>16</v>
      </c>
      <c r="AI288" s="1">
        <v>41791</v>
      </c>
      <c r="AJ288">
        <v>11234</v>
      </c>
      <c r="AK288" t="s">
        <v>24</v>
      </c>
      <c r="AW288" s="1">
        <v>41791</v>
      </c>
      <c r="AX288">
        <v>60064</v>
      </c>
      <c r="AY288" t="s">
        <v>22</v>
      </c>
    </row>
    <row r="289" spans="1:51" x14ac:dyDescent="0.25">
      <c r="A289" s="1">
        <v>41640</v>
      </c>
      <c r="B289">
        <v>8940</v>
      </c>
      <c r="C289" t="s">
        <v>4</v>
      </c>
      <c r="U289" s="1">
        <v>41579</v>
      </c>
      <c r="V289">
        <v>6199</v>
      </c>
      <c r="W289" t="s">
        <v>14</v>
      </c>
      <c r="AI289" s="1">
        <v>41791</v>
      </c>
      <c r="AJ289">
        <v>3248</v>
      </c>
      <c r="AK289" t="s">
        <v>25</v>
      </c>
      <c r="AW289" s="1">
        <v>41791</v>
      </c>
      <c r="AX289">
        <v>19641</v>
      </c>
      <c r="AY289" t="s">
        <v>25</v>
      </c>
    </row>
    <row r="290" spans="1:51" x14ac:dyDescent="0.25">
      <c r="A290" s="1">
        <v>41640</v>
      </c>
      <c r="B290">
        <v>10673</v>
      </c>
      <c r="C290" t="s">
        <v>5</v>
      </c>
      <c r="U290" s="1">
        <v>41609</v>
      </c>
      <c r="V290">
        <v>25298</v>
      </c>
      <c r="W290" t="s">
        <v>15</v>
      </c>
      <c r="AI290" s="1">
        <v>41791</v>
      </c>
      <c r="AJ290">
        <v>49505</v>
      </c>
      <c r="AK290" t="s">
        <v>22</v>
      </c>
      <c r="AW290" s="1">
        <v>41791</v>
      </c>
      <c r="AX290">
        <v>14305</v>
      </c>
      <c r="AY290" t="s">
        <v>24</v>
      </c>
    </row>
    <row r="291" spans="1:51" x14ac:dyDescent="0.25">
      <c r="A291" s="1">
        <v>41640</v>
      </c>
      <c r="B291">
        <v>41585</v>
      </c>
      <c r="C291" t="s">
        <v>2</v>
      </c>
      <c r="U291" s="1">
        <v>41609</v>
      </c>
      <c r="V291">
        <v>40788</v>
      </c>
      <c r="W291" t="s">
        <v>16</v>
      </c>
      <c r="AI291" s="1">
        <v>41821</v>
      </c>
      <c r="AJ291">
        <v>2784</v>
      </c>
      <c r="AK291" t="s">
        <v>25</v>
      </c>
      <c r="AW291" s="1">
        <v>41821</v>
      </c>
      <c r="AX291">
        <v>71732</v>
      </c>
      <c r="AY291" t="s">
        <v>22</v>
      </c>
    </row>
    <row r="292" spans="1:51" x14ac:dyDescent="0.25">
      <c r="A292" s="1">
        <v>41671</v>
      </c>
      <c r="B292">
        <v>7816</v>
      </c>
      <c r="C292" t="s">
        <v>4</v>
      </c>
      <c r="U292" s="1">
        <v>41609</v>
      </c>
      <c r="V292">
        <v>3859</v>
      </c>
      <c r="W292" t="s">
        <v>14</v>
      </c>
      <c r="AI292" s="1">
        <v>41821</v>
      </c>
      <c r="AJ292">
        <v>10540</v>
      </c>
      <c r="AK292" t="s">
        <v>24</v>
      </c>
      <c r="AW292" s="1">
        <v>41821</v>
      </c>
      <c r="AX292">
        <v>19650</v>
      </c>
      <c r="AY292" t="s">
        <v>25</v>
      </c>
    </row>
    <row r="293" spans="1:51" x14ac:dyDescent="0.25">
      <c r="A293" s="1">
        <v>41671</v>
      </c>
      <c r="B293">
        <v>9613</v>
      </c>
      <c r="C293" t="s">
        <v>5</v>
      </c>
      <c r="U293" s="1">
        <v>41640</v>
      </c>
      <c r="V293">
        <v>23301</v>
      </c>
      <c r="W293" t="s">
        <v>15</v>
      </c>
      <c r="AI293" s="1">
        <v>41821</v>
      </c>
      <c r="AJ293">
        <v>55296</v>
      </c>
      <c r="AK293" t="s">
        <v>22</v>
      </c>
      <c r="AW293" s="1">
        <v>41821</v>
      </c>
      <c r="AX293">
        <v>15182</v>
      </c>
      <c r="AY293" t="s">
        <v>24</v>
      </c>
    </row>
    <row r="294" spans="1:51" x14ac:dyDescent="0.25">
      <c r="A294" s="1">
        <v>41671</v>
      </c>
      <c r="B294">
        <v>433</v>
      </c>
      <c r="C294" t="s">
        <v>6</v>
      </c>
      <c r="U294" s="1">
        <v>41640</v>
      </c>
      <c r="V294">
        <v>32552</v>
      </c>
      <c r="W294" t="s">
        <v>16</v>
      </c>
      <c r="AI294" s="1">
        <v>41852</v>
      </c>
      <c r="AJ294">
        <v>65987</v>
      </c>
      <c r="AK294" t="s">
        <v>22</v>
      </c>
      <c r="AW294" s="1">
        <v>41852</v>
      </c>
      <c r="AX294">
        <v>78272</v>
      </c>
      <c r="AY294" t="s">
        <v>22</v>
      </c>
    </row>
    <row r="295" spans="1:51" x14ac:dyDescent="0.25">
      <c r="A295" s="1">
        <v>41671</v>
      </c>
      <c r="B295">
        <v>40661</v>
      </c>
      <c r="C295" t="s">
        <v>2</v>
      </c>
      <c r="U295" s="1">
        <v>41640</v>
      </c>
      <c r="V295">
        <v>5345</v>
      </c>
      <c r="W295" t="s">
        <v>14</v>
      </c>
      <c r="AI295" s="1">
        <v>41852</v>
      </c>
      <c r="AJ295">
        <v>2417</v>
      </c>
      <c r="AK295" t="s">
        <v>25</v>
      </c>
      <c r="AW295" s="1">
        <v>41852</v>
      </c>
      <c r="AX295">
        <v>21026</v>
      </c>
      <c r="AY295" t="s">
        <v>25</v>
      </c>
    </row>
    <row r="296" spans="1:51" x14ac:dyDescent="0.25">
      <c r="A296" s="1">
        <v>41699</v>
      </c>
      <c r="B296">
        <v>16</v>
      </c>
      <c r="C296" t="s">
        <v>3</v>
      </c>
      <c r="U296" s="1">
        <v>41671</v>
      </c>
      <c r="V296">
        <v>21236</v>
      </c>
      <c r="W296" t="s">
        <v>15</v>
      </c>
      <c r="AI296" s="1">
        <v>41852</v>
      </c>
      <c r="AJ296">
        <v>13459</v>
      </c>
      <c r="AK296" t="s">
        <v>24</v>
      </c>
      <c r="AW296" s="1">
        <v>41852</v>
      </c>
      <c r="AX296">
        <v>17576</v>
      </c>
      <c r="AY296" t="s">
        <v>24</v>
      </c>
    </row>
    <row r="297" spans="1:51" x14ac:dyDescent="0.25">
      <c r="A297" s="1">
        <v>41699</v>
      </c>
      <c r="B297">
        <v>2610</v>
      </c>
      <c r="C297" t="s">
        <v>4</v>
      </c>
      <c r="U297" s="1">
        <v>41671</v>
      </c>
      <c r="V297">
        <v>32575</v>
      </c>
      <c r="W297" t="s">
        <v>16</v>
      </c>
      <c r="AI297" s="1">
        <v>41883</v>
      </c>
      <c r="AJ297">
        <v>2312</v>
      </c>
      <c r="AK297" t="s">
        <v>25</v>
      </c>
      <c r="AW297" s="1">
        <v>41883</v>
      </c>
      <c r="AX297">
        <v>76943</v>
      </c>
      <c r="AY297" t="s">
        <v>22</v>
      </c>
    </row>
    <row r="298" spans="1:51" x14ac:dyDescent="0.25">
      <c r="A298" s="1">
        <v>41699</v>
      </c>
      <c r="B298">
        <v>2000</v>
      </c>
      <c r="C298" t="s">
        <v>5</v>
      </c>
      <c r="U298" s="1">
        <v>41671</v>
      </c>
      <c r="V298">
        <v>4712</v>
      </c>
      <c r="W298" t="s">
        <v>14</v>
      </c>
      <c r="AI298" s="1">
        <v>41883</v>
      </c>
      <c r="AJ298">
        <v>14181</v>
      </c>
      <c r="AK298" t="s">
        <v>24</v>
      </c>
      <c r="AW298" s="1">
        <v>41883</v>
      </c>
      <c r="AX298">
        <v>22613</v>
      </c>
      <c r="AY298" t="s">
        <v>25</v>
      </c>
    </row>
    <row r="299" spans="1:51" x14ac:dyDescent="0.25">
      <c r="A299" s="1">
        <v>41699</v>
      </c>
      <c r="B299">
        <v>7802</v>
      </c>
      <c r="C299" t="s">
        <v>6</v>
      </c>
      <c r="U299" s="1">
        <v>41699</v>
      </c>
      <c r="V299">
        <v>15910</v>
      </c>
      <c r="W299" t="s">
        <v>15</v>
      </c>
      <c r="AI299" s="1">
        <v>41883</v>
      </c>
      <c r="AJ299">
        <v>67292</v>
      </c>
      <c r="AK299" t="s">
        <v>22</v>
      </c>
      <c r="AW299" s="1">
        <v>41883</v>
      </c>
      <c r="AX299">
        <v>18183</v>
      </c>
      <c r="AY299" t="s">
        <v>24</v>
      </c>
    </row>
    <row r="300" spans="1:51" x14ac:dyDescent="0.25">
      <c r="A300" s="1">
        <v>41699</v>
      </c>
      <c r="B300">
        <v>31931</v>
      </c>
      <c r="C300" t="s">
        <v>2</v>
      </c>
      <c r="U300" s="1">
        <v>41699</v>
      </c>
      <c r="V300">
        <v>25292</v>
      </c>
      <c r="W300" t="s">
        <v>16</v>
      </c>
      <c r="AI300" s="1">
        <v>41913</v>
      </c>
      <c r="AJ300">
        <v>2380</v>
      </c>
      <c r="AK300" t="s">
        <v>25</v>
      </c>
      <c r="AW300" s="1">
        <v>41913</v>
      </c>
      <c r="AX300">
        <v>72571</v>
      </c>
      <c r="AY300" t="s">
        <v>22</v>
      </c>
    </row>
    <row r="301" spans="1:51" x14ac:dyDescent="0.25">
      <c r="A301" s="1">
        <v>41730</v>
      </c>
      <c r="B301">
        <v>488</v>
      </c>
      <c r="C301" t="s">
        <v>4</v>
      </c>
      <c r="U301" s="1">
        <v>41699</v>
      </c>
      <c r="V301">
        <v>3157</v>
      </c>
      <c r="W301" t="s">
        <v>14</v>
      </c>
      <c r="AI301" s="1">
        <v>41913</v>
      </c>
      <c r="AJ301">
        <v>14351</v>
      </c>
      <c r="AK301" t="s">
        <v>24</v>
      </c>
      <c r="AW301" s="1">
        <v>41913</v>
      </c>
      <c r="AX301">
        <v>3822</v>
      </c>
      <c r="AY301" t="s">
        <v>25</v>
      </c>
    </row>
    <row r="302" spans="1:51" x14ac:dyDescent="0.25">
      <c r="A302" s="1">
        <v>41730</v>
      </c>
      <c r="B302">
        <v>203</v>
      </c>
      <c r="C302" t="s">
        <v>5</v>
      </c>
      <c r="U302" s="1">
        <v>41730</v>
      </c>
      <c r="V302">
        <v>18649</v>
      </c>
      <c r="W302" t="s">
        <v>15</v>
      </c>
      <c r="AI302" s="1">
        <v>41913</v>
      </c>
      <c r="AJ302">
        <v>63700</v>
      </c>
      <c r="AK302" t="s">
        <v>22</v>
      </c>
      <c r="AW302" s="1">
        <v>41913</v>
      </c>
      <c r="AX302">
        <v>39009</v>
      </c>
      <c r="AY302" t="s">
        <v>24</v>
      </c>
    </row>
    <row r="303" spans="1:51" x14ac:dyDescent="0.25">
      <c r="A303" s="1">
        <v>41730</v>
      </c>
      <c r="B303">
        <v>13317</v>
      </c>
      <c r="C303" t="s">
        <v>6</v>
      </c>
      <c r="U303" s="1">
        <v>41730</v>
      </c>
      <c r="V303">
        <v>33556</v>
      </c>
      <c r="W303" t="s">
        <v>16</v>
      </c>
      <c r="AI303" s="1">
        <v>41944</v>
      </c>
      <c r="AJ303">
        <v>15344</v>
      </c>
      <c r="AK303" t="s">
        <v>24</v>
      </c>
      <c r="AW303" s="1">
        <v>41944</v>
      </c>
      <c r="AX303">
        <v>67442</v>
      </c>
      <c r="AY303" t="s">
        <v>22</v>
      </c>
    </row>
    <row r="304" spans="1:51" x14ac:dyDescent="0.25">
      <c r="A304" s="1">
        <v>41730</v>
      </c>
      <c r="B304">
        <v>41535</v>
      </c>
      <c r="C304" t="s">
        <v>2</v>
      </c>
      <c r="U304" s="1">
        <v>41730</v>
      </c>
      <c r="V304">
        <v>3338</v>
      </c>
      <c r="W304" t="s">
        <v>14</v>
      </c>
      <c r="AI304" s="1">
        <v>41944</v>
      </c>
      <c r="AJ304">
        <v>2381</v>
      </c>
      <c r="AK304" t="s">
        <v>25</v>
      </c>
      <c r="AW304" s="1">
        <v>41944</v>
      </c>
      <c r="AX304">
        <v>3734</v>
      </c>
      <c r="AY304" t="s">
        <v>25</v>
      </c>
    </row>
    <row r="305" spans="1:51" x14ac:dyDescent="0.25">
      <c r="A305" s="1">
        <v>41760</v>
      </c>
      <c r="B305">
        <v>144</v>
      </c>
      <c r="C305" t="s">
        <v>4</v>
      </c>
      <c r="U305" s="1">
        <v>41760</v>
      </c>
      <c r="V305">
        <v>18072</v>
      </c>
      <c r="W305" t="s">
        <v>15</v>
      </c>
      <c r="AI305" s="1">
        <v>41944</v>
      </c>
      <c r="AJ305">
        <v>59685</v>
      </c>
      <c r="AK305" t="s">
        <v>22</v>
      </c>
      <c r="AW305" s="1">
        <v>41944</v>
      </c>
      <c r="AX305">
        <v>41903</v>
      </c>
      <c r="AY305" t="s">
        <v>24</v>
      </c>
    </row>
    <row r="306" spans="1:51" x14ac:dyDescent="0.25">
      <c r="A306" s="1">
        <v>41760</v>
      </c>
      <c r="B306">
        <v>50</v>
      </c>
      <c r="C306" t="s">
        <v>5</v>
      </c>
      <c r="U306" s="1">
        <v>41760</v>
      </c>
      <c r="V306">
        <v>36971</v>
      </c>
      <c r="W306" t="s">
        <v>16</v>
      </c>
      <c r="AI306" s="1">
        <v>41974</v>
      </c>
      <c r="AJ306">
        <v>2277</v>
      </c>
      <c r="AK306" t="s">
        <v>25</v>
      </c>
      <c r="AW306" s="1">
        <v>41974</v>
      </c>
      <c r="AX306">
        <v>70617</v>
      </c>
      <c r="AY306" t="s">
        <v>22</v>
      </c>
    </row>
    <row r="307" spans="1:51" x14ac:dyDescent="0.25">
      <c r="A307" s="1">
        <v>41760</v>
      </c>
      <c r="B307">
        <v>13013</v>
      </c>
      <c r="C307" t="s">
        <v>6</v>
      </c>
      <c r="U307" s="1">
        <v>41760</v>
      </c>
      <c r="V307">
        <v>2957</v>
      </c>
      <c r="W307" t="s">
        <v>14</v>
      </c>
      <c r="AI307" s="1">
        <v>41974</v>
      </c>
      <c r="AJ307">
        <v>15891</v>
      </c>
      <c r="AK307" t="s">
        <v>24</v>
      </c>
      <c r="AW307" s="1">
        <v>41974</v>
      </c>
      <c r="AX307">
        <v>3478</v>
      </c>
      <c r="AY307" t="s">
        <v>25</v>
      </c>
    </row>
    <row r="308" spans="1:51" x14ac:dyDescent="0.25">
      <c r="A308" s="1">
        <v>41760</v>
      </c>
      <c r="B308">
        <v>44793</v>
      </c>
      <c r="C308" t="s">
        <v>2</v>
      </c>
      <c r="U308" s="1">
        <v>41791</v>
      </c>
      <c r="V308">
        <v>19550</v>
      </c>
      <c r="W308" t="s">
        <v>15</v>
      </c>
      <c r="AI308" s="1">
        <v>41974</v>
      </c>
      <c r="AJ308">
        <v>54341</v>
      </c>
      <c r="AK308" t="s">
        <v>22</v>
      </c>
      <c r="AW308" s="1">
        <v>41974</v>
      </c>
      <c r="AX308">
        <v>43011</v>
      </c>
      <c r="AY308" t="s">
        <v>24</v>
      </c>
    </row>
    <row r="309" spans="1:51" x14ac:dyDescent="0.25">
      <c r="A309" s="1">
        <v>41791</v>
      </c>
      <c r="B309">
        <v>15</v>
      </c>
      <c r="C309" t="s">
        <v>4</v>
      </c>
      <c r="U309" s="1">
        <v>41791</v>
      </c>
      <c r="V309">
        <v>44546</v>
      </c>
      <c r="W309" t="s">
        <v>16</v>
      </c>
      <c r="AI309" s="1">
        <v>42005</v>
      </c>
      <c r="AJ309">
        <v>47249</v>
      </c>
      <c r="AK309" t="s">
        <v>22</v>
      </c>
      <c r="AW309" s="1">
        <v>42005</v>
      </c>
      <c r="AX309">
        <v>57379</v>
      </c>
      <c r="AY309" t="s">
        <v>22</v>
      </c>
    </row>
    <row r="310" spans="1:51" x14ac:dyDescent="0.25">
      <c r="A310" s="1">
        <v>41791</v>
      </c>
      <c r="B310">
        <v>13</v>
      </c>
      <c r="C310" t="s">
        <v>5</v>
      </c>
      <c r="U310" s="1">
        <v>41791</v>
      </c>
      <c r="V310">
        <v>3084</v>
      </c>
      <c r="W310" t="s">
        <v>14</v>
      </c>
      <c r="AI310" s="1">
        <v>42005</v>
      </c>
      <c r="AJ310">
        <v>1975</v>
      </c>
      <c r="AK310" t="s">
        <v>25</v>
      </c>
      <c r="AW310" s="1">
        <v>42005</v>
      </c>
      <c r="AX310">
        <v>2955</v>
      </c>
      <c r="AY310" t="s">
        <v>25</v>
      </c>
    </row>
    <row r="311" spans="1:51" x14ac:dyDescent="0.25">
      <c r="A311" s="1">
        <v>41791</v>
      </c>
      <c r="B311">
        <v>14294</v>
      </c>
      <c r="C311" t="s">
        <v>6</v>
      </c>
      <c r="U311" s="1">
        <v>41821</v>
      </c>
      <c r="V311">
        <v>19246</v>
      </c>
      <c r="W311" t="s">
        <v>15</v>
      </c>
      <c r="AI311" s="1">
        <v>42005</v>
      </c>
      <c r="AJ311">
        <v>19500</v>
      </c>
      <c r="AK311" t="s">
        <v>24</v>
      </c>
      <c r="AW311" s="1">
        <v>42005</v>
      </c>
      <c r="AX311">
        <v>46727</v>
      </c>
      <c r="AY311" t="s">
        <v>24</v>
      </c>
    </row>
    <row r="312" spans="1:51" x14ac:dyDescent="0.25">
      <c r="A312" s="1">
        <v>41791</v>
      </c>
      <c r="B312">
        <v>52858</v>
      </c>
      <c r="C312" t="s">
        <v>2</v>
      </c>
      <c r="U312" s="1">
        <v>41821</v>
      </c>
      <c r="V312">
        <v>47158</v>
      </c>
      <c r="W312" t="s">
        <v>16</v>
      </c>
      <c r="AI312" s="1">
        <v>42036</v>
      </c>
      <c r="AJ312">
        <v>2128</v>
      </c>
      <c r="AK312" t="s">
        <v>25</v>
      </c>
      <c r="AW312" s="1">
        <v>42036</v>
      </c>
      <c r="AX312">
        <v>65620</v>
      </c>
      <c r="AY312" t="s">
        <v>22</v>
      </c>
    </row>
    <row r="313" spans="1:51" x14ac:dyDescent="0.25">
      <c r="A313" s="1">
        <v>41821</v>
      </c>
      <c r="B313">
        <v>20</v>
      </c>
      <c r="C313" t="s">
        <v>4</v>
      </c>
      <c r="U313" s="1">
        <v>41821</v>
      </c>
      <c r="V313">
        <v>2342</v>
      </c>
      <c r="W313" t="s">
        <v>14</v>
      </c>
      <c r="AI313" s="1">
        <v>42036</v>
      </c>
      <c r="AJ313">
        <v>18810</v>
      </c>
      <c r="AK313" t="s">
        <v>24</v>
      </c>
      <c r="AW313" s="1">
        <v>42036</v>
      </c>
      <c r="AX313">
        <v>3183</v>
      </c>
      <c r="AY313" t="s">
        <v>25</v>
      </c>
    </row>
    <row r="314" spans="1:51" x14ac:dyDescent="0.25">
      <c r="A314" s="1">
        <v>41821</v>
      </c>
      <c r="B314">
        <v>10</v>
      </c>
      <c r="C314" t="s">
        <v>5</v>
      </c>
      <c r="U314" s="1">
        <v>41852</v>
      </c>
      <c r="V314">
        <v>34153</v>
      </c>
      <c r="W314" t="s">
        <v>15</v>
      </c>
      <c r="AI314" s="1">
        <v>42036</v>
      </c>
      <c r="AJ314">
        <v>50077</v>
      </c>
      <c r="AK314" t="s">
        <v>22</v>
      </c>
      <c r="AW314" s="1">
        <v>42036</v>
      </c>
      <c r="AX314">
        <v>54114</v>
      </c>
      <c r="AY314" t="s">
        <v>24</v>
      </c>
    </row>
    <row r="315" spans="1:51" x14ac:dyDescent="0.25">
      <c r="A315" s="1">
        <v>41821</v>
      </c>
      <c r="B315">
        <v>13253</v>
      </c>
      <c r="C315" t="s">
        <v>6</v>
      </c>
      <c r="U315" s="1">
        <v>41852</v>
      </c>
      <c r="V315">
        <v>58661</v>
      </c>
      <c r="W315" t="s">
        <v>16</v>
      </c>
      <c r="AI315" s="1">
        <v>42064</v>
      </c>
      <c r="AJ315">
        <v>22277</v>
      </c>
      <c r="AK315" t="s">
        <v>24</v>
      </c>
      <c r="AW315" s="1">
        <v>42064</v>
      </c>
      <c r="AX315">
        <v>50538</v>
      </c>
      <c r="AY315" t="s">
        <v>24</v>
      </c>
    </row>
    <row r="316" spans="1:51" x14ac:dyDescent="0.25">
      <c r="A316" s="1">
        <v>41821</v>
      </c>
      <c r="B316">
        <v>55463</v>
      </c>
      <c r="C316" t="s">
        <v>2</v>
      </c>
      <c r="U316" s="1">
        <v>41852</v>
      </c>
      <c r="V316">
        <v>2219</v>
      </c>
      <c r="W316" t="s">
        <v>14</v>
      </c>
      <c r="AI316" s="1">
        <v>42064</v>
      </c>
      <c r="AJ316">
        <v>1852</v>
      </c>
      <c r="AK316" t="s">
        <v>25</v>
      </c>
      <c r="AW316" s="1">
        <v>42064</v>
      </c>
      <c r="AX316">
        <v>45536</v>
      </c>
      <c r="AY316" t="s">
        <v>22</v>
      </c>
    </row>
    <row r="317" spans="1:51" x14ac:dyDescent="0.25">
      <c r="A317" s="1">
        <v>41852</v>
      </c>
      <c r="B317">
        <v>4942</v>
      </c>
      <c r="C317" t="s">
        <v>4</v>
      </c>
      <c r="U317" s="1">
        <v>41883</v>
      </c>
      <c r="V317">
        <v>27138</v>
      </c>
      <c r="W317" t="s">
        <v>15</v>
      </c>
      <c r="AI317" s="1">
        <v>42064</v>
      </c>
      <c r="AJ317">
        <v>39430</v>
      </c>
      <c r="AK317" t="s">
        <v>22</v>
      </c>
      <c r="AW317" s="1">
        <v>42064</v>
      </c>
      <c r="AX317">
        <v>2758</v>
      </c>
      <c r="AY317" t="s">
        <v>25</v>
      </c>
    </row>
    <row r="318" spans="1:51" x14ac:dyDescent="0.25">
      <c r="A318" s="1">
        <v>41852</v>
      </c>
      <c r="B318">
        <v>25</v>
      </c>
      <c r="C318" t="s">
        <v>5</v>
      </c>
      <c r="U318" s="1">
        <v>41883</v>
      </c>
      <c r="V318">
        <v>53474</v>
      </c>
      <c r="W318" t="s">
        <v>16</v>
      </c>
      <c r="AI318" s="1">
        <v>42095</v>
      </c>
      <c r="AJ318">
        <v>1910</v>
      </c>
      <c r="AK318" t="s">
        <v>25</v>
      </c>
      <c r="AW318" s="1">
        <v>42095</v>
      </c>
      <c r="AX318">
        <v>47059</v>
      </c>
      <c r="AY318" t="s">
        <v>22</v>
      </c>
    </row>
    <row r="319" spans="1:51" x14ac:dyDescent="0.25">
      <c r="A319" s="1">
        <v>41852</v>
      </c>
      <c r="B319">
        <v>15355</v>
      </c>
      <c r="C319" t="s">
        <v>6</v>
      </c>
      <c r="U319" s="1">
        <v>41883</v>
      </c>
      <c r="V319">
        <v>2631</v>
      </c>
      <c r="W319" t="s">
        <v>14</v>
      </c>
      <c r="AI319" s="1">
        <v>42095</v>
      </c>
      <c r="AJ319">
        <v>33106</v>
      </c>
      <c r="AK319" t="s">
        <v>24</v>
      </c>
      <c r="AW319" s="1">
        <v>42095</v>
      </c>
      <c r="AX319">
        <v>2890</v>
      </c>
      <c r="AY319" t="s">
        <v>25</v>
      </c>
    </row>
    <row r="320" spans="1:51" x14ac:dyDescent="0.25">
      <c r="A320" s="1">
        <v>41852</v>
      </c>
      <c r="B320">
        <v>74711</v>
      </c>
      <c r="C320" t="s">
        <v>2</v>
      </c>
      <c r="U320" s="1">
        <v>41913</v>
      </c>
      <c r="V320">
        <v>28527</v>
      </c>
      <c r="W320" t="s">
        <v>15</v>
      </c>
      <c r="AI320" s="1">
        <v>42095</v>
      </c>
      <c r="AJ320">
        <v>45765</v>
      </c>
      <c r="AK320" t="s">
        <v>22</v>
      </c>
      <c r="AW320" s="1">
        <v>42095</v>
      </c>
      <c r="AX320">
        <v>70674</v>
      </c>
      <c r="AY320" t="s">
        <v>24</v>
      </c>
    </row>
    <row r="321" spans="1:51" x14ac:dyDescent="0.25">
      <c r="A321" s="1">
        <v>41883</v>
      </c>
      <c r="B321">
        <v>1</v>
      </c>
      <c r="C321" t="s">
        <v>3</v>
      </c>
      <c r="U321" s="1">
        <v>41913</v>
      </c>
      <c r="V321">
        <v>52441</v>
      </c>
      <c r="W321" t="s">
        <v>16</v>
      </c>
      <c r="AI321" s="1">
        <v>42125</v>
      </c>
      <c r="AJ321">
        <v>63287</v>
      </c>
      <c r="AK321" t="s">
        <v>22</v>
      </c>
      <c r="AW321" s="1">
        <v>42125</v>
      </c>
      <c r="AX321">
        <v>64171</v>
      </c>
      <c r="AY321" t="s">
        <v>22</v>
      </c>
    </row>
    <row r="322" spans="1:51" x14ac:dyDescent="0.25">
      <c r="A322" s="1">
        <v>41883</v>
      </c>
      <c r="B322">
        <v>1198</v>
      </c>
      <c r="C322" t="s">
        <v>4</v>
      </c>
      <c r="U322" s="1">
        <v>41913</v>
      </c>
      <c r="V322">
        <v>2568</v>
      </c>
      <c r="W322" t="s">
        <v>14</v>
      </c>
      <c r="AI322" s="1">
        <v>42125</v>
      </c>
      <c r="AJ322">
        <v>2169</v>
      </c>
      <c r="AK322" t="s">
        <v>25</v>
      </c>
      <c r="AW322" s="1">
        <v>42125</v>
      </c>
      <c r="AX322">
        <v>3285</v>
      </c>
      <c r="AY322" t="s">
        <v>25</v>
      </c>
    </row>
    <row r="323" spans="1:51" x14ac:dyDescent="0.25">
      <c r="A323" s="1">
        <v>41883</v>
      </c>
      <c r="B323">
        <v>11</v>
      </c>
      <c r="C323" t="s">
        <v>5</v>
      </c>
      <c r="U323" s="1">
        <v>41944</v>
      </c>
      <c r="V323">
        <v>27618</v>
      </c>
      <c r="W323" t="s">
        <v>15</v>
      </c>
      <c r="AI323" s="1">
        <v>42125</v>
      </c>
      <c r="AJ323">
        <v>37447</v>
      </c>
      <c r="AK323" t="s">
        <v>24</v>
      </c>
      <c r="AW323" s="1">
        <v>42125</v>
      </c>
      <c r="AX323">
        <v>78177</v>
      </c>
      <c r="AY323" t="s">
        <v>24</v>
      </c>
    </row>
    <row r="324" spans="1:51" x14ac:dyDescent="0.25">
      <c r="A324" s="1">
        <v>41883</v>
      </c>
      <c r="B324">
        <v>16781</v>
      </c>
      <c r="C324" t="s">
        <v>6</v>
      </c>
      <c r="U324" s="1">
        <v>41944</v>
      </c>
      <c r="V324">
        <v>48167</v>
      </c>
      <c r="W324" t="s">
        <v>16</v>
      </c>
      <c r="AI324" s="1">
        <v>42156</v>
      </c>
      <c r="AJ324">
        <v>2004</v>
      </c>
      <c r="AK324" t="s">
        <v>25</v>
      </c>
      <c r="AW324" s="1">
        <v>42156</v>
      </c>
      <c r="AX324">
        <v>67676</v>
      </c>
      <c r="AY324" t="s">
        <v>22</v>
      </c>
    </row>
    <row r="325" spans="1:51" x14ac:dyDescent="0.25">
      <c r="A325" s="1">
        <v>41883</v>
      </c>
      <c r="B325">
        <v>65252</v>
      </c>
      <c r="C325" t="s">
        <v>2</v>
      </c>
      <c r="U325" s="1">
        <v>41944</v>
      </c>
      <c r="V325">
        <v>2198</v>
      </c>
      <c r="W325" t="s">
        <v>14</v>
      </c>
      <c r="AI325" s="1">
        <v>42156</v>
      </c>
      <c r="AJ325">
        <v>28536</v>
      </c>
      <c r="AK325" t="s">
        <v>24</v>
      </c>
      <c r="AW325" s="1">
        <v>42156</v>
      </c>
      <c r="AX325">
        <v>2905</v>
      </c>
      <c r="AY325" t="s">
        <v>25</v>
      </c>
    </row>
    <row r="326" spans="1:51" x14ac:dyDescent="0.25">
      <c r="A326" s="1">
        <v>41913</v>
      </c>
      <c r="B326">
        <v>302</v>
      </c>
      <c r="C326" t="s">
        <v>4</v>
      </c>
      <c r="U326" s="1">
        <v>41974</v>
      </c>
      <c r="V326">
        <v>29951</v>
      </c>
      <c r="W326" t="s">
        <v>15</v>
      </c>
      <c r="AI326" s="1">
        <v>42156</v>
      </c>
      <c r="AJ326">
        <v>66830</v>
      </c>
      <c r="AK326" t="s">
        <v>22</v>
      </c>
      <c r="AW326" s="1">
        <v>42156</v>
      </c>
      <c r="AX326">
        <v>60562</v>
      </c>
      <c r="AY326" t="s">
        <v>24</v>
      </c>
    </row>
    <row r="327" spans="1:51" x14ac:dyDescent="0.25">
      <c r="A327" s="1">
        <v>41913</v>
      </c>
      <c r="B327">
        <v>33</v>
      </c>
      <c r="C327" t="s">
        <v>5</v>
      </c>
      <c r="U327" s="1">
        <v>41974</v>
      </c>
      <c r="V327">
        <v>37180</v>
      </c>
      <c r="W327" t="s">
        <v>16</v>
      </c>
      <c r="AI327" s="1">
        <v>42186</v>
      </c>
      <c r="AJ327">
        <v>1721</v>
      </c>
      <c r="AK327" t="s">
        <v>25</v>
      </c>
      <c r="AW327" s="1">
        <v>42186</v>
      </c>
      <c r="AX327">
        <v>78212</v>
      </c>
      <c r="AY327" t="s">
        <v>22</v>
      </c>
    </row>
    <row r="328" spans="1:51" x14ac:dyDescent="0.25">
      <c r="A328" s="1">
        <v>41913</v>
      </c>
      <c r="B328">
        <v>18205</v>
      </c>
      <c r="C328" t="s">
        <v>6</v>
      </c>
      <c r="U328" s="1">
        <v>41974</v>
      </c>
      <c r="V328">
        <v>2266</v>
      </c>
      <c r="W328" t="s">
        <v>14</v>
      </c>
      <c r="AI328" s="1">
        <v>42186</v>
      </c>
      <c r="AJ328">
        <v>24520</v>
      </c>
      <c r="AK328" t="s">
        <v>24</v>
      </c>
      <c r="AW328" s="1">
        <v>42186</v>
      </c>
      <c r="AX328">
        <v>2527</v>
      </c>
      <c r="AY328" t="s">
        <v>25</v>
      </c>
    </row>
    <row r="329" spans="1:51" x14ac:dyDescent="0.25">
      <c r="A329" s="1">
        <v>41913</v>
      </c>
      <c r="B329">
        <v>64996</v>
      </c>
      <c r="C329" t="s">
        <v>2</v>
      </c>
      <c r="U329" s="1">
        <v>42005</v>
      </c>
      <c r="V329">
        <v>30559</v>
      </c>
      <c r="W329" t="s">
        <v>15</v>
      </c>
      <c r="AI329" s="1">
        <v>42186</v>
      </c>
      <c r="AJ329">
        <v>70152</v>
      </c>
      <c r="AK329" t="s">
        <v>22</v>
      </c>
      <c r="AW329" s="1">
        <v>42186</v>
      </c>
      <c r="AX329">
        <v>56416</v>
      </c>
      <c r="AY329" t="s">
        <v>24</v>
      </c>
    </row>
    <row r="330" spans="1:51" x14ac:dyDescent="0.25">
      <c r="A330" s="1">
        <v>41944</v>
      </c>
      <c r="B330">
        <v>3</v>
      </c>
      <c r="C330" t="s">
        <v>3</v>
      </c>
      <c r="U330" s="1">
        <v>42005</v>
      </c>
      <c r="V330">
        <v>37274</v>
      </c>
      <c r="W330" t="s">
        <v>16</v>
      </c>
      <c r="AI330" s="1">
        <v>42217</v>
      </c>
      <c r="AJ330">
        <v>1641</v>
      </c>
      <c r="AK330" t="s">
        <v>25</v>
      </c>
      <c r="AW330" s="1">
        <v>42217</v>
      </c>
      <c r="AX330">
        <v>93543</v>
      </c>
      <c r="AY330" t="s">
        <v>22</v>
      </c>
    </row>
    <row r="331" spans="1:51" x14ac:dyDescent="0.25">
      <c r="A331" s="1">
        <v>41944</v>
      </c>
      <c r="B331">
        <v>67</v>
      </c>
      <c r="C331" t="s">
        <v>4</v>
      </c>
      <c r="U331" s="1">
        <v>42005</v>
      </c>
      <c r="V331">
        <v>1926</v>
      </c>
      <c r="W331" t="s">
        <v>14</v>
      </c>
      <c r="AI331" s="1">
        <v>42217</v>
      </c>
      <c r="AJ331">
        <v>19762</v>
      </c>
      <c r="AK331" t="s">
        <v>24</v>
      </c>
      <c r="AW331" s="1">
        <v>42217</v>
      </c>
      <c r="AX331">
        <v>2529</v>
      </c>
      <c r="AY331" t="s">
        <v>25</v>
      </c>
    </row>
    <row r="332" spans="1:51" x14ac:dyDescent="0.25">
      <c r="A332" s="1">
        <v>41944</v>
      </c>
      <c r="B332">
        <v>15</v>
      </c>
      <c r="C332" t="s">
        <v>5</v>
      </c>
      <c r="U332" s="1">
        <v>42036</v>
      </c>
      <c r="V332">
        <v>53289</v>
      </c>
      <c r="W332" t="s">
        <v>15</v>
      </c>
      <c r="AI332" s="1">
        <v>42217</v>
      </c>
      <c r="AJ332">
        <v>73089</v>
      </c>
      <c r="AK332" t="s">
        <v>22</v>
      </c>
      <c r="AW332" s="1">
        <v>42217</v>
      </c>
      <c r="AX332">
        <v>55180</v>
      </c>
      <c r="AY332" t="s">
        <v>24</v>
      </c>
    </row>
    <row r="333" spans="1:51" x14ac:dyDescent="0.25">
      <c r="A333" s="1">
        <v>41944</v>
      </c>
      <c r="B333">
        <v>17771</v>
      </c>
      <c r="C333" t="s">
        <v>6</v>
      </c>
      <c r="U333" s="1">
        <v>42036</v>
      </c>
      <c r="V333">
        <v>41840</v>
      </c>
      <c r="W333" t="s">
        <v>16</v>
      </c>
      <c r="AI333" s="1">
        <v>42248</v>
      </c>
      <c r="AJ333">
        <v>1471</v>
      </c>
      <c r="AK333" t="s">
        <v>25</v>
      </c>
      <c r="AW333" s="1">
        <v>42248</v>
      </c>
      <c r="AX333">
        <v>87144</v>
      </c>
      <c r="AY333" t="s">
        <v>22</v>
      </c>
    </row>
    <row r="334" spans="1:51" x14ac:dyDescent="0.25">
      <c r="A334" s="1">
        <v>41944</v>
      </c>
      <c r="B334">
        <v>60127</v>
      </c>
      <c r="C334" t="s">
        <v>2</v>
      </c>
      <c r="U334" s="1">
        <v>42036</v>
      </c>
      <c r="V334">
        <v>2211</v>
      </c>
      <c r="W334" t="s">
        <v>14</v>
      </c>
      <c r="AI334" s="1">
        <v>42248</v>
      </c>
      <c r="AJ334">
        <v>15711</v>
      </c>
      <c r="AK334" t="s">
        <v>24</v>
      </c>
      <c r="AW334" s="1">
        <v>42248</v>
      </c>
      <c r="AX334">
        <v>2316</v>
      </c>
      <c r="AY334" t="s">
        <v>25</v>
      </c>
    </row>
    <row r="335" spans="1:51" x14ac:dyDescent="0.25">
      <c r="A335" s="1">
        <v>41974</v>
      </c>
      <c r="B335">
        <v>1</v>
      </c>
      <c r="C335" t="s">
        <v>3</v>
      </c>
      <c r="U335" s="1">
        <v>42064</v>
      </c>
      <c r="V335">
        <v>43003</v>
      </c>
      <c r="W335" t="s">
        <v>15</v>
      </c>
      <c r="AI335" s="1">
        <v>42248</v>
      </c>
      <c r="AJ335">
        <v>71662</v>
      </c>
      <c r="AK335" t="s">
        <v>22</v>
      </c>
      <c r="AW335" s="1">
        <v>42248</v>
      </c>
      <c r="AX335">
        <v>47513</v>
      </c>
      <c r="AY335" t="s">
        <v>24</v>
      </c>
    </row>
    <row r="336" spans="1:51" x14ac:dyDescent="0.25">
      <c r="A336" s="1">
        <v>41974</v>
      </c>
      <c r="B336">
        <v>18</v>
      </c>
      <c r="C336" t="s">
        <v>4</v>
      </c>
      <c r="U336" s="1">
        <v>42064</v>
      </c>
      <c r="V336">
        <v>29926</v>
      </c>
      <c r="W336" t="s">
        <v>16</v>
      </c>
      <c r="AI336" s="1">
        <v>42278</v>
      </c>
      <c r="AJ336">
        <v>69102</v>
      </c>
      <c r="AK336" t="s">
        <v>22</v>
      </c>
      <c r="AW336" s="1">
        <v>42278</v>
      </c>
      <c r="AX336">
        <v>78995</v>
      </c>
      <c r="AY336" t="s">
        <v>22</v>
      </c>
    </row>
    <row r="337" spans="1:51" x14ac:dyDescent="0.25">
      <c r="A337" s="1">
        <v>41974</v>
      </c>
      <c r="B337">
        <v>1</v>
      </c>
      <c r="C337" t="s">
        <v>5</v>
      </c>
      <c r="U337" s="1">
        <v>42064</v>
      </c>
      <c r="V337">
        <v>1947</v>
      </c>
      <c r="W337" t="s">
        <v>14</v>
      </c>
      <c r="AI337" s="1">
        <v>42278</v>
      </c>
      <c r="AJ337">
        <v>1498</v>
      </c>
      <c r="AK337" t="s">
        <v>25</v>
      </c>
      <c r="AW337" s="1">
        <v>42278</v>
      </c>
      <c r="AX337">
        <v>2363</v>
      </c>
      <c r="AY337" t="s">
        <v>25</v>
      </c>
    </row>
    <row r="338" spans="1:51" x14ac:dyDescent="0.25">
      <c r="A338" s="1">
        <v>41974</v>
      </c>
      <c r="B338">
        <v>20639</v>
      </c>
      <c r="C338" t="s">
        <v>6</v>
      </c>
      <c r="U338" s="1">
        <v>42095</v>
      </c>
      <c r="V338">
        <v>54294</v>
      </c>
      <c r="W338" t="s">
        <v>15</v>
      </c>
      <c r="AI338" s="1">
        <v>42278</v>
      </c>
      <c r="AJ338">
        <v>15047</v>
      </c>
      <c r="AK338" t="s">
        <v>24</v>
      </c>
      <c r="AW338" s="1">
        <v>42278</v>
      </c>
      <c r="AX338">
        <v>44660</v>
      </c>
      <c r="AY338" t="s">
        <v>24</v>
      </c>
    </row>
    <row r="339" spans="1:51" x14ac:dyDescent="0.25">
      <c r="A339" s="1">
        <v>41974</v>
      </c>
      <c r="B339">
        <v>48738</v>
      </c>
      <c r="C339" t="s">
        <v>2</v>
      </c>
      <c r="U339" s="1">
        <v>42095</v>
      </c>
      <c r="V339">
        <v>40194</v>
      </c>
      <c r="W339" t="s">
        <v>16</v>
      </c>
      <c r="AI339" s="1">
        <v>42309</v>
      </c>
      <c r="AJ339">
        <v>16140</v>
      </c>
      <c r="AK339" t="s">
        <v>24</v>
      </c>
      <c r="AW339" s="1">
        <v>42309</v>
      </c>
      <c r="AX339">
        <v>2226</v>
      </c>
      <c r="AY339" t="s">
        <v>25</v>
      </c>
    </row>
    <row r="340" spans="1:51" x14ac:dyDescent="0.25">
      <c r="A340" s="1">
        <v>42005</v>
      </c>
      <c r="B340">
        <v>1</v>
      </c>
      <c r="C340" t="s">
        <v>3</v>
      </c>
      <c r="U340" s="1">
        <v>42095</v>
      </c>
      <c r="V340">
        <v>2099</v>
      </c>
      <c r="W340" t="s">
        <v>14</v>
      </c>
      <c r="AI340" s="1">
        <v>42309</v>
      </c>
      <c r="AJ340">
        <v>1452</v>
      </c>
      <c r="AK340" t="s">
        <v>25</v>
      </c>
      <c r="AW340" s="1">
        <v>42309</v>
      </c>
      <c r="AX340">
        <v>46143</v>
      </c>
      <c r="AY340" t="s">
        <v>24</v>
      </c>
    </row>
    <row r="341" spans="1:51" x14ac:dyDescent="0.25">
      <c r="A341" s="1">
        <v>42005</v>
      </c>
      <c r="B341">
        <v>67</v>
      </c>
      <c r="C341" t="s">
        <v>4</v>
      </c>
      <c r="U341" s="1">
        <v>42125</v>
      </c>
      <c r="V341">
        <v>49112</v>
      </c>
      <c r="W341" t="s">
        <v>15</v>
      </c>
      <c r="AI341" s="1">
        <v>42309</v>
      </c>
      <c r="AJ341">
        <v>65190</v>
      </c>
      <c r="AK341" t="s">
        <v>22</v>
      </c>
      <c r="AW341" s="1">
        <v>42309</v>
      </c>
      <c r="AX341">
        <v>74401</v>
      </c>
      <c r="AY341" t="s">
        <v>22</v>
      </c>
    </row>
    <row r="342" spans="1:51" x14ac:dyDescent="0.25">
      <c r="A342" s="1">
        <v>42005</v>
      </c>
      <c r="B342">
        <v>17</v>
      </c>
      <c r="C342" t="s">
        <v>5</v>
      </c>
      <c r="U342" s="1">
        <v>42125</v>
      </c>
      <c r="V342">
        <v>45666</v>
      </c>
      <c r="W342" t="s">
        <v>16</v>
      </c>
      <c r="AI342" s="1">
        <v>42339</v>
      </c>
      <c r="AJ342">
        <v>1357</v>
      </c>
      <c r="AK342" t="s">
        <v>25</v>
      </c>
      <c r="AW342" s="1">
        <v>42339</v>
      </c>
      <c r="AX342">
        <v>46372</v>
      </c>
      <c r="AY342" t="s">
        <v>24</v>
      </c>
    </row>
    <row r="343" spans="1:51" x14ac:dyDescent="0.25">
      <c r="A343" s="1">
        <v>42005</v>
      </c>
      <c r="B343">
        <v>20018</v>
      </c>
      <c r="C343" t="s">
        <v>6</v>
      </c>
      <c r="U343" s="1">
        <v>42125</v>
      </c>
      <c r="V343">
        <v>2013</v>
      </c>
      <c r="W343" t="s">
        <v>14</v>
      </c>
      <c r="AI343" s="1">
        <v>42339</v>
      </c>
      <c r="AJ343">
        <v>17122</v>
      </c>
      <c r="AK343" t="s">
        <v>24</v>
      </c>
      <c r="AW343" s="1">
        <v>42339</v>
      </c>
      <c r="AX343">
        <v>2112</v>
      </c>
      <c r="AY343" t="s">
        <v>25</v>
      </c>
    </row>
    <row r="344" spans="1:51" x14ac:dyDescent="0.25">
      <c r="A344" s="1">
        <v>42005</v>
      </c>
      <c r="B344">
        <v>49656</v>
      </c>
      <c r="C344" t="s">
        <v>2</v>
      </c>
      <c r="U344" s="1">
        <v>42156</v>
      </c>
      <c r="V344">
        <v>51430</v>
      </c>
      <c r="W344" t="s">
        <v>15</v>
      </c>
      <c r="AI344" s="1">
        <v>42339</v>
      </c>
      <c r="AJ344">
        <v>61618</v>
      </c>
      <c r="AK344" t="s">
        <v>22</v>
      </c>
      <c r="AW344" s="1">
        <v>42339</v>
      </c>
      <c r="AX344">
        <v>66295</v>
      </c>
      <c r="AY344" t="s">
        <v>22</v>
      </c>
    </row>
    <row r="345" spans="1:51" x14ac:dyDescent="0.25">
      <c r="A345" s="1">
        <v>42036</v>
      </c>
      <c r="B345">
        <v>9</v>
      </c>
      <c r="C345" t="s">
        <v>3</v>
      </c>
      <c r="U345" s="1">
        <v>42156</v>
      </c>
      <c r="V345">
        <v>53369</v>
      </c>
      <c r="W345" t="s">
        <v>16</v>
      </c>
      <c r="AI345" s="1">
        <v>42370</v>
      </c>
      <c r="AJ345">
        <v>43151</v>
      </c>
      <c r="AK345" t="s">
        <v>22</v>
      </c>
      <c r="AW345" s="1">
        <v>42370</v>
      </c>
      <c r="AX345">
        <v>45494</v>
      </c>
      <c r="AY345" t="s">
        <v>22</v>
      </c>
    </row>
    <row r="346" spans="1:51" x14ac:dyDescent="0.25">
      <c r="A346" s="1">
        <v>42036</v>
      </c>
      <c r="B346">
        <v>7528</v>
      </c>
      <c r="C346" t="s">
        <v>4</v>
      </c>
      <c r="U346" s="1">
        <v>42156</v>
      </c>
      <c r="V346">
        <v>1859</v>
      </c>
      <c r="W346" t="s">
        <v>14</v>
      </c>
      <c r="AI346" s="1">
        <v>42370</v>
      </c>
      <c r="AJ346">
        <v>961</v>
      </c>
      <c r="AK346" t="s">
        <v>25</v>
      </c>
      <c r="AW346" s="1">
        <v>42370</v>
      </c>
      <c r="AX346">
        <v>35833</v>
      </c>
      <c r="AY346" t="s">
        <v>24</v>
      </c>
    </row>
    <row r="347" spans="1:51" x14ac:dyDescent="0.25">
      <c r="A347" s="1">
        <v>42036</v>
      </c>
      <c r="B347">
        <v>26</v>
      </c>
      <c r="C347" t="s">
        <v>5</v>
      </c>
      <c r="U347" s="1">
        <v>42186</v>
      </c>
      <c r="V347">
        <v>43435</v>
      </c>
      <c r="W347" t="s">
        <v>15</v>
      </c>
      <c r="AI347" s="1">
        <v>42370</v>
      </c>
      <c r="AJ347">
        <v>13678</v>
      </c>
      <c r="AK347" t="s">
        <v>24</v>
      </c>
      <c r="AW347" s="1">
        <v>42370</v>
      </c>
      <c r="AX347">
        <v>1626</v>
      </c>
      <c r="AY347" t="s">
        <v>25</v>
      </c>
    </row>
    <row r="348" spans="1:51" x14ac:dyDescent="0.25">
      <c r="A348" s="1">
        <v>42036</v>
      </c>
      <c r="B348">
        <v>26307</v>
      </c>
      <c r="C348" t="s">
        <v>6</v>
      </c>
      <c r="U348" s="1">
        <v>42186</v>
      </c>
      <c r="V348">
        <v>58490</v>
      </c>
      <c r="W348" t="s">
        <v>16</v>
      </c>
      <c r="AI348" s="1">
        <v>42401</v>
      </c>
      <c r="AJ348">
        <v>434</v>
      </c>
      <c r="AK348" t="s">
        <v>25</v>
      </c>
      <c r="AW348" s="1">
        <v>42401</v>
      </c>
      <c r="AX348">
        <v>17971</v>
      </c>
      <c r="AY348" t="s">
        <v>24</v>
      </c>
    </row>
    <row r="349" spans="1:51" x14ac:dyDescent="0.25">
      <c r="A349" s="1">
        <v>42036</v>
      </c>
      <c r="B349">
        <v>63470</v>
      </c>
      <c r="C349" t="s">
        <v>2</v>
      </c>
      <c r="U349" s="1">
        <v>42186</v>
      </c>
      <c r="V349">
        <v>1686</v>
      </c>
      <c r="W349" t="s">
        <v>14</v>
      </c>
      <c r="AI349" s="1">
        <v>42401</v>
      </c>
      <c r="AJ349">
        <v>5279</v>
      </c>
      <c r="AK349" t="s">
        <v>24</v>
      </c>
      <c r="AW349" s="1">
        <v>42401</v>
      </c>
      <c r="AX349">
        <v>1089</v>
      </c>
      <c r="AY349" t="s">
        <v>25</v>
      </c>
    </row>
    <row r="350" spans="1:51" x14ac:dyDescent="0.25">
      <c r="A350" s="1">
        <v>42064</v>
      </c>
      <c r="B350">
        <v>3319</v>
      </c>
      <c r="C350" t="s">
        <v>3</v>
      </c>
      <c r="U350" s="1">
        <v>42217</v>
      </c>
      <c r="V350">
        <v>34021</v>
      </c>
      <c r="W350" t="s">
        <v>15</v>
      </c>
      <c r="AI350" s="1">
        <v>42401</v>
      </c>
      <c r="AJ350">
        <v>21694</v>
      </c>
      <c r="AK350" t="s">
        <v>22</v>
      </c>
      <c r="AW350" s="1">
        <v>42401</v>
      </c>
      <c r="AX350">
        <v>23227</v>
      </c>
      <c r="AY350" t="s">
        <v>22</v>
      </c>
    </row>
    <row r="351" spans="1:51" x14ac:dyDescent="0.25">
      <c r="A351" s="1">
        <v>42064</v>
      </c>
      <c r="B351">
        <v>34</v>
      </c>
      <c r="C351" t="s">
        <v>4</v>
      </c>
      <c r="U351" s="1">
        <v>42217</v>
      </c>
      <c r="V351">
        <v>50580</v>
      </c>
      <c r="W351" t="s">
        <v>16</v>
      </c>
      <c r="AI351" s="1">
        <v>42430</v>
      </c>
      <c r="AJ351">
        <v>1</v>
      </c>
      <c r="AK351" t="s">
        <v>25</v>
      </c>
      <c r="AW351" s="1">
        <v>42430</v>
      </c>
      <c r="AX351">
        <v>204</v>
      </c>
      <c r="AY351" t="s">
        <v>24</v>
      </c>
    </row>
    <row r="352" spans="1:51" x14ac:dyDescent="0.25">
      <c r="A352" s="1">
        <v>42064</v>
      </c>
      <c r="B352">
        <v>27603</v>
      </c>
      <c r="C352" t="s">
        <v>6</v>
      </c>
      <c r="U352" s="1">
        <v>42217</v>
      </c>
      <c r="V352">
        <v>1399</v>
      </c>
      <c r="W352" t="s">
        <v>14</v>
      </c>
      <c r="AI352" s="1">
        <v>42430</v>
      </c>
      <c r="AJ352">
        <v>15</v>
      </c>
      <c r="AK352" t="s">
        <v>24</v>
      </c>
      <c r="AW352" s="1">
        <v>42430</v>
      </c>
      <c r="AX352">
        <v>12</v>
      </c>
      <c r="AY352" t="s">
        <v>25</v>
      </c>
    </row>
    <row r="353" spans="1:51" x14ac:dyDescent="0.25">
      <c r="A353" s="1">
        <v>42064</v>
      </c>
      <c r="B353">
        <v>43920</v>
      </c>
      <c r="C353" t="s">
        <v>2</v>
      </c>
      <c r="U353" s="1">
        <v>42248</v>
      </c>
      <c r="V353">
        <v>29633</v>
      </c>
      <c r="W353" t="s">
        <v>15</v>
      </c>
      <c r="AI353" s="1">
        <v>42430</v>
      </c>
      <c r="AJ353">
        <v>26</v>
      </c>
      <c r="AK353" t="s">
        <v>22</v>
      </c>
      <c r="AW353" s="1">
        <v>42430</v>
      </c>
      <c r="AX353">
        <v>67</v>
      </c>
      <c r="AY353" t="s">
        <v>22</v>
      </c>
    </row>
    <row r="354" spans="1:51" x14ac:dyDescent="0.25">
      <c r="A354" s="1">
        <v>42095</v>
      </c>
      <c r="B354">
        <v>1</v>
      </c>
      <c r="C354" t="s">
        <v>4</v>
      </c>
      <c r="U354" s="1">
        <v>42248</v>
      </c>
      <c r="V354">
        <v>62040</v>
      </c>
      <c r="W354" t="s">
        <v>16</v>
      </c>
    </row>
    <row r="355" spans="1:51" x14ac:dyDescent="0.25">
      <c r="A355" s="1">
        <v>42095</v>
      </c>
      <c r="B355">
        <v>1</v>
      </c>
      <c r="C355" t="s">
        <v>5</v>
      </c>
      <c r="U355" s="1">
        <v>42248</v>
      </c>
      <c r="V355">
        <v>1669</v>
      </c>
      <c r="W355" t="s">
        <v>14</v>
      </c>
    </row>
    <row r="356" spans="1:51" x14ac:dyDescent="0.25">
      <c r="A356" s="1">
        <v>42095</v>
      </c>
      <c r="B356">
        <v>38841</v>
      </c>
      <c r="C356" t="s">
        <v>6</v>
      </c>
      <c r="U356" s="1">
        <v>42278</v>
      </c>
      <c r="V356">
        <v>32151</v>
      </c>
      <c r="W356" t="s">
        <v>15</v>
      </c>
    </row>
    <row r="357" spans="1:51" x14ac:dyDescent="0.25">
      <c r="A357" s="1">
        <v>42095</v>
      </c>
      <c r="B357">
        <v>57744</v>
      </c>
      <c r="C357" t="s">
        <v>2</v>
      </c>
      <c r="U357" s="1">
        <v>42278</v>
      </c>
      <c r="V357">
        <v>56968</v>
      </c>
      <c r="W357" t="s">
        <v>16</v>
      </c>
    </row>
    <row r="358" spans="1:51" x14ac:dyDescent="0.25">
      <c r="A358" s="1">
        <v>42125</v>
      </c>
      <c r="B358">
        <v>211</v>
      </c>
      <c r="C358" t="s">
        <v>4</v>
      </c>
      <c r="U358" s="1">
        <v>42278</v>
      </c>
      <c r="V358">
        <v>1726</v>
      </c>
      <c r="W358" t="s">
        <v>14</v>
      </c>
    </row>
    <row r="359" spans="1:51" x14ac:dyDescent="0.25">
      <c r="A359" s="1">
        <v>42125</v>
      </c>
      <c r="B359">
        <v>32819</v>
      </c>
      <c r="C359" t="s">
        <v>6</v>
      </c>
      <c r="U359" s="1">
        <v>42309</v>
      </c>
      <c r="V359">
        <v>1395</v>
      </c>
      <c r="W359" t="s">
        <v>14</v>
      </c>
    </row>
    <row r="360" spans="1:51" x14ac:dyDescent="0.25">
      <c r="A360" s="1">
        <v>42125</v>
      </c>
      <c r="B360">
        <v>63761</v>
      </c>
      <c r="C360" t="s">
        <v>2</v>
      </c>
      <c r="U360" s="1">
        <v>42309</v>
      </c>
      <c r="V360">
        <v>45390</v>
      </c>
      <c r="W360" t="s">
        <v>16</v>
      </c>
    </row>
    <row r="361" spans="1:51" x14ac:dyDescent="0.25">
      <c r="A361" s="1">
        <v>42156</v>
      </c>
      <c r="B361">
        <v>2804</v>
      </c>
      <c r="C361" t="s">
        <v>4</v>
      </c>
      <c r="U361" s="1">
        <v>42309</v>
      </c>
      <c r="V361">
        <v>32016</v>
      </c>
      <c r="W361" t="s">
        <v>15</v>
      </c>
    </row>
    <row r="362" spans="1:51" x14ac:dyDescent="0.25">
      <c r="A362" s="1">
        <v>42156</v>
      </c>
      <c r="B362">
        <v>2</v>
      </c>
      <c r="C362" t="s">
        <v>5</v>
      </c>
      <c r="U362" s="1">
        <v>42339</v>
      </c>
      <c r="V362">
        <v>1188</v>
      </c>
      <c r="W362" t="s">
        <v>14</v>
      </c>
    </row>
    <row r="363" spans="1:51" x14ac:dyDescent="0.25">
      <c r="A363" s="1">
        <v>42156</v>
      </c>
      <c r="B363">
        <v>29652</v>
      </c>
      <c r="C363" t="s">
        <v>6</v>
      </c>
      <c r="U363" s="1">
        <v>42339</v>
      </c>
      <c r="V363">
        <v>41614</v>
      </c>
      <c r="W363" t="s">
        <v>16</v>
      </c>
    </row>
    <row r="364" spans="1:51" x14ac:dyDescent="0.25">
      <c r="A364" s="1">
        <v>42156</v>
      </c>
      <c r="B364">
        <v>74200</v>
      </c>
      <c r="C364" t="s">
        <v>2</v>
      </c>
      <c r="U364" s="1">
        <v>42339</v>
      </c>
      <c r="V364">
        <v>31162</v>
      </c>
      <c r="W364" t="s">
        <v>15</v>
      </c>
    </row>
    <row r="365" spans="1:51" x14ac:dyDescent="0.25">
      <c r="A365" s="1">
        <v>42186</v>
      </c>
      <c r="B365">
        <v>1279</v>
      </c>
      <c r="C365" t="s">
        <v>4</v>
      </c>
      <c r="U365" s="1">
        <v>42370</v>
      </c>
      <c r="V365">
        <v>20137</v>
      </c>
      <c r="W365" t="s">
        <v>15</v>
      </c>
    </row>
    <row r="366" spans="1:51" x14ac:dyDescent="0.25">
      <c r="A366" s="1">
        <v>42186</v>
      </c>
      <c r="B366">
        <v>24711</v>
      </c>
      <c r="C366" t="s">
        <v>6</v>
      </c>
      <c r="U366" s="1">
        <v>42370</v>
      </c>
      <c r="V366">
        <v>722</v>
      </c>
      <c r="W366" t="s">
        <v>14</v>
      </c>
    </row>
    <row r="367" spans="1:51" x14ac:dyDescent="0.25">
      <c r="A367" s="1">
        <v>42186</v>
      </c>
      <c r="B367">
        <v>77621</v>
      </c>
      <c r="C367" t="s">
        <v>2</v>
      </c>
      <c r="U367" s="1">
        <v>42370</v>
      </c>
      <c r="V367">
        <v>28453</v>
      </c>
      <c r="W367" t="s">
        <v>16</v>
      </c>
    </row>
    <row r="368" spans="1:51" x14ac:dyDescent="0.25">
      <c r="A368" s="1">
        <v>42217</v>
      </c>
      <c r="B368">
        <v>17994</v>
      </c>
      <c r="C368" t="s">
        <v>6</v>
      </c>
    </row>
    <row r="369" spans="1:3" x14ac:dyDescent="0.25">
      <c r="A369" s="1">
        <v>42217</v>
      </c>
      <c r="B369">
        <v>68006</v>
      </c>
      <c r="C369" t="s">
        <v>2</v>
      </c>
    </row>
    <row r="370" spans="1:3" x14ac:dyDescent="0.25">
      <c r="A370" s="1">
        <v>42248</v>
      </c>
      <c r="B370">
        <v>11</v>
      </c>
      <c r="C370" t="s">
        <v>4</v>
      </c>
    </row>
    <row r="371" spans="1:3" x14ac:dyDescent="0.25">
      <c r="A371" s="1">
        <v>42248</v>
      </c>
      <c r="B371">
        <v>18141</v>
      </c>
      <c r="C371" t="s">
        <v>6</v>
      </c>
    </row>
    <row r="372" spans="1:3" x14ac:dyDescent="0.25">
      <c r="A372" s="1">
        <v>42248</v>
      </c>
      <c r="B372">
        <v>75190</v>
      </c>
      <c r="C372" t="s">
        <v>2</v>
      </c>
    </row>
    <row r="373" spans="1:3" x14ac:dyDescent="0.25">
      <c r="A373" s="1">
        <v>42278</v>
      </c>
      <c r="B373">
        <v>531</v>
      </c>
      <c r="C373" t="s">
        <v>4</v>
      </c>
    </row>
    <row r="374" spans="1:3" x14ac:dyDescent="0.25">
      <c r="A374" s="1">
        <v>42278</v>
      </c>
      <c r="B374">
        <v>17495</v>
      </c>
      <c r="C374" t="s">
        <v>6</v>
      </c>
    </row>
    <row r="375" spans="1:3" x14ac:dyDescent="0.25">
      <c r="A375" s="1">
        <v>42278</v>
      </c>
      <c r="B375">
        <v>72819</v>
      </c>
      <c r="C375" t="s">
        <v>2</v>
      </c>
    </row>
    <row r="376" spans="1:3" x14ac:dyDescent="0.25">
      <c r="A376" s="1">
        <v>42309</v>
      </c>
      <c r="B376">
        <v>17242</v>
      </c>
      <c r="C376" t="s">
        <v>6</v>
      </c>
    </row>
    <row r="377" spans="1:3" x14ac:dyDescent="0.25">
      <c r="A377" s="1">
        <v>42309</v>
      </c>
      <c r="B377">
        <v>63</v>
      </c>
      <c r="C377" t="s">
        <v>5</v>
      </c>
    </row>
    <row r="378" spans="1:3" x14ac:dyDescent="0.25">
      <c r="A378" s="1">
        <v>42309</v>
      </c>
      <c r="B378">
        <v>116</v>
      </c>
      <c r="C378" t="s">
        <v>3</v>
      </c>
    </row>
    <row r="379" spans="1:3" x14ac:dyDescent="0.25">
      <c r="A379" s="1">
        <v>42309</v>
      </c>
      <c r="B379">
        <v>61380</v>
      </c>
      <c r="C379" t="s">
        <v>2</v>
      </c>
    </row>
    <row r="380" spans="1:3" x14ac:dyDescent="0.25">
      <c r="A380" s="1">
        <v>42339</v>
      </c>
      <c r="B380">
        <v>56308</v>
      </c>
      <c r="C380" t="s">
        <v>2</v>
      </c>
    </row>
    <row r="381" spans="1:3" x14ac:dyDescent="0.25">
      <c r="A381" s="1">
        <v>42339</v>
      </c>
      <c r="B381">
        <v>17651</v>
      </c>
      <c r="C381" t="s">
        <v>6</v>
      </c>
    </row>
    <row r="382" spans="1:3" x14ac:dyDescent="0.25">
      <c r="A382" s="1">
        <v>42339</v>
      </c>
      <c r="B382">
        <v>5</v>
      </c>
      <c r="C382" t="s">
        <v>5</v>
      </c>
    </row>
    <row r="383" spans="1:3" x14ac:dyDescent="0.25">
      <c r="A383" s="1">
        <v>42370</v>
      </c>
      <c r="B383">
        <v>38576</v>
      </c>
      <c r="C383" t="s">
        <v>2</v>
      </c>
    </row>
    <row r="384" spans="1:3" x14ac:dyDescent="0.25">
      <c r="A384" s="1">
        <v>42370</v>
      </c>
      <c r="B384">
        <v>10736</v>
      </c>
      <c r="C384" t="s">
        <v>6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7"/>
  <sheetViews>
    <sheetView workbookViewId="0">
      <selection activeCell="X2" sqref="X2"/>
    </sheetView>
  </sheetViews>
  <sheetFormatPr defaultRowHeight="15" x14ac:dyDescent="0.25"/>
  <cols>
    <col min="1" max="1" width="9.7109375" style="1" bestFit="1" customWidth="1"/>
    <col min="2" max="2" width="9.140625" customWidth="1"/>
    <col min="23" max="23" width="9.7109375" style="1" bestFit="1" customWidth="1"/>
    <col min="30" max="30" width="10.7109375" style="1" bestFit="1" customWidth="1"/>
    <col min="38" max="38" width="9.7109375" style="1" bestFit="1" customWidth="1"/>
  </cols>
  <sheetData>
    <row r="1" spans="1:43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X1" t="s">
        <v>16</v>
      </c>
      <c r="Y1" t="s">
        <v>15</v>
      </c>
      <c r="Z1" t="s">
        <v>14</v>
      </c>
      <c r="AE1" t="s">
        <v>22</v>
      </c>
      <c r="AF1" t="s">
        <v>23</v>
      </c>
      <c r="AG1" t="s">
        <v>24</v>
      </c>
      <c r="AH1" t="s">
        <v>25</v>
      </c>
      <c r="AK1" t="s">
        <v>35</v>
      </c>
      <c r="AM1" t="s">
        <v>22</v>
      </c>
      <c r="AN1" t="s">
        <v>23</v>
      </c>
      <c r="AO1" t="s">
        <v>24</v>
      </c>
      <c r="AP1" t="s">
        <v>25</v>
      </c>
      <c r="AQ1" t="s">
        <v>8</v>
      </c>
    </row>
    <row r="2" spans="1:43" x14ac:dyDescent="0.25">
      <c r="A2" s="1">
        <v>38687</v>
      </c>
      <c r="B2">
        <v>116679</v>
      </c>
      <c r="C2">
        <v>19057</v>
      </c>
      <c r="W2" s="1">
        <v>38687</v>
      </c>
      <c r="X2">
        <v>69801</v>
      </c>
      <c r="Y2">
        <v>64164</v>
      </c>
      <c r="Z2">
        <v>1771</v>
      </c>
      <c r="AD2" s="1">
        <v>38353</v>
      </c>
      <c r="AE2">
        <v>1751</v>
      </c>
      <c r="AF2">
        <v>226</v>
      </c>
      <c r="AL2" s="1">
        <v>38353</v>
      </c>
      <c r="AM2">
        <v>18274</v>
      </c>
      <c r="AN2">
        <v>19296</v>
      </c>
    </row>
    <row r="3" spans="1:43" x14ac:dyDescent="0.25">
      <c r="A3" s="1">
        <v>38718</v>
      </c>
      <c r="B3">
        <v>101038</v>
      </c>
      <c r="C3">
        <v>15165</v>
      </c>
      <c r="W3" s="1">
        <v>38718</v>
      </c>
      <c r="X3">
        <v>56048</v>
      </c>
      <c r="Y3">
        <v>58448</v>
      </c>
      <c r="Z3">
        <v>1707</v>
      </c>
      <c r="AD3" s="1">
        <v>38384</v>
      </c>
      <c r="AE3">
        <v>1713</v>
      </c>
      <c r="AF3">
        <v>237</v>
      </c>
      <c r="AL3" s="1">
        <v>38384</v>
      </c>
      <c r="AM3">
        <v>17818</v>
      </c>
      <c r="AN3">
        <v>19367</v>
      </c>
    </row>
    <row r="4" spans="1:43" x14ac:dyDescent="0.25">
      <c r="A4" s="1">
        <v>38749</v>
      </c>
      <c r="B4">
        <v>85924</v>
      </c>
      <c r="C4">
        <v>13726</v>
      </c>
      <c r="W4" s="1">
        <v>38749</v>
      </c>
      <c r="X4">
        <v>48505</v>
      </c>
      <c r="Y4">
        <v>49549</v>
      </c>
      <c r="Z4">
        <v>1596</v>
      </c>
      <c r="AD4" s="1">
        <v>38412</v>
      </c>
      <c r="AE4">
        <v>1379</v>
      </c>
      <c r="AF4">
        <v>165</v>
      </c>
      <c r="AL4" s="1">
        <v>38412</v>
      </c>
      <c r="AM4">
        <v>14430</v>
      </c>
      <c r="AN4">
        <v>16217</v>
      </c>
    </row>
    <row r="5" spans="1:43" x14ac:dyDescent="0.25">
      <c r="A5" s="1">
        <v>38777</v>
      </c>
      <c r="B5">
        <v>85045</v>
      </c>
      <c r="C5">
        <v>13317</v>
      </c>
      <c r="W5" s="1">
        <v>38777</v>
      </c>
      <c r="X5">
        <v>45628</v>
      </c>
      <c r="Y5">
        <v>50913</v>
      </c>
      <c r="Z5">
        <v>1821</v>
      </c>
      <c r="AD5" s="1">
        <v>38443</v>
      </c>
      <c r="AE5">
        <v>1406</v>
      </c>
      <c r="AF5">
        <v>248</v>
      </c>
      <c r="AL5" s="1">
        <v>38443</v>
      </c>
      <c r="AM5">
        <v>16447</v>
      </c>
      <c r="AN5">
        <v>18282</v>
      </c>
    </row>
    <row r="6" spans="1:43" x14ac:dyDescent="0.25">
      <c r="A6" s="1">
        <v>38808</v>
      </c>
      <c r="B6">
        <v>91876</v>
      </c>
      <c r="C6">
        <v>13740</v>
      </c>
      <c r="W6" s="1">
        <v>38808</v>
      </c>
      <c r="X6">
        <v>50072</v>
      </c>
      <c r="Y6">
        <v>54093</v>
      </c>
      <c r="Z6">
        <v>1451</v>
      </c>
      <c r="AD6" s="1">
        <v>38473</v>
      </c>
      <c r="AE6">
        <v>1954</v>
      </c>
      <c r="AF6">
        <v>357</v>
      </c>
      <c r="AL6" s="1">
        <v>38473</v>
      </c>
      <c r="AM6">
        <v>21208</v>
      </c>
      <c r="AN6">
        <v>22945</v>
      </c>
    </row>
    <row r="7" spans="1:43" x14ac:dyDescent="0.25">
      <c r="A7" s="1">
        <v>38838</v>
      </c>
      <c r="B7">
        <v>83181</v>
      </c>
      <c r="C7">
        <v>11485</v>
      </c>
      <c r="W7" s="1">
        <v>38838</v>
      </c>
      <c r="X7">
        <v>50281</v>
      </c>
      <c r="Y7">
        <v>43099</v>
      </c>
      <c r="Z7">
        <v>1286</v>
      </c>
      <c r="AD7" s="1">
        <v>38504</v>
      </c>
      <c r="AE7">
        <v>2080</v>
      </c>
      <c r="AF7">
        <v>256</v>
      </c>
      <c r="AL7" s="1">
        <v>38504</v>
      </c>
      <c r="AM7">
        <v>20814</v>
      </c>
      <c r="AN7">
        <v>17249</v>
      </c>
    </row>
    <row r="8" spans="1:43" x14ac:dyDescent="0.25">
      <c r="A8" s="1">
        <v>38869</v>
      </c>
      <c r="B8">
        <v>96000</v>
      </c>
      <c r="C8">
        <v>11763</v>
      </c>
      <c r="W8" s="1">
        <v>38869</v>
      </c>
      <c r="X8">
        <v>60815</v>
      </c>
      <c r="Y8">
        <v>45484</v>
      </c>
      <c r="Z8">
        <v>1464</v>
      </c>
      <c r="AD8" s="1">
        <v>38534</v>
      </c>
      <c r="AE8">
        <v>2676</v>
      </c>
      <c r="AF8">
        <v>314</v>
      </c>
      <c r="AL8" s="1">
        <v>38534</v>
      </c>
      <c r="AM8">
        <v>25422</v>
      </c>
      <c r="AN8">
        <v>20889</v>
      </c>
    </row>
    <row r="9" spans="1:43" x14ac:dyDescent="0.25">
      <c r="A9" s="1">
        <v>38899</v>
      </c>
      <c r="B9">
        <v>94899</v>
      </c>
      <c r="C9">
        <v>10532</v>
      </c>
      <c r="W9" s="1">
        <v>38899</v>
      </c>
      <c r="X9">
        <v>62896</v>
      </c>
      <c r="Y9">
        <v>41248</v>
      </c>
      <c r="Z9">
        <v>1287</v>
      </c>
      <c r="AD9" s="1">
        <v>38565</v>
      </c>
      <c r="AE9">
        <v>3211</v>
      </c>
      <c r="AF9">
        <v>372</v>
      </c>
      <c r="AL9" s="1">
        <v>38565</v>
      </c>
      <c r="AM9">
        <v>32384</v>
      </c>
      <c r="AN9">
        <v>27493</v>
      </c>
    </row>
    <row r="10" spans="1:43" x14ac:dyDescent="0.25">
      <c r="A10" s="1">
        <v>38930</v>
      </c>
      <c r="B10">
        <v>106784</v>
      </c>
      <c r="C10">
        <v>11293</v>
      </c>
      <c r="W10" s="1">
        <v>38930</v>
      </c>
      <c r="X10">
        <v>74272</v>
      </c>
      <c r="Y10">
        <v>42532</v>
      </c>
      <c r="Z10">
        <v>1273</v>
      </c>
      <c r="AD10" s="1">
        <v>38596</v>
      </c>
      <c r="AE10">
        <v>4048</v>
      </c>
      <c r="AF10">
        <v>617</v>
      </c>
      <c r="AL10" s="1">
        <v>38596</v>
      </c>
      <c r="AM10">
        <v>29845</v>
      </c>
      <c r="AN10">
        <v>31231</v>
      </c>
    </row>
    <row r="11" spans="1:43" x14ac:dyDescent="0.25">
      <c r="A11" s="1">
        <v>38961</v>
      </c>
      <c r="B11">
        <v>107277</v>
      </c>
      <c r="C11">
        <v>11420</v>
      </c>
      <c r="W11" s="1">
        <v>38961</v>
      </c>
      <c r="X11">
        <v>74289</v>
      </c>
      <c r="Y11">
        <v>43129</v>
      </c>
      <c r="Z11">
        <v>1279</v>
      </c>
      <c r="AD11" s="1">
        <v>38626</v>
      </c>
      <c r="AE11">
        <v>7481</v>
      </c>
      <c r="AF11">
        <v>996</v>
      </c>
      <c r="AL11" s="1">
        <v>38626</v>
      </c>
      <c r="AM11">
        <v>29919</v>
      </c>
      <c r="AN11">
        <v>30344</v>
      </c>
    </row>
    <row r="12" spans="1:43" x14ac:dyDescent="0.25">
      <c r="A12" s="1">
        <v>38991</v>
      </c>
      <c r="B12">
        <v>92041</v>
      </c>
      <c r="C12">
        <v>11613</v>
      </c>
      <c r="W12" s="1">
        <v>38991</v>
      </c>
      <c r="X12">
        <v>59427</v>
      </c>
      <c r="Y12">
        <v>43075</v>
      </c>
      <c r="Z12">
        <v>1152</v>
      </c>
      <c r="AD12" s="1">
        <v>38657</v>
      </c>
      <c r="AE12">
        <v>15991</v>
      </c>
      <c r="AF12">
        <v>2199</v>
      </c>
      <c r="AL12" s="1">
        <v>38657</v>
      </c>
      <c r="AM12">
        <v>25968</v>
      </c>
      <c r="AN12">
        <v>27266</v>
      </c>
    </row>
    <row r="13" spans="1:43" x14ac:dyDescent="0.25">
      <c r="A13" s="1">
        <v>39022</v>
      </c>
      <c r="B13">
        <v>83109</v>
      </c>
      <c r="C13">
        <v>13547</v>
      </c>
      <c r="W13" s="1">
        <v>39022</v>
      </c>
      <c r="X13">
        <v>48845</v>
      </c>
      <c r="Y13">
        <v>46704</v>
      </c>
      <c r="Z13">
        <v>1107</v>
      </c>
      <c r="AD13" s="1">
        <v>38687</v>
      </c>
      <c r="AE13">
        <v>58394</v>
      </c>
      <c r="AF13">
        <v>9660</v>
      </c>
      <c r="AL13" s="1">
        <v>38687</v>
      </c>
      <c r="AM13">
        <v>23032</v>
      </c>
      <c r="AN13">
        <v>26896</v>
      </c>
    </row>
    <row r="14" spans="1:43" x14ac:dyDescent="0.25">
      <c r="A14" s="1">
        <v>39052</v>
      </c>
      <c r="B14">
        <v>109560</v>
      </c>
      <c r="C14">
        <v>18639</v>
      </c>
      <c r="W14" s="1">
        <v>39052</v>
      </c>
      <c r="X14">
        <v>65808</v>
      </c>
      <c r="Y14">
        <v>60968</v>
      </c>
      <c r="Z14">
        <v>1423</v>
      </c>
      <c r="AD14" s="1">
        <v>38718</v>
      </c>
      <c r="AE14">
        <v>96347</v>
      </c>
      <c r="AF14">
        <v>14686</v>
      </c>
      <c r="AL14" s="1">
        <v>38718</v>
      </c>
      <c r="AM14">
        <v>19087</v>
      </c>
      <c r="AN14">
        <v>20216</v>
      </c>
    </row>
    <row r="15" spans="1:43" x14ac:dyDescent="0.25">
      <c r="A15" s="1">
        <v>39083</v>
      </c>
      <c r="B15">
        <v>90090</v>
      </c>
      <c r="C15">
        <v>16054</v>
      </c>
      <c r="W15" s="1">
        <v>39083</v>
      </c>
      <c r="X15">
        <v>52477</v>
      </c>
      <c r="Y15">
        <v>52621</v>
      </c>
      <c r="Z15">
        <v>1046</v>
      </c>
      <c r="AD15" s="1">
        <v>38749</v>
      </c>
      <c r="AE15">
        <v>93070</v>
      </c>
      <c r="AF15">
        <v>13545</v>
      </c>
      <c r="AL15" s="1">
        <v>38749</v>
      </c>
      <c r="AM15">
        <v>17037</v>
      </c>
      <c r="AN15">
        <v>16824</v>
      </c>
    </row>
    <row r="16" spans="1:43" x14ac:dyDescent="0.25">
      <c r="A16" s="1">
        <v>39114</v>
      </c>
      <c r="B16">
        <v>105785</v>
      </c>
      <c r="C16">
        <v>23045</v>
      </c>
      <c r="W16" s="1">
        <v>39114</v>
      </c>
      <c r="X16">
        <v>56557</v>
      </c>
      <c r="Y16">
        <v>71070</v>
      </c>
      <c r="Z16">
        <v>1203</v>
      </c>
      <c r="AD16" s="1">
        <v>38777</v>
      </c>
      <c r="AE16">
        <v>77021</v>
      </c>
      <c r="AF16">
        <v>12671</v>
      </c>
      <c r="AL16" s="1">
        <v>38777</v>
      </c>
      <c r="AM16">
        <v>13255</v>
      </c>
      <c r="AN16">
        <v>14656</v>
      </c>
    </row>
    <row r="17" spans="1:40" x14ac:dyDescent="0.25">
      <c r="A17" s="1">
        <v>39142</v>
      </c>
      <c r="B17">
        <v>107547</v>
      </c>
      <c r="C17">
        <v>21585</v>
      </c>
      <c r="W17" s="1">
        <v>39142</v>
      </c>
      <c r="X17">
        <v>60614</v>
      </c>
      <c r="Y17">
        <v>67164</v>
      </c>
      <c r="Z17">
        <v>1354</v>
      </c>
      <c r="AD17" s="1">
        <v>38808</v>
      </c>
      <c r="AE17">
        <v>86488</v>
      </c>
      <c r="AF17">
        <v>13588</v>
      </c>
      <c r="AL17" s="1">
        <v>38808</v>
      </c>
      <c r="AM17">
        <v>15658</v>
      </c>
      <c r="AN17">
        <v>16622</v>
      </c>
    </row>
    <row r="18" spans="1:40" x14ac:dyDescent="0.25">
      <c r="A18" s="1">
        <v>39173</v>
      </c>
      <c r="B18">
        <v>100318</v>
      </c>
      <c r="C18">
        <v>20927</v>
      </c>
      <c r="W18" s="1">
        <v>39173</v>
      </c>
      <c r="X18">
        <v>55862</v>
      </c>
      <c r="Y18">
        <v>64185</v>
      </c>
      <c r="Z18">
        <v>1198</v>
      </c>
      <c r="AD18" s="1">
        <v>38838</v>
      </c>
      <c r="AE18">
        <v>99743</v>
      </c>
      <c r="AF18">
        <v>13902</v>
      </c>
      <c r="AL18" s="1">
        <v>38838</v>
      </c>
      <c r="AM18">
        <v>20502</v>
      </c>
      <c r="AN18">
        <v>19203</v>
      </c>
    </row>
    <row r="19" spans="1:40" x14ac:dyDescent="0.25">
      <c r="A19" s="1">
        <v>39203</v>
      </c>
      <c r="B19">
        <v>111446</v>
      </c>
      <c r="C19">
        <v>23119</v>
      </c>
      <c r="W19" s="1">
        <v>39203</v>
      </c>
      <c r="X19">
        <v>63827</v>
      </c>
      <c r="Y19">
        <v>69464</v>
      </c>
      <c r="Z19">
        <v>1274</v>
      </c>
      <c r="AD19" s="1">
        <v>38869</v>
      </c>
      <c r="AE19">
        <v>94688</v>
      </c>
      <c r="AF19">
        <v>12297</v>
      </c>
      <c r="AL19" s="1">
        <v>38869</v>
      </c>
      <c r="AM19">
        <v>19385</v>
      </c>
      <c r="AN19">
        <v>16151</v>
      </c>
    </row>
    <row r="20" spans="1:40" x14ac:dyDescent="0.25">
      <c r="A20" s="1">
        <v>39234</v>
      </c>
      <c r="B20">
        <v>112135</v>
      </c>
      <c r="C20">
        <v>20337</v>
      </c>
      <c r="W20" s="1">
        <v>39234</v>
      </c>
      <c r="X20">
        <v>69687</v>
      </c>
      <c r="Y20">
        <v>61490</v>
      </c>
      <c r="Z20">
        <v>1295</v>
      </c>
      <c r="AD20" s="1">
        <v>38899</v>
      </c>
      <c r="AE20">
        <v>102712</v>
      </c>
      <c r="AF20">
        <v>11912</v>
      </c>
      <c r="AL20" s="1">
        <v>38899</v>
      </c>
      <c r="AM20">
        <v>21324</v>
      </c>
      <c r="AN20">
        <v>15699</v>
      </c>
    </row>
    <row r="21" spans="1:40" x14ac:dyDescent="0.25">
      <c r="A21" s="1">
        <v>39264</v>
      </c>
      <c r="B21">
        <v>100566</v>
      </c>
      <c r="C21">
        <v>17646</v>
      </c>
      <c r="W21" s="1">
        <v>39264</v>
      </c>
      <c r="X21">
        <v>63220</v>
      </c>
      <c r="Y21">
        <v>53816</v>
      </c>
      <c r="Z21">
        <v>1176</v>
      </c>
      <c r="AD21" s="1">
        <v>38930</v>
      </c>
      <c r="AE21">
        <v>111389</v>
      </c>
      <c r="AF21">
        <v>11212</v>
      </c>
      <c r="AL21" s="1">
        <v>38930</v>
      </c>
      <c r="AM21">
        <v>21062</v>
      </c>
      <c r="AN21">
        <v>13990</v>
      </c>
    </row>
    <row r="22" spans="1:40" x14ac:dyDescent="0.25">
      <c r="A22" s="1">
        <v>39295</v>
      </c>
      <c r="B22">
        <v>117065</v>
      </c>
      <c r="C22">
        <v>17169</v>
      </c>
      <c r="W22" s="1">
        <v>39295</v>
      </c>
      <c r="X22">
        <v>77551</v>
      </c>
      <c r="Y22">
        <v>55366</v>
      </c>
      <c r="Z22">
        <v>1317</v>
      </c>
      <c r="AD22" s="1">
        <v>38961</v>
      </c>
      <c r="AE22">
        <v>101464</v>
      </c>
      <c r="AF22">
        <v>10662</v>
      </c>
      <c r="AL22" s="1">
        <v>38961</v>
      </c>
      <c r="AM22">
        <v>18244</v>
      </c>
      <c r="AN22">
        <v>12747</v>
      </c>
    </row>
    <row r="23" spans="1:40" x14ac:dyDescent="0.25">
      <c r="A23" s="1">
        <v>39326</v>
      </c>
      <c r="B23">
        <v>136772</v>
      </c>
      <c r="C23">
        <v>17527</v>
      </c>
      <c r="W23" s="1">
        <v>39326</v>
      </c>
      <c r="X23">
        <v>97102</v>
      </c>
      <c r="Y23">
        <v>55888</v>
      </c>
      <c r="Z23">
        <v>1309</v>
      </c>
      <c r="AD23" s="1">
        <v>38991</v>
      </c>
      <c r="AE23">
        <v>102383</v>
      </c>
      <c r="AF23">
        <v>11537</v>
      </c>
      <c r="AL23" s="1">
        <v>38991</v>
      </c>
      <c r="AM23">
        <v>21523</v>
      </c>
      <c r="AN23">
        <v>15647</v>
      </c>
    </row>
    <row r="24" spans="1:40" x14ac:dyDescent="0.25">
      <c r="A24" s="1">
        <v>39356</v>
      </c>
      <c r="B24">
        <v>108346</v>
      </c>
      <c r="C24">
        <v>17939</v>
      </c>
      <c r="W24" s="1">
        <v>39356</v>
      </c>
      <c r="X24">
        <v>72966</v>
      </c>
      <c r="Y24">
        <v>51812</v>
      </c>
      <c r="Z24">
        <v>1507</v>
      </c>
      <c r="AD24" s="1">
        <v>39022</v>
      </c>
      <c r="AE24">
        <v>96093</v>
      </c>
      <c r="AF24">
        <v>12948</v>
      </c>
      <c r="AL24" s="1">
        <v>39022</v>
      </c>
      <c r="AM24">
        <v>20834</v>
      </c>
      <c r="AN24">
        <v>16622</v>
      </c>
    </row>
    <row r="25" spans="1:40" x14ac:dyDescent="0.25">
      <c r="A25" s="1">
        <v>39387</v>
      </c>
      <c r="B25">
        <v>118469</v>
      </c>
      <c r="C25">
        <v>22061</v>
      </c>
      <c r="W25" s="1">
        <v>39387</v>
      </c>
      <c r="X25">
        <v>77897</v>
      </c>
      <c r="Y25">
        <v>61078</v>
      </c>
      <c r="Z25">
        <v>1555</v>
      </c>
      <c r="AD25" s="1">
        <v>39052</v>
      </c>
      <c r="AE25">
        <v>107332</v>
      </c>
      <c r="AF25">
        <v>17880</v>
      </c>
      <c r="AL25" s="1">
        <v>39052</v>
      </c>
      <c r="AM25">
        <v>21144</v>
      </c>
      <c r="AN25">
        <v>20654</v>
      </c>
    </row>
    <row r="26" spans="1:40" x14ac:dyDescent="0.25">
      <c r="A26" s="1">
        <v>39417</v>
      </c>
      <c r="B26">
        <v>108670</v>
      </c>
      <c r="C26">
        <v>23242</v>
      </c>
      <c r="W26" s="1">
        <v>39417</v>
      </c>
      <c r="X26">
        <v>69883</v>
      </c>
      <c r="Y26">
        <v>60449</v>
      </c>
      <c r="Z26">
        <v>1580</v>
      </c>
      <c r="AD26" s="1">
        <v>39083</v>
      </c>
      <c r="AE26">
        <v>98456</v>
      </c>
      <c r="AF26">
        <v>17232</v>
      </c>
      <c r="AL26" s="1">
        <v>39083</v>
      </c>
      <c r="AM26">
        <v>20779</v>
      </c>
      <c r="AN26">
        <v>19393</v>
      </c>
    </row>
    <row r="27" spans="1:40" x14ac:dyDescent="0.25">
      <c r="A27" s="1">
        <v>39448</v>
      </c>
      <c r="B27">
        <v>90455</v>
      </c>
      <c r="C27">
        <v>25971</v>
      </c>
      <c r="W27" s="1">
        <v>39448</v>
      </c>
      <c r="X27">
        <v>54557</v>
      </c>
      <c r="Y27">
        <v>60598</v>
      </c>
      <c r="Z27">
        <v>1271</v>
      </c>
      <c r="AD27" s="1">
        <v>39114</v>
      </c>
      <c r="AE27">
        <v>99305</v>
      </c>
      <c r="AF27">
        <v>21209</v>
      </c>
      <c r="AL27" s="1">
        <v>39114</v>
      </c>
      <c r="AM27">
        <v>21525</v>
      </c>
      <c r="AN27">
        <v>22776</v>
      </c>
    </row>
    <row r="28" spans="1:40" x14ac:dyDescent="0.25">
      <c r="A28" s="1">
        <v>39479</v>
      </c>
      <c r="B28">
        <v>124215</v>
      </c>
      <c r="C28">
        <v>41508</v>
      </c>
      <c r="W28" s="1">
        <v>39479</v>
      </c>
      <c r="X28">
        <v>72837</v>
      </c>
      <c r="Y28">
        <v>91402</v>
      </c>
      <c r="Z28">
        <v>1484</v>
      </c>
      <c r="AD28" s="1">
        <v>39142</v>
      </c>
      <c r="AE28">
        <v>86895</v>
      </c>
      <c r="AF28">
        <v>20923</v>
      </c>
      <c r="AL28" s="1">
        <v>39142</v>
      </c>
      <c r="AM28">
        <v>18020</v>
      </c>
      <c r="AN28">
        <v>22740</v>
      </c>
    </row>
    <row r="29" spans="1:40" x14ac:dyDescent="0.25">
      <c r="A29" s="1">
        <v>39508</v>
      </c>
      <c r="B29">
        <v>88535</v>
      </c>
      <c r="C29">
        <v>49873</v>
      </c>
      <c r="W29" s="1">
        <v>39508</v>
      </c>
      <c r="X29">
        <v>43659</v>
      </c>
      <c r="Y29">
        <v>93377</v>
      </c>
      <c r="Z29">
        <v>1372</v>
      </c>
      <c r="AD29" s="1">
        <v>39173</v>
      </c>
      <c r="AE29">
        <v>93294</v>
      </c>
      <c r="AF29">
        <v>18017</v>
      </c>
      <c r="AL29" s="1">
        <v>39173</v>
      </c>
      <c r="AM29">
        <v>18869</v>
      </c>
      <c r="AN29">
        <v>20586</v>
      </c>
    </row>
    <row r="30" spans="1:40" x14ac:dyDescent="0.25">
      <c r="A30" s="1">
        <v>39539</v>
      </c>
      <c r="B30">
        <v>98952</v>
      </c>
      <c r="C30">
        <v>44733</v>
      </c>
      <c r="W30" s="1">
        <v>39539</v>
      </c>
      <c r="X30">
        <v>50960</v>
      </c>
      <c r="Y30">
        <v>91357</v>
      </c>
      <c r="Z30">
        <v>1368</v>
      </c>
      <c r="AD30" s="1">
        <v>39203</v>
      </c>
      <c r="AE30">
        <v>118081</v>
      </c>
      <c r="AF30">
        <v>22875</v>
      </c>
      <c r="AL30" s="1">
        <v>39203</v>
      </c>
      <c r="AM30">
        <v>25321</v>
      </c>
      <c r="AN30">
        <v>25028</v>
      </c>
    </row>
    <row r="31" spans="1:40" x14ac:dyDescent="0.25">
      <c r="A31" s="1">
        <v>39569</v>
      </c>
      <c r="B31">
        <v>110414</v>
      </c>
      <c r="C31">
        <v>41194</v>
      </c>
      <c r="W31" s="1">
        <v>39569</v>
      </c>
      <c r="X31">
        <v>58452</v>
      </c>
      <c r="Y31">
        <v>91752</v>
      </c>
      <c r="Z31">
        <v>1404</v>
      </c>
      <c r="AD31" s="1">
        <v>39234</v>
      </c>
      <c r="AE31">
        <v>122699</v>
      </c>
      <c r="AF31">
        <v>24801</v>
      </c>
      <c r="AL31" s="1">
        <v>39234</v>
      </c>
      <c r="AM31">
        <v>27815</v>
      </c>
      <c r="AN31">
        <v>26551</v>
      </c>
    </row>
    <row r="32" spans="1:40" x14ac:dyDescent="0.25">
      <c r="A32" s="1">
        <v>39600</v>
      </c>
      <c r="B32">
        <v>108177</v>
      </c>
      <c r="C32">
        <v>30865</v>
      </c>
      <c r="W32" s="1">
        <v>39600</v>
      </c>
      <c r="X32">
        <v>67055</v>
      </c>
      <c r="Y32">
        <v>70617</v>
      </c>
      <c r="Z32">
        <v>1370</v>
      </c>
      <c r="AD32" s="1">
        <v>39264</v>
      </c>
      <c r="AE32">
        <v>125488</v>
      </c>
      <c r="AF32">
        <v>21810</v>
      </c>
      <c r="AL32" s="1">
        <v>39264</v>
      </c>
      <c r="AM32">
        <v>32290</v>
      </c>
      <c r="AN32">
        <v>26375</v>
      </c>
    </row>
    <row r="33" spans="1:40" x14ac:dyDescent="0.25">
      <c r="A33" s="1">
        <v>39630</v>
      </c>
      <c r="B33">
        <v>62302</v>
      </c>
      <c r="C33">
        <v>15169</v>
      </c>
      <c r="W33" s="1">
        <v>39630</v>
      </c>
      <c r="X33">
        <v>41004</v>
      </c>
      <c r="Y33">
        <v>36040</v>
      </c>
      <c r="Z33">
        <v>427</v>
      </c>
      <c r="AD33" s="1">
        <v>39295</v>
      </c>
      <c r="AE33">
        <v>118350</v>
      </c>
      <c r="AF33">
        <v>17435</v>
      </c>
      <c r="AL33" s="1">
        <v>39295</v>
      </c>
      <c r="AM33">
        <v>29663</v>
      </c>
      <c r="AN33">
        <v>21015</v>
      </c>
    </row>
    <row r="34" spans="1:40" x14ac:dyDescent="0.25">
      <c r="A34" s="1">
        <v>39661</v>
      </c>
      <c r="B34">
        <v>68339</v>
      </c>
      <c r="C34">
        <v>12928</v>
      </c>
      <c r="W34" s="1">
        <v>39661</v>
      </c>
      <c r="X34">
        <v>47631</v>
      </c>
      <c r="Y34">
        <v>33217</v>
      </c>
      <c r="Z34">
        <v>419</v>
      </c>
      <c r="AD34" s="1">
        <v>39326</v>
      </c>
      <c r="AE34">
        <v>113663</v>
      </c>
      <c r="AF34">
        <v>15467</v>
      </c>
      <c r="AL34" s="1">
        <v>39326</v>
      </c>
      <c r="AM34">
        <v>24698</v>
      </c>
      <c r="AN34">
        <v>16987</v>
      </c>
    </row>
    <row r="35" spans="1:40" x14ac:dyDescent="0.25">
      <c r="A35" s="1">
        <v>39692</v>
      </c>
      <c r="B35">
        <v>66445</v>
      </c>
      <c r="C35">
        <v>11279</v>
      </c>
      <c r="W35" s="1">
        <v>39692</v>
      </c>
      <c r="X35">
        <v>47720</v>
      </c>
      <c r="Y35">
        <v>29595</v>
      </c>
      <c r="Z35">
        <v>409</v>
      </c>
      <c r="AD35" s="1">
        <v>39356</v>
      </c>
      <c r="AE35">
        <v>110255</v>
      </c>
      <c r="AF35">
        <v>15255</v>
      </c>
      <c r="AL35" s="1">
        <v>39356</v>
      </c>
      <c r="AM35">
        <v>24976</v>
      </c>
      <c r="AN35">
        <v>18729</v>
      </c>
    </row>
    <row r="36" spans="1:40" x14ac:dyDescent="0.25">
      <c r="A36" s="1">
        <v>39722</v>
      </c>
      <c r="B36">
        <v>45734</v>
      </c>
      <c r="C36">
        <v>9037</v>
      </c>
      <c r="W36" s="1">
        <v>39722</v>
      </c>
      <c r="X36">
        <v>31841</v>
      </c>
      <c r="Y36">
        <v>22753</v>
      </c>
      <c r="Z36">
        <v>177</v>
      </c>
      <c r="AD36" s="1">
        <v>39387</v>
      </c>
      <c r="AE36">
        <v>99633</v>
      </c>
      <c r="AF36">
        <v>18097</v>
      </c>
      <c r="AL36" s="1">
        <v>39387</v>
      </c>
      <c r="AM36">
        <v>22959</v>
      </c>
      <c r="AN36">
        <v>20447</v>
      </c>
    </row>
    <row r="37" spans="1:40" x14ac:dyDescent="0.25">
      <c r="A37" s="1">
        <v>39753</v>
      </c>
      <c r="B37">
        <v>43655</v>
      </c>
      <c r="C37">
        <v>13338</v>
      </c>
      <c r="W37" s="1">
        <v>39753</v>
      </c>
      <c r="X37">
        <v>28701</v>
      </c>
      <c r="Y37">
        <v>27885</v>
      </c>
      <c r="Z37">
        <v>407</v>
      </c>
      <c r="AD37" s="1">
        <v>39417</v>
      </c>
      <c r="AE37">
        <v>101090</v>
      </c>
      <c r="AF37">
        <v>21973</v>
      </c>
      <c r="AL37" s="1">
        <v>39417</v>
      </c>
      <c r="AM37">
        <v>25043</v>
      </c>
      <c r="AN37">
        <v>25996</v>
      </c>
    </row>
    <row r="38" spans="1:40" x14ac:dyDescent="0.25">
      <c r="A38" s="1">
        <v>39783</v>
      </c>
      <c r="B38">
        <v>50259</v>
      </c>
      <c r="C38">
        <v>12980</v>
      </c>
      <c r="W38" s="1">
        <v>39783</v>
      </c>
      <c r="X38">
        <v>34511</v>
      </c>
      <c r="Y38">
        <v>28353</v>
      </c>
      <c r="Z38">
        <v>375</v>
      </c>
      <c r="AD38" s="1">
        <v>39448</v>
      </c>
      <c r="AE38">
        <v>88196</v>
      </c>
      <c r="AF38">
        <v>20897</v>
      </c>
      <c r="AL38" s="1">
        <v>39448</v>
      </c>
      <c r="AM38">
        <v>24510</v>
      </c>
      <c r="AN38">
        <v>25319</v>
      </c>
    </row>
    <row r="39" spans="1:40" x14ac:dyDescent="0.25">
      <c r="A39" s="1">
        <v>39814</v>
      </c>
      <c r="B39">
        <v>45008</v>
      </c>
      <c r="C39">
        <v>20693</v>
      </c>
      <c r="W39" s="1">
        <v>39814</v>
      </c>
      <c r="X39">
        <v>28940</v>
      </c>
      <c r="Y39">
        <v>36364</v>
      </c>
      <c r="Z39">
        <v>397</v>
      </c>
      <c r="AD39" s="1">
        <v>39479</v>
      </c>
      <c r="AE39">
        <v>95942</v>
      </c>
      <c r="AF39">
        <v>30555</v>
      </c>
      <c r="AL39" s="1">
        <v>39479</v>
      </c>
      <c r="AM39">
        <v>23884</v>
      </c>
      <c r="AN39">
        <v>27711</v>
      </c>
    </row>
    <row r="40" spans="1:40" x14ac:dyDescent="0.25">
      <c r="A40" s="1">
        <v>39845</v>
      </c>
      <c r="B40">
        <v>54314</v>
      </c>
      <c r="C40">
        <v>60330</v>
      </c>
      <c r="W40" s="1">
        <v>39845</v>
      </c>
      <c r="X40">
        <v>24431</v>
      </c>
      <c r="Y40">
        <v>88963</v>
      </c>
      <c r="Z40">
        <v>1250</v>
      </c>
      <c r="AD40" s="1">
        <v>39508</v>
      </c>
      <c r="AE40">
        <v>78249</v>
      </c>
      <c r="AF40">
        <v>34268</v>
      </c>
      <c r="AL40" s="1">
        <v>39508</v>
      </c>
      <c r="AM40">
        <v>20975</v>
      </c>
      <c r="AN40">
        <v>31314</v>
      </c>
    </row>
    <row r="41" spans="1:40" x14ac:dyDescent="0.25">
      <c r="A41" s="1">
        <v>39873</v>
      </c>
      <c r="B41">
        <v>90938</v>
      </c>
      <c r="C41">
        <v>126468</v>
      </c>
      <c r="W41" s="1">
        <v>39873</v>
      </c>
      <c r="X41">
        <v>27687</v>
      </c>
      <c r="Y41">
        <v>187401</v>
      </c>
      <c r="Z41">
        <v>2318</v>
      </c>
      <c r="AD41" s="1">
        <v>39539</v>
      </c>
      <c r="AE41">
        <v>99187</v>
      </c>
      <c r="AF41">
        <v>60058</v>
      </c>
      <c r="AL41" s="1">
        <v>39539</v>
      </c>
      <c r="AM41">
        <v>22787</v>
      </c>
      <c r="AN41">
        <v>42764</v>
      </c>
    </row>
    <row r="42" spans="1:4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W42" s="1">
        <v>39904</v>
      </c>
      <c r="X42">
        <v>24673</v>
      </c>
      <c r="Y42">
        <v>140030</v>
      </c>
      <c r="Z42">
        <v>1785</v>
      </c>
      <c r="AD42" s="1">
        <v>39569</v>
      </c>
      <c r="AE42">
        <v>102401</v>
      </c>
      <c r="AF42">
        <v>41596</v>
      </c>
      <c r="AL42" s="1">
        <v>39569</v>
      </c>
      <c r="AM42">
        <v>21383</v>
      </c>
      <c r="AN42">
        <v>31567</v>
      </c>
    </row>
    <row r="43" spans="1:4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W43" s="1">
        <v>39934</v>
      </c>
      <c r="X43">
        <v>24641</v>
      </c>
      <c r="Y43">
        <v>123547</v>
      </c>
      <c r="Z43">
        <v>2588</v>
      </c>
      <c r="AD43" s="1">
        <v>39600</v>
      </c>
      <c r="AE43">
        <v>98365</v>
      </c>
      <c r="AF43">
        <v>38213</v>
      </c>
      <c r="AL43" s="1">
        <v>39600</v>
      </c>
      <c r="AM43">
        <v>22525</v>
      </c>
      <c r="AN43">
        <v>29505</v>
      </c>
    </row>
    <row r="44" spans="1:4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W44" s="1">
        <v>39965</v>
      </c>
      <c r="X44">
        <v>41335</v>
      </c>
      <c r="Y44">
        <v>183268</v>
      </c>
      <c r="Z44">
        <v>9453</v>
      </c>
      <c r="AD44" s="1">
        <v>39630</v>
      </c>
      <c r="AE44">
        <v>81925</v>
      </c>
      <c r="AF44">
        <v>23471</v>
      </c>
      <c r="AL44" s="1">
        <v>39630</v>
      </c>
      <c r="AM44">
        <v>23075</v>
      </c>
      <c r="AN44">
        <v>22067</v>
      </c>
    </row>
    <row r="45" spans="1:4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W45" s="1">
        <v>39995</v>
      </c>
      <c r="X45">
        <v>32476</v>
      </c>
      <c r="Y45">
        <v>107233</v>
      </c>
      <c r="Z45">
        <v>14498</v>
      </c>
      <c r="AD45" s="1">
        <v>39661</v>
      </c>
      <c r="AE45">
        <v>80739</v>
      </c>
      <c r="AF45">
        <v>17448</v>
      </c>
      <c r="AL45" s="1">
        <v>39661</v>
      </c>
      <c r="AM45">
        <v>19612</v>
      </c>
      <c r="AN45">
        <v>15491</v>
      </c>
    </row>
    <row r="46" spans="1:4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W46" s="1">
        <v>40026</v>
      </c>
      <c r="X46">
        <v>42643</v>
      </c>
      <c r="Y46">
        <v>104917</v>
      </c>
      <c r="Z46">
        <v>16086</v>
      </c>
      <c r="AD46" s="1">
        <v>39692</v>
      </c>
      <c r="AE46">
        <v>67217</v>
      </c>
      <c r="AF46">
        <v>11582</v>
      </c>
      <c r="AL46" s="1">
        <v>39692</v>
      </c>
      <c r="AM46">
        <v>15980</v>
      </c>
      <c r="AN46">
        <v>10494</v>
      </c>
    </row>
    <row r="47" spans="1:4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W47" s="1">
        <v>40057</v>
      </c>
      <c r="X47">
        <v>41473</v>
      </c>
      <c r="Y47">
        <v>67936</v>
      </c>
      <c r="Z47">
        <v>8996</v>
      </c>
      <c r="AD47" s="1">
        <v>39722</v>
      </c>
      <c r="AE47">
        <v>45117</v>
      </c>
      <c r="AF47">
        <v>7202</v>
      </c>
      <c r="AL47" s="1">
        <v>39722</v>
      </c>
      <c r="AM47">
        <v>14635</v>
      </c>
      <c r="AN47">
        <v>8915</v>
      </c>
    </row>
    <row r="48" spans="1:4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W48" s="1">
        <v>40087</v>
      </c>
      <c r="X48">
        <v>37039</v>
      </c>
      <c r="Y48">
        <v>54105</v>
      </c>
      <c r="Z48">
        <v>6341</v>
      </c>
      <c r="AD48" s="1">
        <v>39753</v>
      </c>
      <c r="AE48">
        <v>50694</v>
      </c>
      <c r="AF48">
        <v>10585</v>
      </c>
      <c r="AL48" s="1">
        <v>39753</v>
      </c>
      <c r="AM48">
        <v>14115</v>
      </c>
      <c r="AN48">
        <v>9826</v>
      </c>
    </row>
    <row r="49" spans="1:42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W49" s="1">
        <v>40118</v>
      </c>
      <c r="X49">
        <v>32297</v>
      </c>
      <c r="Y49">
        <v>53423</v>
      </c>
      <c r="Z49">
        <v>8103</v>
      </c>
      <c r="AD49" s="1">
        <v>39783</v>
      </c>
      <c r="AE49">
        <v>52103</v>
      </c>
      <c r="AF49">
        <v>15821</v>
      </c>
      <c r="AL49" s="1">
        <v>39783</v>
      </c>
      <c r="AM49">
        <v>15394</v>
      </c>
      <c r="AN49">
        <v>12743</v>
      </c>
    </row>
    <row r="50" spans="1:42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W50" s="1">
        <v>40148</v>
      </c>
      <c r="X50">
        <v>42345</v>
      </c>
      <c r="Y50">
        <v>71676</v>
      </c>
      <c r="Z50">
        <v>12795</v>
      </c>
      <c r="AD50" s="1">
        <v>39814</v>
      </c>
      <c r="AE50">
        <v>32448</v>
      </c>
      <c r="AF50">
        <v>7542</v>
      </c>
      <c r="AL50" s="1">
        <v>39814</v>
      </c>
      <c r="AM50">
        <v>11771</v>
      </c>
      <c r="AN50">
        <v>9484</v>
      </c>
    </row>
    <row r="51" spans="1:42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W51" s="1">
        <v>40179</v>
      </c>
      <c r="X51">
        <v>29955</v>
      </c>
      <c r="Y51">
        <v>57979</v>
      </c>
      <c r="Z51">
        <v>12696</v>
      </c>
      <c r="AD51" s="1">
        <v>39845</v>
      </c>
      <c r="AE51">
        <v>52470</v>
      </c>
      <c r="AF51">
        <v>32323</v>
      </c>
      <c r="AL51" s="1">
        <v>39845</v>
      </c>
      <c r="AM51">
        <v>15596</v>
      </c>
      <c r="AN51">
        <v>20177</v>
      </c>
    </row>
    <row r="52" spans="1:42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W52" s="1">
        <v>40210</v>
      </c>
      <c r="X52">
        <v>27636</v>
      </c>
      <c r="Y52">
        <v>64815</v>
      </c>
      <c r="Z52">
        <v>13514</v>
      </c>
      <c r="AD52" s="1">
        <v>39873</v>
      </c>
      <c r="AE52">
        <v>58125</v>
      </c>
      <c r="AF52">
        <v>81505</v>
      </c>
      <c r="AL52" s="1">
        <v>39873</v>
      </c>
      <c r="AM52">
        <v>17183</v>
      </c>
      <c r="AN52">
        <v>66165</v>
      </c>
    </row>
    <row r="53" spans="1:42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W53" s="1">
        <v>40238</v>
      </c>
      <c r="X53">
        <v>30875</v>
      </c>
      <c r="Y53">
        <v>61902</v>
      </c>
      <c r="Z53">
        <v>11773</v>
      </c>
      <c r="AD53" s="1">
        <v>39904</v>
      </c>
      <c r="AE53">
        <v>72314</v>
      </c>
      <c r="AF53">
        <v>104826</v>
      </c>
      <c r="AL53" s="1">
        <v>39904</v>
      </c>
      <c r="AM53">
        <v>19205</v>
      </c>
      <c r="AN53">
        <v>81476</v>
      </c>
    </row>
    <row r="54" spans="1:42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W54" s="1">
        <v>40269</v>
      </c>
      <c r="X54">
        <v>23058</v>
      </c>
      <c r="Y54">
        <v>37869</v>
      </c>
      <c r="Z54">
        <v>10346</v>
      </c>
      <c r="AD54" s="1">
        <v>39934</v>
      </c>
      <c r="AE54">
        <v>87478</v>
      </c>
      <c r="AF54">
        <v>108692</v>
      </c>
      <c r="AL54" s="1">
        <v>39934</v>
      </c>
      <c r="AM54">
        <v>22244</v>
      </c>
      <c r="AN54">
        <v>84588</v>
      </c>
    </row>
    <row r="55" spans="1:42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W55" s="1">
        <v>40299</v>
      </c>
      <c r="X55">
        <v>30710</v>
      </c>
      <c r="Y55">
        <v>40562</v>
      </c>
      <c r="Z55">
        <v>9171</v>
      </c>
      <c r="AD55" s="1">
        <v>39965</v>
      </c>
      <c r="AE55">
        <v>80976</v>
      </c>
      <c r="AG55">
        <v>94312</v>
      </c>
      <c r="AH55">
        <v>10383</v>
      </c>
      <c r="AL55" s="1">
        <v>39965</v>
      </c>
      <c r="AM55">
        <v>27796</v>
      </c>
      <c r="AO55">
        <v>81756</v>
      </c>
      <c r="AP55">
        <v>22119</v>
      </c>
    </row>
    <row r="56" spans="1:42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W56" s="1">
        <v>40330</v>
      </c>
      <c r="X56">
        <v>38377</v>
      </c>
      <c r="Y56">
        <v>40799</v>
      </c>
      <c r="Z56">
        <v>10433</v>
      </c>
      <c r="AD56" s="1">
        <v>39995</v>
      </c>
      <c r="AE56">
        <v>82570</v>
      </c>
      <c r="AG56">
        <v>90531</v>
      </c>
      <c r="AH56">
        <v>16311</v>
      </c>
      <c r="AL56" s="1">
        <v>39995</v>
      </c>
      <c r="AM56">
        <v>35162</v>
      </c>
      <c r="AO56">
        <v>98694</v>
      </c>
      <c r="AP56">
        <v>39349</v>
      </c>
    </row>
    <row r="57" spans="1:42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W57" s="1">
        <v>40360</v>
      </c>
      <c r="X57">
        <v>36953</v>
      </c>
      <c r="Y57">
        <v>37795</v>
      </c>
      <c r="Z57">
        <v>9017</v>
      </c>
      <c r="AD57" s="1">
        <v>40026</v>
      </c>
      <c r="AE57">
        <v>89410</v>
      </c>
      <c r="AG57">
        <v>71783</v>
      </c>
      <c r="AH57">
        <v>25480</v>
      </c>
      <c r="AL57" s="1">
        <v>40026</v>
      </c>
      <c r="AM57">
        <v>33907</v>
      </c>
      <c r="AO57">
        <v>79985</v>
      </c>
      <c r="AP57">
        <v>41471</v>
      </c>
    </row>
    <row r="58" spans="1:42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W58" s="1">
        <v>40391</v>
      </c>
      <c r="X58">
        <v>32778</v>
      </c>
      <c r="Y58">
        <v>44543</v>
      </c>
      <c r="Z58">
        <v>9218</v>
      </c>
      <c r="AD58" s="1">
        <v>40057</v>
      </c>
      <c r="AE58">
        <v>83867</v>
      </c>
      <c r="AG58">
        <v>45076</v>
      </c>
      <c r="AH58">
        <v>22620</v>
      </c>
      <c r="AL58" s="1">
        <v>40057</v>
      </c>
      <c r="AM58">
        <v>25673</v>
      </c>
      <c r="AO58">
        <v>49944</v>
      </c>
      <c r="AP58">
        <v>30038</v>
      </c>
    </row>
    <row r="59" spans="1:42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W59" s="1">
        <v>40422</v>
      </c>
      <c r="X59">
        <v>25077</v>
      </c>
      <c r="Y59">
        <v>63945</v>
      </c>
      <c r="Z59">
        <v>16012</v>
      </c>
      <c r="AD59" s="1">
        <v>40087</v>
      </c>
      <c r="AE59">
        <v>62931</v>
      </c>
      <c r="AG59">
        <v>24616</v>
      </c>
      <c r="AH59">
        <v>16406</v>
      </c>
      <c r="AL59" s="1">
        <v>40087</v>
      </c>
      <c r="AM59">
        <v>25546</v>
      </c>
      <c r="AO59">
        <v>32936</v>
      </c>
      <c r="AP59">
        <v>21784</v>
      </c>
    </row>
    <row r="60" spans="1:42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W60" s="1">
        <v>40452</v>
      </c>
      <c r="X60">
        <v>21824</v>
      </c>
      <c r="Y60">
        <v>69234</v>
      </c>
      <c r="Z60">
        <v>13956</v>
      </c>
      <c r="AD60" s="1">
        <v>40118</v>
      </c>
      <c r="AE60">
        <v>58846</v>
      </c>
      <c r="AG60">
        <v>20958</v>
      </c>
      <c r="AH60">
        <v>13051</v>
      </c>
      <c r="AL60" s="1">
        <v>40118</v>
      </c>
      <c r="AM60">
        <v>24426</v>
      </c>
      <c r="AO60">
        <v>25969</v>
      </c>
      <c r="AP60">
        <v>18281</v>
      </c>
    </row>
    <row r="61" spans="1:42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W61" s="1">
        <v>40483</v>
      </c>
      <c r="X61">
        <v>19204</v>
      </c>
      <c r="Y61">
        <v>68606</v>
      </c>
      <c r="Z61">
        <v>16014</v>
      </c>
      <c r="AD61" s="1">
        <v>40148</v>
      </c>
      <c r="AE61">
        <v>62802</v>
      </c>
      <c r="AG61">
        <v>26484</v>
      </c>
      <c r="AH61">
        <v>18179</v>
      </c>
      <c r="AL61" s="1">
        <v>40148</v>
      </c>
      <c r="AM61">
        <v>26861</v>
      </c>
      <c r="AO61">
        <v>26137</v>
      </c>
      <c r="AP61">
        <v>20048</v>
      </c>
    </row>
    <row r="62" spans="1:42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W62" s="1">
        <v>40513</v>
      </c>
      <c r="X62">
        <v>17561</v>
      </c>
      <c r="Y62">
        <v>73157</v>
      </c>
      <c r="Z62">
        <v>17737</v>
      </c>
      <c r="AD62" s="1">
        <v>40179</v>
      </c>
      <c r="AE62">
        <v>60390</v>
      </c>
      <c r="AG62">
        <v>27562</v>
      </c>
      <c r="AH62">
        <v>23590</v>
      </c>
      <c r="AL62" s="1">
        <v>40179</v>
      </c>
      <c r="AM62">
        <v>27023</v>
      </c>
      <c r="AO62">
        <v>27335</v>
      </c>
      <c r="AP62">
        <v>22598</v>
      </c>
    </row>
    <row r="63" spans="1:42" x14ac:dyDescent="0.25">
      <c r="A63" s="1">
        <v>40544</v>
      </c>
      <c r="B63">
        <v>40868</v>
      </c>
      <c r="D63">
        <v>36053</v>
      </c>
      <c r="E63">
        <v>31180</v>
      </c>
      <c r="W63" s="1">
        <v>40544</v>
      </c>
      <c r="X63">
        <v>21831</v>
      </c>
      <c r="Y63">
        <v>71333</v>
      </c>
      <c r="Z63">
        <v>14937</v>
      </c>
      <c r="AD63" s="1">
        <v>40210</v>
      </c>
      <c r="AE63">
        <v>54738</v>
      </c>
      <c r="AG63">
        <v>29806</v>
      </c>
      <c r="AH63">
        <v>26564</v>
      </c>
      <c r="AL63" s="1">
        <v>40210</v>
      </c>
      <c r="AM63">
        <v>24131</v>
      </c>
      <c r="AO63">
        <v>31066</v>
      </c>
      <c r="AP63">
        <v>26006</v>
      </c>
    </row>
    <row r="64" spans="1:42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W64" s="1">
        <v>40575</v>
      </c>
      <c r="X64">
        <v>22007</v>
      </c>
      <c r="Y64">
        <v>61002</v>
      </c>
      <c r="Z64">
        <v>17490</v>
      </c>
      <c r="AD64" s="1">
        <v>40238</v>
      </c>
      <c r="AE64">
        <v>43730</v>
      </c>
      <c r="AG64">
        <v>25134</v>
      </c>
      <c r="AH64">
        <v>24648</v>
      </c>
      <c r="AL64" s="1">
        <v>40238</v>
      </c>
      <c r="AM64">
        <v>15542</v>
      </c>
      <c r="AO64">
        <v>24996</v>
      </c>
      <c r="AP64">
        <v>24778</v>
      </c>
    </row>
    <row r="65" spans="1:42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W65" s="1">
        <v>40603</v>
      </c>
      <c r="X65">
        <v>16260</v>
      </c>
      <c r="Y65">
        <v>36850</v>
      </c>
      <c r="Z65">
        <v>10517</v>
      </c>
      <c r="AD65" s="1">
        <v>40269</v>
      </c>
      <c r="AE65">
        <v>42612</v>
      </c>
      <c r="AG65">
        <v>17800</v>
      </c>
      <c r="AH65">
        <v>17440</v>
      </c>
      <c r="AL65" s="1">
        <v>40269</v>
      </c>
      <c r="AM65">
        <v>15025</v>
      </c>
      <c r="AO65">
        <v>16955</v>
      </c>
      <c r="AP65">
        <v>19537</v>
      </c>
    </row>
    <row r="66" spans="1:42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W66" s="1">
        <v>40634</v>
      </c>
      <c r="X66">
        <v>15307</v>
      </c>
      <c r="Y66">
        <v>28254</v>
      </c>
      <c r="Z66">
        <v>9118</v>
      </c>
      <c r="AD66" s="1">
        <v>40299</v>
      </c>
      <c r="AE66">
        <v>46375</v>
      </c>
      <c r="AG66">
        <v>16829</v>
      </c>
      <c r="AH66">
        <v>21045</v>
      </c>
      <c r="AL66" s="1">
        <v>40299</v>
      </c>
      <c r="AM66">
        <v>24751</v>
      </c>
      <c r="AO66">
        <v>23261</v>
      </c>
      <c r="AP66">
        <v>23581</v>
      </c>
    </row>
    <row r="67" spans="1:42" x14ac:dyDescent="0.25">
      <c r="A67" s="1">
        <v>40664</v>
      </c>
      <c r="B67">
        <v>26412</v>
      </c>
      <c r="D67">
        <v>7249</v>
      </c>
      <c r="E67">
        <v>12820</v>
      </c>
      <c r="W67" s="1">
        <v>40664</v>
      </c>
      <c r="X67">
        <v>18349</v>
      </c>
      <c r="Y67">
        <v>22304</v>
      </c>
      <c r="Z67">
        <v>5828</v>
      </c>
      <c r="AD67" s="1">
        <v>40330</v>
      </c>
      <c r="AE67">
        <v>49599</v>
      </c>
      <c r="AG67">
        <v>14699</v>
      </c>
      <c r="AH67">
        <v>19445</v>
      </c>
      <c r="AL67" s="1">
        <v>40330</v>
      </c>
      <c r="AM67">
        <v>26297</v>
      </c>
      <c r="AO67">
        <v>19774</v>
      </c>
      <c r="AP67">
        <v>21651</v>
      </c>
    </row>
    <row r="68" spans="1:42" x14ac:dyDescent="0.25">
      <c r="A68" s="1">
        <v>40695</v>
      </c>
      <c r="B68">
        <v>32058</v>
      </c>
      <c r="D68">
        <v>7079</v>
      </c>
      <c r="E68">
        <v>12588</v>
      </c>
      <c r="W68" s="1">
        <v>40695</v>
      </c>
      <c r="X68">
        <v>23616</v>
      </c>
      <c r="Y68">
        <v>22239</v>
      </c>
      <c r="Z68">
        <v>5870</v>
      </c>
      <c r="AD68" s="1">
        <v>40360</v>
      </c>
      <c r="AE68">
        <v>51493</v>
      </c>
      <c r="AG68">
        <v>11907</v>
      </c>
      <c r="AH68">
        <v>15205</v>
      </c>
      <c r="AL68" s="1">
        <v>40360</v>
      </c>
      <c r="AM68">
        <v>29344</v>
      </c>
      <c r="AO68">
        <v>16373</v>
      </c>
      <c r="AP68">
        <v>17093</v>
      </c>
    </row>
    <row r="69" spans="1:42" x14ac:dyDescent="0.25">
      <c r="A69" s="1">
        <v>40725</v>
      </c>
      <c r="B69">
        <v>25325</v>
      </c>
      <c r="D69">
        <v>5161</v>
      </c>
      <c r="E69">
        <v>11579</v>
      </c>
      <c r="W69" s="1">
        <v>40725</v>
      </c>
      <c r="X69">
        <v>19009</v>
      </c>
      <c r="Y69">
        <v>16955</v>
      </c>
      <c r="Z69">
        <v>6101</v>
      </c>
      <c r="AD69" s="1">
        <v>40391</v>
      </c>
      <c r="AE69">
        <v>55048</v>
      </c>
      <c r="AG69">
        <v>16456</v>
      </c>
      <c r="AH69">
        <v>21345</v>
      </c>
      <c r="AL69" s="1">
        <v>40391</v>
      </c>
      <c r="AM69">
        <v>36104</v>
      </c>
      <c r="AO69">
        <v>22123</v>
      </c>
      <c r="AP69">
        <v>19377</v>
      </c>
    </row>
    <row r="70" spans="1:42" x14ac:dyDescent="0.25">
      <c r="A70" s="1">
        <v>40756</v>
      </c>
      <c r="B70">
        <v>34306</v>
      </c>
      <c r="D70">
        <v>8995</v>
      </c>
      <c r="E70">
        <v>13279</v>
      </c>
      <c r="W70" s="1">
        <v>40756</v>
      </c>
      <c r="X70">
        <v>25639</v>
      </c>
      <c r="Y70">
        <v>24762</v>
      </c>
      <c r="Z70">
        <v>6179</v>
      </c>
      <c r="AD70" s="1">
        <v>40422</v>
      </c>
      <c r="AE70">
        <v>40328</v>
      </c>
      <c r="AG70">
        <v>22322</v>
      </c>
      <c r="AH70">
        <v>28168</v>
      </c>
      <c r="AL70" s="1">
        <v>40422</v>
      </c>
      <c r="AM70">
        <v>28611</v>
      </c>
      <c r="AO70">
        <v>34966</v>
      </c>
      <c r="AP70">
        <v>25614</v>
      </c>
    </row>
    <row r="71" spans="1:42" x14ac:dyDescent="0.25">
      <c r="A71" s="1">
        <v>40787</v>
      </c>
      <c r="B71">
        <v>35181</v>
      </c>
      <c r="D71">
        <v>9559</v>
      </c>
      <c r="E71">
        <v>15550</v>
      </c>
      <c r="W71" s="1">
        <v>40787</v>
      </c>
      <c r="X71">
        <v>27102</v>
      </c>
      <c r="Y71">
        <v>25880</v>
      </c>
      <c r="Z71">
        <v>7308</v>
      </c>
      <c r="AD71" s="1">
        <v>40452</v>
      </c>
      <c r="AE71">
        <v>41549</v>
      </c>
      <c r="AG71">
        <v>30002</v>
      </c>
      <c r="AH71">
        <v>33340</v>
      </c>
      <c r="AL71" s="1">
        <v>40452</v>
      </c>
      <c r="AM71">
        <v>34726</v>
      </c>
      <c r="AO71">
        <v>54825</v>
      </c>
      <c r="AP71">
        <v>35899</v>
      </c>
    </row>
    <row r="72" spans="1:42" x14ac:dyDescent="0.25">
      <c r="A72" s="1">
        <v>40817</v>
      </c>
      <c r="B72">
        <v>28354</v>
      </c>
      <c r="D72">
        <v>15321</v>
      </c>
      <c r="E72">
        <v>16474</v>
      </c>
      <c r="W72" s="1">
        <v>40817</v>
      </c>
      <c r="X72">
        <v>20424</v>
      </c>
      <c r="Y72">
        <v>32509</v>
      </c>
      <c r="Z72">
        <v>7216</v>
      </c>
      <c r="AD72" s="1">
        <v>40483</v>
      </c>
      <c r="AE72">
        <v>37450</v>
      </c>
      <c r="AG72">
        <v>30869</v>
      </c>
      <c r="AH72">
        <v>38106</v>
      </c>
      <c r="AL72" s="1">
        <v>40483</v>
      </c>
      <c r="AM72">
        <v>34796</v>
      </c>
      <c r="AO72">
        <v>65313</v>
      </c>
      <c r="AP72">
        <v>39955</v>
      </c>
    </row>
    <row r="73" spans="1:42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W73" s="1">
        <v>40848</v>
      </c>
      <c r="X73">
        <v>15277</v>
      </c>
      <c r="Y73">
        <v>31848</v>
      </c>
      <c r="Z73">
        <v>6751</v>
      </c>
      <c r="AD73" s="1">
        <v>40513</v>
      </c>
      <c r="AE73">
        <v>38964</v>
      </c>
      <c r="AG73">
        <v>34888</v>
      </c>
      <c r="AH73">
        <v>43237</v>
      </c>
      <c r="AL73" s="1">
        <v>40513</v>
      </c>
      <c r="AM73">
        <v>32088</v>
      </c>
      <c r="AO73">
        <v>68437</v>
      </c>
      <c r="AP73">
        <v>43745</v>
      </c>
    </row>
    <row r="74" spans="1:42" x14ac:dyDescent="0.25">
      <c r="A74" s="1">
        <v>40878</v>
      </c>
      <c r="B74">
        <v>12661</v>
      </c>
      <c r="D74">
        <v>13058</v>
      </c>
      <c r="E74">
        <v>17850</v>
      </c>
      <c r="W74" s="1">
        <v>40878</v>
      </c>
      <c r="X74">
        <v>7570</v>
      </c>
      <c r="Y74">
        <v>30460</v>
      </c>
      <c r="Z74">
        <v>5539</v>
      </c>
      <c r="AD74" s="1">
        <v>40544</v>
      </c>
      <c r="AE74">
        <v>36931</v>
      </c>
      <c r="AG74">
        <v>33215</v>
      </c>
      <c r="AH74">
        <v>44477</v>
      </c>
      <c r="AL74" s="1">
        <v>40544</v>
      </c>
      <c r="AM74">
        <v>31798</v>
      </c>
      <c r="AO74">
        <v>71391</v>
      </c>
      <c r="AP74">
        <v>44688</v>
      </c>
    </row>
    <row r="75" spans="1:42" x14ac:dyDescent="0.25">
      <c r="A75" s="1">
        <v>40909</v>
      </c>
      <c r="B75">
        <v>26095</v>
      </c>
      <c r="D75">
        <v>21613</v>
      </c>
      <c r="E75">
        <v>21469</v>
      </c>
      <c r="W75" s="1">
        <v>40909</v>
      </c>
      <c r="X75">
        <v>16546</v>
      </c>
      <c r="Y75">
        <v>40253</v>
      </c>
      <c r="Z75">
        <v>12378</v>
      </c>
      <c r="AD75" s="1">
        <v>40575</v>
      </c>
      <c r="AE75">
        <v>41383</v>
      </c>
      <c r="AG75">
        <v>30768</v>
      </c>
      <c r="AH75">
        <v>37322</v>
      </c>
      <c r="AL75" s="1">
        <v>40575</v>
      </c>
      <c r="AM75">
        <v>32165</v>
      </c>
      <c r="AO75">
        <v>61672</v>
      </c>
      <c r="AP75">
        <v>43163</v>
      </c>
    </row>
    <row r="76" spans="1:42" x14ac:dyDescent="0.25">
      <c r="A76" s="1">
        <v>40940</v>
      </c>
      <c r="B76">
        <v>35310</v>
      </c>
      <c r="D76">
        <v>35057</v>
      </c>
      <c r="E76">
        <v>19436</v>
      </c>
      <c r="W76" s="1">
        <v>40940</v>
      </c>
      <c r="X76">
        <v>20135</v>
      </c>
      <c r="Y76">
        <v>59797</v>
      </c>
      <c r="Z76">
        <v>9871</v>
      </c>
      <c r="AD76" s="1">
        <v>40603</v>
      </c>
      <c r="AE76">
        <v>32412</v>
      </c>
      <c r="AG76">
        <v>20081</v>
      </c>
      <c r="AH76">
        <v>32289</v>
      </c>
      <c r="AL76" s="1">
        <v>40603</v>
      </c>
      <c r="AM76">
        <v>20587</v>
      </c>
      <c r="AO76">
        <v>39380</v>
      </c>
      <c r="AP76">
        <v>37615</v>
      </c>
    </row>
    <row r="77" spans="1:42" x14ac:dyDescent="0.25">
      <c r="A77" s="1">
        <v>40969</v>
      </c>
      <c r="B77">
        <v>26813</v>
      </c>
      <c r="D77">
        <v>28239</v>
      </c>
      <c r="E77">
        <v>29010</v>
      </c>
      <c r="W77" s="1">
        <v>40969</v>
      </c>
      <c r="X77">
        <v>14854</v>
      </c>
      <c r="Y77">
        <v>52700</v>
      </c>
      <c r="Z77">
        <v>16508</v>
      </c>
      <c r="AD77" s="1">
        <v>40634</v>
      </c>
      <c r="AE77">
        <v>22609</v>
      </c>
      <c r="AG77">
        <v>10793</v>
      </c>
      <c r="AH77">
        <v>21224</v>
      </c>
      <c r="AL77" s="1">
        <v>40634</v>
      </c>
      <c r="AM77">
        <v>22676</v>
      </c>
      <c r="AO77">
        <v>28893</v>
      </c>
      <c r="AP77">
        <v>30023</v>
      </c>
    </row>
    <row r="78" spans="1:42" x14ac:dyDescent="0.25">
      <c r="A78" s="1">
        <v>41000</v>
      </c>
      <c r="B78">
        <v>37089</v>
      </c>
      <c r="D78">
        <v>30739</v>
      </c>
      <c r="E78">
        <v>18814</v>
      </c>
      <c r="W78" s="1">
        <v>41000</v>
      </c>
      <c r="X78">
        <v>22249</v>
      </c>
      <c r="Y78">
        <v>52285</v>
      </c>
      <c r="Z78">
        <v>12108</v>
      </c>
      <c r="AD78" s="1">
        <v>40664</v>
      </c>
      <c r="AE78">
        <v>29809</v>
      </c>
      <c r="AG78">
        <v>9553</v>
      </c>
      <c r="AH78">
        <v>14491</v>
      </c>
      <c r="AL78" s="1">
        <v>40664</v>
      </c>
      <c r="AM78">
        <v>27054</v>
      </c>
      <c r="AO78">
        <v>23356</v>
      </c>
      <c r="AP78">
        <v>30663</v>
      </c>
    </row>
    <row r="79" spans="1:42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W79" s="1">
        <v>41030</v>
      </c>
      <c r="X79">
        <v>16856</v>
      </c>
      <c r="Y79">
        <v>37066</v>
      </c>
      <c r="Z79">
        <v>12394</v>
      </c>
      <c r="AD79" s="1">
        <v>40695</v>
      </c>
      <c r="AE79">
        <v>30453</v>
      </c>
      <c r="AG79">
        <v>7592</v>
      </c>
      <c r="AH79">
        <v>13261</v>
      </c>
      <c r="AL79" s="1">
        <v>40695</v>
      </c>
      <c r="AM79">
        <v>26124</v>
      </c>
      <c r="AO79">
        <v>16989</v>
      </c>
      <c r="AP79">
        <v>26665</v>
      </c>
    </row>
    <row r="80" spans="1:42" x14ac:dyDescent="0.25">
      <c r="A80" s="1">
        <v>41061</v>
      </c>
      <c r="B80">
        <v>49421</v>
      </c>
      <c r="D80">
        <v>25831</v>
      </c>
      <c r="E80">
        <v>23679</v>
      </c>
      <c r="W80" s="1">
        <v>41061</v>
      </c>
      <c r="X80">
        <v>37261</v>
      </c>
      <c r="Y80">
        <v>46044</v>
      </c>
      <c r="Z80">
        <v>15626</v>
      </c>
      <c r="AD80" s="1">
        <v>40725</v>
      </c>
      <c r="AE80">
        <v>31433</v>
      </c>
      <c r="AG80">
        <v>6380</v>
      </c>
      <c r="AH80">
        <v>11117</v>
      </c>
      <c r="AL80" s="1">
        <v>40725</v>
      </c>
      <c r="AM80">
        <v>30974</v>
      </c>
      <c r="AO80">
        <v>15387</v>
      </c>
      <c r="AP80">
        <v>24085</v>
      </c>
    </row>
    <row r="81" spans="1:42" x14ac:dyDescent="0.25">
      <c r="A81" s="1">
        <v>41091</v>
      </c>
      <c r="B81">
        <v>37815</v>
      </c>
      <c r="D81">
        <v>18827</v>
      </c>
      <c r="E81">
        <v>21930</v>
      </c>
      <c r="W81" s="1">
        <v>41091</v>
      </c>
      <c r="X81">
        <v>26911</v>
      </c>
      <c r="Y81">
        <v>36784</v>
      </c>
      <c r="Z81">
        <v>14877</v>
      </c>
      <c r="AD81" s="1">
        <v>40756</v>
      </c>
      <c r="AE81">
        <v>41640</v>
      </c>
      <c r="AG81">
        <v>8952</v>
      </c>
      <c r="AH81">
        <v>12492</v>
      </c>
      <c r="AL81" s="1">
        <v>40756</v>
      </c>
      <c r="AM81">
        <v>35877</v>
      </c>
      <c r="AO81">
        <v>16908</v>
      </c>
      <c r="AP81">
        <v>26981</v>
      </c>
    </row>
    <row r="82" spans="1:42" x14ac:dyDescent="0.25">
      <c r="A82" s="1">
        <v>41122</v>
      </c>
      <c r="B82">
        <v>51040</v>
      </c>
      <c r="D82">
        <v>26774</v>
      </c>
      <c r="E82">
        <v>25715</v>
      </c>
      <c r="W82" s="1">
        <v>41122</v>
      </c>
      <c r="X82">
        <v>37843</v>
      </c>
      <c r="Y82">
        <v>51984</v>
      </c>
      <c r="Z82">
        <v>13702</v>
      </c>
      <c r="AD82" s="1">
        <v>40787</v>
      </c>
      <c r="AE82">
        <v>37088</v>
      </c>
      <c r="AG82">
        <v>9875</v>
      </c>
      <c r="AH82">
        <v>14123</v>
      </c>
      <c r="AL82" s="1">
        <v>40787</v>
      </c>
      <c r="AM82">
        <v>34579</v>
      </c>
      <c r="AO82">
        <v>18583</v>
      </c>
      <c r="AP82">
        <v>26476</v>
      </c>
    </row>
    <row r="83" spans="1:42" x14ac:dyDescent="0.25">
      <c r="A83" s="1">
        <v>41153</v>
      </c>
      <c r="B83">
        <v>34014</v>
      </c>
      <c r="D83">
        <v>25041</v>
      </c>
      <c r="E83">
        <v>20098</v>
      </c>
      <c r="W83" s="1">
        <v>41153</v>
      </c>
      <c r="X83">
        <v>23418</v>
      </c>
      <c r="Y83">
        <v>44391</v>
      </c>
      <c r="Z83">
        <v>11344</v>
      </c>
      <c r="AD83" s="1">
        <v>40817</v>
      </c>
      <c r="AE83">
        <v>36313</v>
      </c>
      <c r="AG83">
        <v>11433</v>
      </c>
      <c r="AH83">
        <v>14084</v>
      </c>
      <c r="AL83" s="1">
        <v>40817</v>
      </c>
      <c r="AM83">
        <v>40512</v>
      </c>
      <c r="AO83">
        <v>25002</v>
      </c>
      <c r="AP83">
        <v>26683</v>
      </c>
    </row>
    <row r="84" spans="1:42" x14ac:dyDescent="0.25">
      <c r="A84" s="1">
        <v>41183</v>
      </c>
      <c r="B84">
        <v>50866</v>
      </c>
      <c r="D84">
        <v>38833</v>
      </c>
      <c r="E84">
        <v>23340</v>
      </c>
      <c r="W84" s="1">
        <v>41183</v>
      </c>
      <c r="X84">
        <v>34325</v>
      </c>
      <c r="Y84">
        <v>66015</v>
      </c>
      <c r="Z84">
        <v>12699</v>
      </c>
      <c r="AD84" s="1">
        <v>40848</v>
      </c>
      <c r="AE84">
        <v>32247</v>
      </c>
      <c r="AG84">
        <v>22206</v>
      </c>
      <c r="AH84">
        <v>17551</v>
      </c>
      <c r="AL84" s="1">
        <v>40848</v>
      </c>
      <c r="AM84">
        <v>39519</v>
      </c>
      <c r="AO84">
        <v>40035</v>
      </c>
      <c r="AP84">
        <v>28920</v>
      </c>
    </row>
    <row r="85" spans="1:42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W85" s="1">
        <v>41214</v>
      </c>
      <c r="X85">
        <v>46278</v>
      </c>
      <c r="Y85">
        <v>95074</v>
      </c>
      <c r="Z85">
        <v>21038</v>
      </c>
      <c r="AD85" s="1">
        <v>40878</v>
      </c>
      <c r="AE85">
        <v>24462</v>
      </c>
      <c r="AG85">
        <v>21822</v>
      </c>
      <c r="AH85">
        <v>20154</v>
      </c>
      <c r="AL85" s="1">
        <v>40878</v>
      </c>
      <c r="AM85">
        <v>45073</v>
      </c>
      <c r="AO85">
        <v>62449</v>
      </c>
      <c r="AP85">
        <v>35167</v>
      </c>
    </row>
    <row r="86" spans="1:42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W86" s="1">
        <v>41244</v>
      </c>
      <c r="X86">
        <v>16571</v>
      </c>
      <c r="Y86">
        <v>41588</v>
      </c>
      <c r="Z86">
        <v>8801</v>
      </c>
      <c r="AD86" s="1">
        <v>40909</v>
      </c>
      <c r="AE86">
        <v>25527</v>
      </c>
      <c r="AG86">
        <v>22762</v>
      </c>
      <c r="AH86">
        <v>21857</v>
      </c>
      <c r="AL86" s="1">
        <v>40909</v>
      </c>
      <c r="AM86">
        <v>43789</v>
      </c>
      <c r="AO86">
        <v>69339</v>
      </c>
      <c r="AP86">
        <v>36302</v>
      </c>
    </row>
    <row r="87" spans="1:42" x14ac:dyDescent="0.25">
      <c r="A87" s="1">
        <v>41275</v>
      </c>
      <c r="B87">
        <v>42899</v>
      </c>
      <c r="D87">
        <v>39760</v>
      </c>
      <c r="E87">
        <v>31891</v>
      </c>
      <c r="W87" s="1">
        <v>41275</v>
      </c>
      <c r="X87">
        <v>25177</v>
      </c>
      <c r="Y87">
        <v>73417</v>
      </c>
      <c r="Z87">
        <v>15956</v>
      </c>
      <c r="AD87" s="1">
        <v>40940</v>
      </c>
      <c r="AE87">
        <v>30765</v>
      </c>
      <c r="AG87">
        <v>25465</v>
      </c>
      <c r="AH87">
        <v>18923</v>
      </c>
      <c r="AL87" s="1">
        <v>40940</v>
      </c>
      <c r="AM87">
        <v>45234</v>
      </c>
      <c r="AO87">
        <v>68368</v>
      </c>
      <c r="AP87">
        <v>37421</v>
      </c>
    </row>
    <row r="88" spans="1:42" x14ac:dyDescent="0.25">
      <c r="A88" s="1">
        <v>41306</v>
      </c>
      <c r="B88">
        <v>41255</v>
      </c>
      <c r="D88">
        <v>38300</v>
      </c>
      <c r="E88">
        <v>28858</v>
      </c>
      <c r="W88" s="1">
        <v>41306</v>
      </c>
      <c r="X88">
        <v>25580</v>
      </c>
      <c r="Y88">
        <v>67911</v>
      </c>
      <c r="Z88">
        <v>14922</v>
      </c>
      <c r="AD88" s="1">
        <v>40969</v>
      </c>
      <c r="AE88">
        <v>21029</v>
      </c>
      <c r="AG88">
        <v>22392</v>
      </c>
      <c r="AH88">
        <v>20650</v>
      </c>
      <c r="AL88" s="1">
        <v>40969</v>
      </c>
      <c r="AM88">
        <v>37294</v>
      </c>
      <c r="AO88">
        <v>74896</v>
      </c>
      <c r="AP88">
        <v>41993</v>
      </c>
    </row>
    <row r="89" spans="1:42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W89" s="1">
        <v>41334</v>
      </c>
      <c r="X89">
        <v>28914</v>
      </c>
      <c r="Y89">
        <v>82614</v>
      </c>
      <c r="Z89">
        <v>16099</v>
      </c>
      <c r="AD89" s="1">
        <v>41000</v>
      </c>
      <c r="AE89">
        <v>20238</v>
      </c>
      <c r="AG89">
        <v>22169</v>
      </c>
      <c r="AH89">
        <v>23750</v>
      </c>
      <c r="AL89" s="1">
        <v>41000</v>
      </c>
      <c r="AM89">
        <v>43130</v>
      </c>
      <c r="AO89">
        <v>87727</v>
      </c>
      <c r="AP89">
        <v>46599</v>
      </c>
    </row>
    <row r="90" spans="1:42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W90" s="1">
        <v>41365</v>
      </c>
      <c r="X90">
        <v>35275</v>
      </c>
      <c r="Y90">
        <v>75037</v>
      </c>
      <c r="Z90">
        <v>16803</v>
      </c>
      <c r="AD90" s="1">
        <v>41030</v>
      </c>
      <c r="AE90">
        <v>24408</v>
      </c>
      <c r="AG90">
        <v>21904</v>
      </c>
      <c r="AH90">
        <v>22147</v>
      </c>
      <c r="AL90" s="1">
        <v>41030</v>
      </c>
      <c r="AM90">
        <v>56078</v>
      </c>
      <c r="AO90">
        <v>83635</v>
      </c>
      <c r="AP90">
        <v>44701</v>
      </c>
    </row>
    <row r="91" spans="1:42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W91" s="1">
        <v>41395</v>
      </c>
      <c r="X91">
        <v>34586</v>
      </c>
      <c r="Y91">
        <v>55021</v>
      </c>
      <c r="Z91">
        <v>15227</v>
      </c>
      <c r="AD91" s="1">
        <v>41061</v>
      </c>
      <c r="AE91">
        <v>32500</v>
      </c>
      <c r="AG91">
        <v>18591</v>
      </c>
      <c r="AH91">
        <v>20132</v>
      </c>
      <c r="AL91" s="1">
        <v>41061</v>
      </c>
      <c r="AM91">
        <v>54558</v>
      </c>
      <c r="AO91">
        <v>66120</v>
      </c>
      <c r="AP91">
        <v>41557</v>
      </c>
    </row>
    <row r="92" spans="1:42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W92" s="1">
        <v>41426</v>
      </c>
      <c r="X92">
        <v>44700</v>
      </c>
      <c r="Y92">
        <v>66427</v>
      </c>
      <c r="Z92">
        <v>14816</v>
      </c>
      <c r="AD92" s="1">
        <v>41091</v>
      </c>
      <c r="AE92">
        <v>40914</v>
      </c>
      <c r="AG92">
        <v>20169</v>
      </c>
      <c r="AH92">
        <v>20818</v>
      </c>
      <c r="AL92" s="1">
        <v>41091</v>
      </c>
      <c r="AM92">
        <v>63132</v>
      </c>
      <c r="AO92">
        <v>58704</v>
      </c>
      <c r="AP92">
        <v>42169</v>
      </c>
    </row>
    <row r="93" spans="1:42" x14ac:dyDescent="0.25">
      <c r="A93" s="1">
        <v>41456</v>
      </c>
      <c r="B93">
        <v>52562</v>
      </c>
      <c r="D93">
        <v>26413</v>
      </c>
      <c r="E93">
        <v>22463</v>
      </c>
      <c r="W93" s="1">
        <v>41456</v>
      </c>
      <c r="X93">
        <v>39068</v>
      </c>
      <c r="Y93">
        <v>51039</v>
      </c>
      <c r="Z93">
        <v>11331</v>
      </c>
      <c r="AD93" s="1">
        <v>41122</v>
      </c>
      <c r="AE93">
        <v>40188</v>
      </c>
      <c r="AG93">
        <v>20467</v>
      </c>
      <c r="AH93">
        <v>21157</v>
      </c>
      <c r="AL93" s="1">
        <v>41122</v>
      </c>
      <c r="AM93">
        <v>71358</v>
      </c>
      <c r="AO93">
        <v>68002</v>
      </c>
      <c r="AP93">
        <v>42658</v>
      </c>
    </row>
    <row r="94" spans="1:42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W94" s="1">
        <v>41487</v>
      </c>
      <c r="X94">
        <v>47444</v>
      </c>
      <c r="Y94">
        <v>46731</v>
      </c>
      <c r="Z94">
        <v>9920</v>
      </c>
      <c r="AD94" s="1">
        <v>41153</v>
      </c>
      <c r="AE94">
        <v>43003</v>
      </c>
      <c r="AG94">
        <v>25359</v>
      </c>
      <c r="AH94">
        <v>23362</v>
      </c>
      <c r="AL94" s="1">
        <v>41153</v>
      </c>
      <c r="AM94">
        <v>64773</v>
      </c>
      <c r="AO94">
        <v>62940</v>
      </c>
      <c r="AP94">
        <v>60637</v>
      </c>
    </row>
    <row r="95" spans="1:42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W95" s="1">
        <v>41518</v>
      </c>
      <c r="X95">
        <v>35267</v>
      </c>
      <c r="Y95">
        <v>30127</v>
      </c>
      <c r="Z95">
        <v>8504</v>
      </c>
      <c r="AD95" s="1">
        <v>41183</v>
      </c>
      <c r="AE95">
        <v>47014</v>
      </c>
      <c r="AG95">
        <v>33904</v>
      </c>
      <c r="AH95">
        <v>24936</v>
      </c>
      <c r="AL95" s="1">
        <v>41183</v>
      </c>
      <c r="AM95">
        <v>66759</v>
      </c>
      <c r="AO95">
        <v>77943</v>
      </c>
      <c r="AP95">
        <v>67250</v>
      </c>
    </row>
    <row r="96" spans="1:42" x14ac:dyDescent="0.25">
      <c r="A96" s="1">
        <v>41548</v>
      </c>
      <c r="B96">
        <v>41608</v>
      </c>
      <c r="D96">
        <v>8614</v>
      </c>
      <c r="E96">
        <v>13595</v>
      </c>
      <c r="W96" s="1">
        <v>41548</v>
      </c>
      <c r="X96">
        <v>33777</v>
      </c>
      <c r="Y96">
        <v>22632</v>
      </c>
      <c r="Z96">
        <v>7408</v>
      </c>
      <c r="AD96" s="1">
        <v>41214</v>
      </c>
      <c r="AE96">
        <v>49817</v>
      </c>
      <c r="AG96">
        <v>40037</v>
      </c>
      <c r="AH96">
        <v>26328</v>
      </c>
      <c r="AL96" s="1">
        <v>41214</v>
      </c>
      <c r="AM96">
        <v>54797</v>
      </c>
      <c r="AO96">
        <v>67527</v>
      </c>
      <c r="AP96">
        <v>63599</v>
      </c>
    </row>
    <row r="97" spans="1:42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W97" s="1">
        <v>41579</v>
      </c>
      <c r="X97">
        <v>40694</v>
      </c>
      <c r="Y97">
        <v>24532</v>
      </c>
      <c r="Z97">
        <v>6199</v>
      </c>
      <c r="AD97" s="1">
        <v>41244</v>
      </c>
      <c r="AE97">
        <v>49997</v>
      </c>
      <c r="AG97">
        <v>40485</v>
      </c>
      <c r="AH97">
        <v>29752</v>
      </c>
      <c r="AL97" s="1">
        <v>41244</v>
      </c>
      <c r="AM97">
        <v>58892</v>
      </c>
      <c r="AO97">
        <v>83263</v>
      </c>
      <c r="AP97">
        <v>74296</v>
      </c>
    </row>
    <row r="98" spans="1:42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W98" s="1">
        <v>41609</v>
      </c>
      <c r="X98">
        <v>40788</v>
      </c>
      <c r="Y98">
        <v>25298</v>
      </c>
      <c r="Z98">
        <v>3859</v>
      </c>
      <c r="AD98" s="1">
        <v>41275</v>
      </c>
      <c r="AE98">
        <v>39735</v>
      </c>
      <c r="AG98">
        <v>36497</v>
      </c>
      <c r="AH98">
        <v>26820</v>
      </c>
      <c r="AL98" s="1">
        <v>41275</v>
      </c>
      <c r="AM98">
        <v>58734</v>
      </c>
      <c r="AO98">
        <v>84096</v>
      </c>
      <c r="AP98">
        <v>70012</v>
      </c>
    </row>
    <row r="99" spans="1:42" x14ac:dyDescent="0.25">
      <c r="A99" s="1">
        <v>41640</v>
      </c>
      <c r="B99">
        <v>41585</v>
      </c>
      <c r="D99">
        <v>8940</v>
      </c>
      <c r="E99">
        <v>10673</v>
      </c>
      <c r="W99" s="1">
        <v>41640</v>
      </c>
      <c r="X99">
        <v>32552</v>
      </c>
      <c r="Y99">
        <v>23301</v>
      </c>
      <c r="Z99">
        <v>5345</v>
      </c>
      <c r="AD99" s="1">
        <v>41306</v>
      </c>
      <c r="AE99">
        <v>44263</v>
      </c>
      <c r="AG99">
        <v>41281</v>
      </c>
      <c r="AH99">
        <v>27439</v>
      </c>
      <c r="AL99" s="1">
        <v>41306</v>
      </c>
      <c r="AM99">
        <v>56759</v>
      </c>
      <c r="AO99">
        <v>83542</v>
      </c>
      <c r="AP99">
        <v>71858</v>
      </c>
    </row>
    <row r="100" spans="1:42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W100" s="1">
        <v>41671</v>
      </c>
      <c r="X100">
        <v>32575</v>
      </c>
      <c r="Y100">
        <v>21236</v>
      </c>
      <c r="Z100">
        <v>4712</v>
      </c>
      <c r="AD100" s="1">
        <v>41334</v>
      </c>
      <c r="AE100">
        <v>42586</v>
      </c>
      <c r="AG100">
        <v>45862</v>
      </c>
      <c r="AH100">
        <v>29625</v>
      </c>
      <c r="AL100" s="1">
        <v>41334</v>
      </c>
      <c r="AM100">
        <v>42223</v>
      </c>
      <c r="AO100">
        <v>80177</v>
      </c>
      <c r="AP100">
        <v>73084</v>
      </c>
    </row>
    <row r="101" spans="1:42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W101" s="1">
        <v>41699</v>
      </c>
      <c r="X101">
        <v>25292</v>
      </c>
      <c r="Y101">
        <v>15910</v>
      </c>
      <c r="Z101">
        <v>3157</v>
      </c>
      <c r="AD101" s="1">
        <v>41365</v>
      </c>
      <c r="AE101">
        <v>46377</v>
      </c>
      <c r="AG101">
        <v>40421</v>
      </c>
      <c r="AH101">
        <v>29886</v>
      </c>
      <c r="AL101" s="1">
        <v>41365</v>
      </c>
      <c r="AM101">
        <v>39632</v>
      </c>
      <c r="AO101">
        <v>62542</v>
      </c>
      <c r="AP101">
        <v>64077</v>
      </c>
    </row>
    <row r="102" spans="1:42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W102" s="1">
        <v>41730</v>
      </c>
      <c r="X102">
        <v>33556</v>
      </c>
      <c r="Y102">
        <v>18649</v>
      </c>
      <c r="Z102">
        <v>3338</v>
      </c>
      <c r="AD102" s="1">
        <v>41395</v>
      </c>
      <c r="AE102">
        <v>47960</v>
      </c>
      <c r="AG102">
        <v>30711</v>
      </c>
      <c r="AH102">
        <v>30220</v>
      </c>
      <c r="AL102" s="1">
        <v>41395</v>
      </c>
      <c r="AM102">
        <v>60513</v>
      </c>
      <c r="AO102">
        <v>70534</v>
      </c>
      <c r="AP102">
        <v>66704</v>
      </c>
    </row>
    <row r="103" spans="1:42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W103" s="1">
        <v>41760</v>
      </c>
      <c r="X103">
        <v>36971</v>
      </c>
      <c r="Y103">
        <v>18072</v>
      </c>
      <c r="Z103">
        <v>2957</v>
      </c>
      <c r="AD103" s="1">
        <v>41426</v>
      </c>
      <c r="AE103">
        <v>48520</v>
      </c>
      <c r="AG103">
        <v>26806</v>
      </c>
      <c r="AH103">
        <v>28244</v>
      </c>
      <c r="AL103" s="1">
        <v>41426</v>
      </c>
      <c r="AM103">
        <v>70508</v>
      </c>
      <c r="AO103">
        <v>65961</v>
      </c>
      <c r="AP103">
        <v>64185</v>
      </c>
    </row>
    <row r="104" spans="1:42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W104" s="1">
        <v>41791</v>
      </c>
      <c r="X104">
        <v>44546</v>
      </c>
      <c r="Y104">
        <v>19550</v>
      </c>
      <c r="Z104">
        <v>3084</v>
      </c>
      <c r="AD104" s="1">
        <v>41456</v>
      </c>
      <c r="AE104">
        <v>62247</v>
      </c>
      <c r="AG104">
        <v>32722</v>
      </c>
      <c r="AH104">
        <v>26787</v>
      </c>
      <c r="AL104" s="1">
        <v>41456</v>
      </c>
      <c r="AM104">
        <v>80327</v>
      </c>
      <c r="AO104">
        <v>61838</v>
      </c>
      <c r="AP104">
        <v>62288</v>
      </c>
    </row>
    <row r="105" spans="1:42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W105" s="1">
        <v>41821</v>
      </c>
      <c r="X105">
        <v>47158</v>
      </c>
      <c r="Y105">
        <v>19246</v>
      </c>
      <c r="Z105">
        <v>2342</v>
      </c>
      <c r="AD105" s="1">
        <v>41487</v>
      </c>
      <c r="AE105">
        <v>60521</v>
      </c>
      <c r="AG105">
        <v>27485</v>
      </c>
      <c r="AH105">
        <v>23013</v>
      </c>
      <c r="AL105" s="1">
        <v>41487</v>
      </c>
      <c r="AM105">
        <v>86838</v>
      </c>
      <c r="AO105">
        <v>54706</v>
      </c>
      <c r="AP105">
        <v>57439</v>
      </c>
    </row>
    <row r="106" spans="1:42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W106" s="1">
        <v>41852</v>
      </c>
      <c r="X106">
        <v>58661</v>
      </c>
      <c r="Y106">
        <v>34153</v>
      </c>
      <c r="Z106">
        <v>2219</v>
      </c>
      <c r="AD106" s="1">
        <v>41518</v>
      </c>
      <c r="AE106">
        <v>56082</v>
      </c>
      <c r="AG106">
        <v>19112</v>
      </c>
      <c r="AH106">
        <v>20541</v>
      </c>
      <c r="AL106" s="1">
        <v>41518</v>
      </c>
      <c r="AM106">
        <v>91301</v>
      </c>
      <c r="AO106">
        <v>43768</v>
      </c>
      <c r="AP106">
        <v>49678</v>
      </c>
    </row>
    <row r="107" spans="1:42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W107" s="1">
        <v>41883</v>
      </c>
      <c r="X107">
        <v>53474</v>
      </c>
      <c r="Y107">
        <v>27138</v>
      </c>
      <c r="Z107">
        <v>2631</v>
      </c>
      <c r="AD107" s="1">
        <v>41548</v>
      </c>
      <c r="AE107">
        <v>49157</v>
      </c>
      <c r="AG107">
        <v>11604</v>
      </c>
      <c r="AH107">
        <v>15993</v>
      </c>
      <c r="AL107" s="1">
        <v>41548</v>
      </c>
      <c r="AM107">
        <v>91705</v>
      </c>
      <c r="AO107">
        <v>30822</v>
      </c>
      <c r="AP107">
        <v>40554</v>
      </c>
    </row>
    <row r="108" spans="1:42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W108" s="1">
        <v>41913</v>
      </c>
      <c r="X108">
        <v>52441</v>
      </c>
      <c r="Y108">
        <v>28527</v>
      </c>
      <c r="Z108">
        <v>2568</v>
      </c>
      <c r="AD108" s="1">
        <v>41579</v>
      </c>
      <c r="AE108">
        <v>41646</v>
      </c>
      <c r="AG108">
        <v>7900</v>
      </c>
      <c r="AH108">
        <v>12082</v>
      </c>
      <c r="AL108" s="1">
        <v>41579</v>
      </c>
      <c r="AM108">
        <v>77750</v>
      </c>
      <c r="AO108">
        <v>21446</v>
      </c>
      <c r="AP108">
        <v>33744</v>
      </c>
    </row>
    <row r="109" spans="1:42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W109" s="1">
        <v>41944</v>
      </c>
      <c r="X109">
        <v>48167</v>
      </c>
      <c r="Y109">
        <v>27618</v>
      </c>
      <c r="Z109">
        <v>2198</v>
      </c>
      <c r="AD109" s="1">
        <v>41609</v>
      </c>
      <c r="AE109">
        <v>45669</v>
      </c>
      <c r="AG109">
        <v>8033</v>
      </c>
      <c r="AH109">
        <v>10922</v>
      </c>
      <c r="AL109" s="1">
        <v>41609</v>
      </c>
      <c r="AM109">
        <v>71683</v>
      </c>
      <c r="AO109">
        <v>19444</v>
      </c>
      <c r="AP109">
        <v>32773</v>
      </c>
    </row>
    <row r="110" spans="1:42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W110" s="1">
        <v>41974</v>
      </c>
      <c r="X110">
        <v>37180</v>
      </c>
      <c r="Y110">
        <v>29951</v>
      </c>
      <c r="Z110">
        <v>2266</v>
      </c>
      <c r="AD110" s="1">
        <v>41640</v>
      </c>
      <c r="AE110">
        <v>45740</v>
      </c>
      <c r="AG110">
        <v>9674</v>
      </c>
      <c r="AH110">
        <v>9751</v>
      </c>
      <c r="AL110" s="1">
        <v>41640</v>
      </c>
      <c r="AM110">
        <v>55718</v>
      </c>
      <c r="AO110">
        <v>18437</v>
      </c>
      <c r="AP110">
        <v>28222</v>
      </c>
    </row>
    <row r="111" spans="1:42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W111" s="1">
        <v>42005</v>
      </c>
      <c r="X111">
        <v>37274</v>
      </c>
      <c r="Y111">
        <v>30559</v>
      </c>
      <c r="Z111">
        <v>1926</v>
      </c>
      <c r="AD111" s="1">
        <v>41671</v>
      </c>
      <c r="AE111">
        <v>48083</v>
      </c>
      <c r="AG111">
        <v>9770</v>
      </c>
      <c r="AH111">
        <v>9671</v>
      </c>
      <c r="AL111" s="1">
        <v>41671</v>
      </c>
      <c r="AM111">
        <v>56034</v>
      </c>
      <c r="AO111">
        <v>17008</v>
      </c>
      <c r="AP111">
        <v>26633</v>
      </c>
    </row>
    <row r="112" spans="1:42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W112" s="1">
        <v>42036</v>
      </c>
      <c r="X112">
        <v>41840</v>
      </c>
      <c r="Y112">
        <v>53289</v>
      </c>
      <c r="Z112">
        <v>2211</v>
      </c>
      <c r="AD112" s="1">
        <v>41699</v>
      </c>
      <c r="AE112">
        <v>32180</v>
      </c>
      <c r="AG112">
        <v>6588</v>
      </c>
      <c r="AH112">
        <v>8095</v>
      </c>
      <c r="AL112" s="1">
        <v>41699</v>
      </c>
      <c r="AM112">
        <v>39691</v>
      </c>
      <c r="AO112">
        <v>13934</v>
      </c>
      <c r="AP112">
        <v>22506</v>
      </c>
    </row>
    <row r="113" spans="1:42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W113" s="1">
        <v>42064</v>
      </c>
      <c r="X113">
        <v>29926</v>
      </c>
      <c r="Y113">
        <v>43003</v>
      </c>
      <c r="Z113">
        <v>1947</v>
      </c>
      <c r="AD113" s="1">
        <v>41730</v>
      </c>
      <c r="AE113">
        <v>34462</v>
      </c>
      <c r="AG113">
        <v>9473</v>
      </c>
      <c r="AH113">
        <v>3315</v>
      </c>
      <c r="AL113" s="1">
        <v>41730</v>
      </c>
      <c r="AM113">
        <v>40882</v>
      </c>
      <c r="AO113">
        <v>12746</v>
      </c>
      <c r="AP113">
        <v>19121</v>
      </c>
    </row>
    <row r="114" spans="1:42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W114" s="1">
        <v>42095</v>
      </c>
      <c r="X114">
        <v>40194</v>
      </c>
      <c r="Y114">
        <v>54294</v>
      </c>
      <c r="Z114">
        <v>2099</v>
      </c>
      <c r="AD114" s="1">
        <v>41760</v>
      </c>
      <c r="AE114">
        <v>46337</v>
      </c>
      <c r="AG114">
        <v>11593</v>
      </c>
      <c r="AH114">
        <v>3393</v>
      </c>
      <c r="AL114" s="1">
        <v>41760</v>
      </c>
      <c r="AM114">
        <v>52579</v>
      </c>
      <c r="AO114">
        <v>14488</v>
      </c>
      <c r="AP114">
        <v>20629</v>
      </c>
    </row>
    <row r="115" spans="1:42" x14ac:dyDescent="0.25">
      <c r="A115" s="1">
        <v>42125</v>
      </c>
      <c r="B115">
        <v>63761</v>
      </c>
      <c r="D115">
        <v>211</v>
      </c>
      <c r="F115">
        <v>32819</v>
      </c>
      <c r="W115" s="1">
        <v>42125</v>
      </c>
      <c r="X115">
        <v>45666</v>
      </c>
      <c r="Y115">
        <v>49112</v>
      </c>
      <c r="Z115">
        <v>2013</v>
      </c>
      <c r="AD115" s="1">
        <v>41791</v>
      </c>
      <c r="AE115">
        <v>49505</v>
      </c>
      <c r="AG115">
        <v>11234</v>
      </c>
      <c r="AH115">
        <v>3248</v>
      </c>
      <c r="AL115" s="1">
        <v>41791</v>
      </c>
      <c r="AM115">
        <v>60064</v>
      </c>
      <c r="AO115">
        <v>14305</v>
      </c>
      <c r="AP115">
        <v>19641</v>
      </c>
    </row>
    <row r="116" spans="1:42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W116" s="1">
        <v>42156</v>
      </c>
      <c r="X116">
        <v>53369</v>
      </c>
      <c r="Y116">
        <v>51430</v>
      </c>
      <c r="Z116">
        <v>1859</v>
      </c>
      <c r="AD116" s="1">
        <v>41821</v>
      </c>
      <c r="AE116">
        <v>55296</v>
      </c>
      <c r="AG116">
        <v>10540</v>
      </c>
      <c r="AH116">
        <v>2784</v>
      </c>
      <c r="AL116" s="1">
        <v>41821</v>
      </c>
      <c r="AM116">
        <v>71732</v>
      </c>
      <c r="AO116">
        <v>15182</v>
      </c>
      <c r="AP116">
        <v>19650</v>
      </c>
    </row>
    <row r="117" spans="1:42" x14ac:dyDescent="0.25">
      <c r="A117" s="1">
        <v>42186</v>
      </c>
      <c r="B117">
        <v>77621</v>
      </c>
      <c r="D117">
        <v>1279</v>
      </c>
      <c r="F117">
        <v>24711</v>
      </c>
      <c r="W117" s="1">
        <v>42186</v>
      </c>
      <c r="X117">
        <v>58490</v>
      </c>
      <c r="Y117">
        <v>43435</v>
      </c>
      <c r="Z117">
        <v>1686</v>
      </c>
      <c r="AD117" s="1">
        <v>41852</v>
      </c>
      <c r="AE117">
        <v>65987</v>
      </c>
      <c r="AG117">
        <v>13459</v>
      </c>
      <c r="AH117">
        <v>2417</v>
      </c>
      <c r="AL117" s="1">
        <v>41852</v>
      </c>
      <c r="AM117">
        <v>78272</v>
      </c>
      <c r="AO117">
        <v>17576</v>
      </c>
      <c r="AP117">
        <v>21026</v>
      </c>
    </row>
    <row r="118" spans="1:42" x14ac:dyDescent="0.25">
      <c r="A118" s="1">
        <v>42217</v>
      </c>
      <c r="B118">
        <v>68006</v>
      </c>
      <c r="F118">
        <v>17994</v>
      </c>
      <c r="W118" s="1">
        <v>42217</v>
      </c>
      <c r="X118">
        <v>50580</v>
      </c>
      <c r="Y118">
        <v>34021</v>
      </c>
      <c r="Z118">
        <v>1399</v>
      </c>
      <c r="AD118" s="1">
        <v>41883</v>
      </c>
      <c r="AE118">
        <v>67292</v>
      </c>
      <c r="AG118">
        <v>14181</v>
      </c>
      <c r="AH118">
        <v>2312</v>
      </c>
      <c r="AL118" s="1">
        <v>41883</v>
      </c>
      <c r="AM118">
        <v>76943</v>
      </c>
      <c r="AO118">
        <v>18183</v>
      </c>
      <c r="AP118">
        <v>22613</v>
      </c>
    </row>
    <row r="119" spans="1:42" x14ac:dyDescent="0.25">
      <c r="A119" s="1">
        <v>42248</v>
      </c>
      <c r="B119">
        <v>75190</v>
      </c>
      <c r="D119">
        <v>11</v>
      </c>
      <c r="F119">
        <v>18141</v>
      </c>
      <c r="W119" s="1">
        <v>42248</v>
      </c>
      <c r="X119">
        <v>62040</v>
      </c>
      <c r="Y119">
        <v>29633</v>
      </c>
      <c r="Z119">
        <v>1669</v>
      </c>
      <c r="AD119" s="1">
        <v>41913</v>
      </c>
      <c r="AE119">
        <v>63700</v>
      </c>
      <c r="AG119">
        <v>14351</v>
      </c>
      <c r="AH119">
        <v>2380</v>
      </c>
      <c r="AL119" s="1">
        <v>41913</v>
      </c>
      <c r="AM119">
        <v>72571</v>
      </c>
      <c r="AO119">
        <v>39009</v>
      </c>
      <c r="AP119">
        <v>3822</v>
      </c>
    </row>
    <row r="120" spans="1:42" x14ac:dyDescent="0.25">
      <c r="A120" s="1">
        <v>42278</v>
      </c>
      <c r="B120">
        <v>72819</v>
      </c>
      <c r="D120">
        <v>531</v>
      </c>
      <c r="F120">
        <v>17495</v>
      </c>
      <c r="W120" s="1">
        <v>42278</v>
      </c>
      <c r="X120">
        <v>56968</v>
      </c>
      <c r="Y120">
        <v>32151</v>
      </c>
      <c r="Z120">
        <v>1726</v>
      </c>
      <c r="AD120" s="1">
        <v>41944</v>
      </c>
      <c r="AE120">
        <v>59685</v>
      </c>
      <c r="AG120">
        <v>15344</v>
      </c>
      <c r="AH120">
        <v>2381</v>
      </c>
      <c r="AL120" s="1">
        <v>41944</v>
      </c>
      <c r="AM120">
        <v>67442</v>
      </c>
      <c r="AO120">
        <v>41903</v>
      </c>
      <c r="AP120">
        <v>3734</v>
      </c>
    </row>
    <row r="121" spans="1:42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W121" s="1">
        <v>42309</v>
      </c>
      <c r="X121">
        <v>45390</v>
      </c>
      <c r="Y121">
        <v>32016</v>
      </c>
      <c r="Z121">
        <v>1395</v>
      </c>
      <c r="AD121" s="1">
        <v>41974</v>
      </c>
      <c r="AE121">
        <v>54341</v>
      </c>
      <c r="AG121">
        <v>15891</v>
      </c>
      <c r="AH121">
        <v>2277</v>
      </c>
      <c r="AL121" s="1">
        <v>41974</v>
      </c>
      <c r="AM121">
        <v>70617</v>
      </c>
      <c r="AO121">
        <v>43011</v>
      </c>
      <c r="AP121">
        <v>3478</v>
      </c>
    </row>
    <row r="122" spans="1:42" x14ac:dyDescent="0.25">
      <c r="A122" s="1">
        <v>42339</v>
      </c>
      <c r="B122">
        <v>56308</v>
      </c>
      <c r="E122">
        <v>5</v>
      </c>
      <c r="F122">
        <v>17651</v>
      </c>
      <c r="W122" s="1">
        <v>42339</v>
      </c>
      <c r="X122">
        <v>41614</v>
      </c>
      <c r="Y122">
        <v>31162</v>
      </c>
      <c r="Z122">
        <v>1188</v>
      </c>
      <c r="AD122" s="1">
        <v>42005</v>
      </c>
      <c r="AE122">
        <v>47249</v>
      </c>
      <c r="AG122">
        <v>19500</v>
      </c>
      <c r="AH122">
        <v>1975</v>
      </c>
      <c r="AL122" s="1">
        <v>42005</v>
      </c>
      <c r="AM122">
        <v>57379</v>
      </c>
      <c r="AO122">
        <v>46727</v>
      </c>
      <c r="AP122">
        <v>2955</v>
      </c>
    </row>
    <row r="123" spans="1:42" x14ac:dyDescent="0.25">
      <c r="A123" s="1">
        <v>42370</v>
      </c>
      <c r="B123">
        <v>38576</v>
      </c>
      <c r="F123">
        <v>10736</v>
      </c>
      <c r="W123" s="1">
        <v>42370</v>
      </c>
      <c r="X123">
        <v>28453</v>
      </c>
      <c r="Y123">
        <v>20137</v>
      </c>
      <c r="Z123">
        <v>722</v>
      </c>
      <c r="AD123" s="1">
        <v>42036</v>
      </c>
      <c r="AE123">
        <v>50077</v>
      </c>
      <c r="AG123">
        <v>18810</v>
      </c>
      <c r="AH123">
        <v>2128</v>
      </c>
      <c r="AL123" s="1">
        <v>42036</v>
      </c>
      <c r="AM123">
        <v>65620</v>
      </c>
      <c r="AO123">
        <v>54114</v>
      </c>
      <c r="AP123">
        <v>3183</v>
      </c>
    </row>
    <row r="124" spans="1:42" x14ac:dyDescent="0.25">
      <c r="AD124" s="1">
        <v>42064</v>
      </c>
      <c r="AE124">
        <v>39430</v>
      </c>
      <c r="AG124">
        <v>22277</v>
      </c>
      <c r="AH124">
        <v>1852</v>
      </c>
      <c r="AL124" s="1">
        <v>42064</v>
      </c>
      <c r="AM124">
        <v>45536</v>
      </c>
      <c r="AO124">
        <v>50538</v>
      </c>
      <c r="AP124">
        <v>2758</v>
      </c>
    </row>
    <row r="125" spans="1:42" x14ac:dyDescent="0.25">
      <c r="AD125" s="1">
        <v>42095</v>
      </c>
      <c r="AE125">
        <v>45765</v>
      </c>
      <c r="AG125">
        <v>33106</v>
      </c>
      <c r="AH125">
        <v>1910</v>
      </c>
      <c r="AL125" s="1">
        <v>42095</v>
      </c>
      <c r="AM125">
        <v>47059</v>
      </c>
      <c r="AO125">
        <v>70674</v>
      </c>
      <c r="AP125">
        <v>2890</v>
      </c>
    </row>
    <row r="126" spans="1:42" x14ac:dyDescent="0.25">
      <c r="AD126" s="1">
        <v>42125</v>
      </c>
      <c r="AE126">
        <v>63287</v>
      </c>
      <c r="AG126">
        <v>37447</v>
      </c>
      <c r="AH126">
        <v>2169</v>
      </c>
      <c r="AL126" s="1">
        <v>42125</v>
      </c>
      <c r="AM126">
        <v>64171</v>
      </c>
      <c r="AO126">
        <v>78177</v>
      </c>
      <c r="AP126">
        <v>3285</v>
      </c>
    </row>
    <row r="127" spans="1:42" x14ac:dyDescent="0.25">
      <c r="AD127" s="1">
        <v>42156</v>
      </c>
      <c r="AE127">
        <v>66830</v>
      </c>
      <c r="AG127">
        <v>28536</v>
      </c>
      <c r="AH127">
        <v>2004</v>
      </c>
      <c r="AL127" s="1">
        <v>42156</v>
      </c>
      <c r="AM127">
        <v>67676</v>
      </c>
      <c r="AO127">
        <v>60562</v>
      </c>
      <c r="AP127">
        <v>2905</v>
      </c>
    </row>
    <row r="128" spans="1:42" x14ac:dyDescent="0.25">
      <c r="AD128" s="1">
        <v>42186</v>
      </c>
      <c r="AE128">
        <v>70152</v>
      </c>
      <c r="AG128">
        <v>24520</v>
      </c>
      <c r="AH128">
        <v>1721</v>
      </c>
      <c r="AL128" s="1">
        <v>42186</v>
      </c>
      <c r="AM128">
        <v>78212</v>
      </c>
      <c r="AO128">
        <v>56416</v>
      </c>
      <c r="AP128">
        <v>2527</v>
      </c>
    </row>
    <row r="129" spans="30:42" x14ac:dyDescent="0.25">
      <c r="AD129" s="1">
        <v>42217</v>
      </c>
      <c r="AE129">
        <v>73089</v>
      </c>
      <c r="AG129">
        <v>19762</v>
      </c>
      <c r="AH129">
        <v>1641</v>
      </c>
      <c r="AL129" s="1">
        <v>42217</v>
      </c>
      <c r="AM129">
        <v>93543</v>
      </c>
      <c r="AO129">
        <v>55180</v>
      </c>
      <c r="AP129">
        <v>2529</v>
      </c>
    </row>
    <row r="130" spans="30:42" x14ac:dyDescent="0.25">
      <c r="AD130" s="1">
        <v>42248</v>
      </c>
      <c r="AE130">
        <v>71662</v>
      </c>
      <c r="AG130">
        <v>15711</v>
      </c>
      <c r="AH130">
        <v>1471</v>
      </c>
      <c r="AL130" s="1">
        <v>42248</v>
      </c>
      <c r="AM130">
        <v>87144</v>
      </c>
      <c r="AO130">
        <v>47513</v>
      </c>
      <c r="AP130">
        <v>2316</v>
      </c>
    </row>
    <row r="131" spans="30:42" x14ac:dyDescent="0.25">
      <c r="AD131" s="1">
        <v>42278</v>
      </c>
      <c r="AE131">
        <v>69102</v>
      </c>
      <c r="AG131">
        <v>15047</v>
      </c>
      <c r="AH131">
        <v>1498</v>
      </c>
      <c r="AL131" s="1">
        <v>42278</v>
      </c>
      <c r="AM131">
        <v>78995</v>
      </c>
      <c r="AO131">
        <v>44660</v>
      </c>
      <c r="AP131">
        <v>2363</v>
      </c>
    </row>
    <row r="132" spans="30:42" x14ac:dyDescent="0.25">
      <c r="AD132" s="1">
        <v>42309</v>
      </c>
      <c r="AE132">
        <v>65190</v>
      </c>
      <c r="AG132">
        <v>16140</v>
      </c>
      <c r="AH132">
        <v>1452</v>
      </c>
      <c r="AL132" s="1">
        <v>42309</v>
      </c>
      <c r="AM132">
        <v>74401</v>
      </c>
      <c r="AO132">
        <v>46143</v>
      </c>
      <c r="AP132">
        <v>2226</v>
      </c>
    </row>
    <row r="133" spans="30:42" x14ac:dyDescent="0.25">
      <c r="AD133" s="1">
        <v>42339</v>
      </c>
      <c r="AE133">
        <v>61618</v>
      </c>
      <c r="AG133">
        <v>17122</v>
      </c>
      <c r="AH133">
        <v>1357</v>
      </c>
      <c r="AL133" s="1">
        <v>42339</v>
      </c>
      <c r="AM133">
        <v>66295</v>
      </c>
      <c r="AO133">
        <v>46372</v>
      </c>
      <c r="AP133">
        <v>2112</v>
      </c>
    </row>
    <row r="134" spans="30:42" x14ac:dyDescent="0.25">
      <c r="AD134" s="1">
        <v>42370</v>
      </c>
      <c r="AE134">
        <v>43151</v>
      </c>
      <c r="AG134">
        <v>13678</v>
      </c>
      <c r="AH134">
        <v>961</v>
      </c>
      <c r="AL134" s="1">
        <v>42370</v>
      </c>
      <c r="AM134">
        <v>45494</v>
      </c>
      <c r="AO134">
        <v>35833</v>
      </c>
      <c r="AP134">
        <v>1626</v>
      </c>
    </row>
    <row r="135" spans="30:42" x14ac:dyDescent="0.25">
      <c r="AD135" s="1">
        <v>42401</v>
      </c>
      <c r="AE135">
        <v>21694</v>
      </c>
      <c r="AG135">
        <v>5279</v>
      </c>
      <c r="AH135">
        <v>434</v>
      </c>
      <c r="AL135" s="1">
        <v>42401</v>
      </c>
      <c r="AM135">
        <v>23227</v>
      </c>
      <c r="AO135">
        <v>17971</v>
      </c>
      <c r="AP135">
        <v>1089</v>
      </c>
    </row>
    <row r="136" spans="30:42" x14ac:dyDescent="0.25">
      <c r="AD136" s="1">
        <v>42430</v>
      </c>
      <c r="AE136">
        <v>26</v>
      </c>
      <c r="AG136">
        <v>15</v>
      </c>
      <c r="AH136">
        <v>1</v>
      </c>
      <c r="AL136" s="1">
        <v>42430</v>
      </c>
      <c r="AM136">
        <v>67</v>
      </c>
      <c r="AO136">
        <v>204</v>
      </c>
      <c r="AP136">
        <v>12</v>
      </c>
    </row>
    <row r="137" spans="30:42" x14ac:dyDescent="0.25">
      <c r="AL137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79"/>
  <sheetViews>
    <sheetView topLeftCell="A23" workbookViewId="0">
      <selection activeCell="E84" sqref="E84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4.28515625" bestFit="1" customWidth="1"/>
    <col min="6" max="6" width="18.42578125" bestFit="1" customWidth="1"/>
    <col min="7" max="7" width="14.28515625" bestFit="1" customWidth="1"/>
  </cols>
  <sheetData>
    <row r="2" spans="3:10" x14ac:dyDescent="0.25">
      <c r="C2">
        <f>C3-C4</f>
        <v>1679.9</v>
      </c>
      <c r="D2">
        <f>C2/6</f>
        <v>279.98333333333335</v>
      </c>
      <c r="E2">
        <f>D2/2</f>
        <v>139.99166666666667</v>
      </c>
      <c r="I2">
        <v>300</v>
      </c>
      <c r="J2">
        <f>I2/8</f>
        <v>37.5</v>
      </c>
    </row>
    <row r="3" spans="3:10" x14ac:dyDescent="0.25">
      <c r="C3">
        <v>2243.8000000000002</v>
      </c>
      <c r="D3">
        <f>C3/6</f>
        <v>373.9666666666667</v>
      </c>
      <c r="E3">
        <f>D3/2</f>
        <v>186.98333333333335</v>
      </c>
    </row>
    <row r="4" spans="3:10" x14ac:dyDescent="0.25">
      <c r="C4">
        <v>563.9</v>
      </c>
      <c r="D4">
        <f>C4/6</f>
        <v>93.983333333333334</v>
      </c>
    </row>
    <row r="5" spans="3:10" x14ac:dyDescent="0.25">
      <c r="D5">
        <v>225</v>
      </c>
      <c r="E5">
        <f>D5/2</f>
        <v>112.5</v>
      </c>
    </row>
    <row r="6" spans="3:10" x14ac:dyDescent="0.25">
      <c r="E6">
        <f>E3+E5</f>
        <v>299.48333333333335</v>
      </c>
    </row>
    <row r="10" spans="3:10" x14ac:dyDescent="0.25">
      <c r="F10">
        <v>2.7829999999999999</v>
      </c>
      <c r="G10">
        <v>2.7829999999999999</v>
      </c>
    </row>
    <row r="11" spans="3:10" x14ac:dyDescent="0.25">
      <c r="F11">
        <v>93.6</v>
      </c>
      <c r="G11">
        <f>G12-G10</f>
        <v>1.0369999999999999</v>
      </c>
    </row>
    <row r="12" spans="3:10" x14ac:dyDescent="0.25">
      <c r="F12">
        <f>F10+F11/100</f>
        <v>3.7189999999999999</v>
      </c>
      <c r="G12">
        <v>3.82</v>
      </c>
    </row>
    <row r="18" spans="1:11" x14ac:dyDescent="0.25">
      <c r="A18" t="s">
        <v>17</v>
      </c>
      <c r="B18">
        <v>2.9119506998989602</v>
      </c>
      <c r="C18">
        <v>3.82</v>
      </c>
      <c r="D18">
        <v>1</v>
      </c>
      <c r="E18">
        <v>0.2</v>
      </c>
      <c r="F18">
        <v>1</v>
      </c>
      <c r="G18">
        <v>0.58239013997979205</v>
      </c>
      <c r="H18">
        <v>0.2</v>
      </c>
      <c r="I18">
        <v>0</v>
      </c>
      <c r="J18">
        <v>0</v>
      </c>
      <c r="K18">
        <v>0.88815502678196001</v>
      </c>
    </row>
    <row r="19" spans="1:11" x14ac:dyDescent="0.25">
      <c r="A19" t="s">
        <v>18</v>
      </c>
      <c r="B19">
        <v>2.88545680781831</v>
      </c>
      <c r="C19">
        <v>3.82</v>
      </c>
      <c r="D19">
        <v>2</v>
      </c>
      <c r="E19">
        <v>0.2</v>
      </c>
      <c r="F19">
        <v>2</v>
      </c>
      <c r="G19">
        <v>1.1594815015434541</v>
      </c>
      <c r="H19">
        <v>0.4</v>
      </c>
      <c r="I19">
        <v>0</v>
      </c>
      <c r="J19">
        <v>0</v>
      </c>
      <c r="K19">
        <v>0.88815502678196001</v>
      </c>
    </row>
    <row r="20" spans="1:11" x14ac:dyDescent="0.25">
      <c r="A20" t="s">
        <v>19</v>
      </c>
      <c r="B20">
        <v>2.8978342309890999</v>
      </c>
      <c r="C20">
        <v>3.82</v>
      </c>
      <c r="D20">
        <v>5</v>
      </c>
      <c r="E20">
        <v>0.2</v>
      </c>
      <c r="F20">
        <v>3</v>
      </c>
      <c r="G20">
        <v>1.7390483477412739</v>
      </c>
      <c r="H20">
        <v>0.60000000000000009</v>
      </c>
      <c r="I20">
        <v>0</v>
      </c>
      <c r="J20">
        <v>0</v>
      </c>
      <c r="K20">
        <v>0.88815502678196001</v>
      </c>
    </row>
    <row r="21" spans="1:11" x14ac:dyDescent="0.25">
      <c r="A21" t="s">
        <v>20</v>
      </c>
      <c r="B21">
        <v>2.8424738889513801</v>
      </c>
      <c r="C21">
        <v>3.82</v>
      </c>
      <c r="D21">
        <v>6</v>
      </c>
      <c r="E21">
        <v>0.2</v>
      </c>
      <c r="F21">
        <v>4</v>
      </c>
      <c r="G21">
        <v>2.3075431255315499</v>
      </c>
      <c r="H21">
        <v>0.8</v>
      </c>
      <c r="I21">
        <v>2.8844289069144371</v>
      </c>
      <c r="J21">
        <v>0.93557109308556274</v>
      </c>
      <c r="K21">
        <v>0.93557109308556274</v>
      </c>
    </row>
    <row r="27" spans="1:11" x14ac:dyDescent="0.25">
      <c r="B27" t="s">
        <v>0</v>
      </c>
      <c r="C27" t="s">
        <v>1</v>
      </c>
    </row>
    <row r="28" spans="1:11" x14ac:dyDescent="0.25">
      <c r="B28">
        <v>1071585</v>
      </c>
      <c r="C28" t="s">
        <v>3</v>
      </c>
      <c r="D28">
        <v>1</v>
      </c>
    </row>
    <row r="29" spans="1:11" x14ac:dyDescent="0.25">
      <c r="B29">
        <v>1270049</v>
      </c>
      <c r="C29" t="s">
        <v>5</v>
      </c>
      <c r="D29">
        <v>1</v>
      </c>
    </row>
    <row r="30" spans="1:11" x14ac:dyDescent="0.25">
      <c r="B30">
        <v>7769037</v>
      </c>
      <c r="C30" t="s">
        <v>2</v>
      </c>
      <c r="D30">
        <v>1</v>
      </c>
    </row>
    <row r="31" spans="1:11" x14ac:dyDescent="0.25">
      <c r="B31">
        <v>1512868</v>
      </c>
      <c r="C31" t="s">
        <v>4</v>
      </c>
      <c r="D31">
        <v>1</v>
      </c>
    </row>
    <row r="32" spans="1:11" x14ac:dyDescent="0.25">
      <c r="B32">
        <v>450103</v>
      </c>
      <c r="C32" t="s">
        <v>6</v>
      </c>
    </row>
    <row r="34" spans="2:20" x14ac:dyDescent="0.25">
      <c r="B34" s="6" t="s">
        <v>0</v>
      </c>
      <c r="C34" t="s">
        <v>13</v>
      </c>
    </row>
    <row r="35" spans="2:20" x14ac:dyDescent="0.25">
      <c r="B35" s="6">
        <v>743314</v>
      </c>
      <c r="C35" t="s">
        <v>14</v>
      </c>
    </row>
    <row r="36" spans="2:20" x14ac:dyDescent="0.25">
      <c r="B36" s="6">
        <v>4968713</v>
      </c>
      <c r="C36" t="s">
        <v>16</v>
      </c>
    </row>
    <row r="37" spans="2:20" x14ac:dyDescent="0.25">
      <c r="B37" s="6">
        <v>6361615</v>
      </c>
      <c r="C37" t="s">
        <v>15</v>
      </c>
    </row>
    <row r="41" spans="2:20" x14ac:dyDescent="0.25">
      <c r="G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0" x14ac:dyDescent="0.25">
      <c r="G42" s="8"/>
    </row>
    <row r="43" spans="2:20" x14ac:dyDescent="0.25">
      <c r="B43" s="10" t="s">
        <v>33</v>
      </c>
      <c r="C43" s="10"/>
      <c r="D43" s="10"/>
      <c r="E43" s="10"/>
      <c r="F43" s="10"/>
      <c r="G43" s="10"/>
    </row>
    <row r="44" spans="2:20" x14ac:dyDescent="0.25">
      <c r="B44" t="s">
        <v>31</v>
      </c>
      <c r="F44">
        <v>2015</v>
      </c>
      <c r="G44" s="8"/>
    </row>
    <row r="45" spans="2:20" x14ac:dyDescent="0.25">
      <c r="B45" t="s">
        <v>13</v>
      </c>
      <c r="C45" s="6" t="s">
        <v>27</v>
      </c>
      <c r="F45" t="s">
        <v>13</v>
      </c>
      <c r="G45" s="8" t="s">
        <v>27</v>
      </c>
    </row>
    <row r="46" spans="2:20" x14ac:dyDescent="0.25">
      <c r="B46" t="s">
        <v>14</v>
      </c>
      <c r="C46" s="6">
        <v>1412406</v>
      </c>
      <c r="F46" t="s">
        <v>14</v>
      </c>
      <c r="G46" s="6">
        <v>45056</v>
      </c>
    </row>
    <row r="47" spans="2:20" x14ac:dyDescent="0.25">
      <c r="B47" t="s">
        <v>16</v>
      </c>
      <c r="C47" s="6">
        <v>5701166</v>
      </c>
      <c r="F47" t="s">
        <v>16</v>
      </c>
      <c r="G47" s="6">
        <v>629706</v>
      </c>
    </row>
    <row r="48" spans="2:20" x14ac:dyDescent="0.25">
      <c r="B48" t="s">
        <v>28</v>
      </c>
      <c r="C48" s="6">
        <v>4306137</v>
      </c>
      <c r="F48" t="s">
        <v>28</v>
      </c>
      <c r="G48" s="6">
        <v>295887</v>
      </c>
    </row>
    <row r="49" spans="2:7" x14ac:dyDescent="0.25">
      <c r="B49" t="s">
        <v>30</v>
      </c>
      <c r="C49" s="6">
        <v>5961898</v>
      </c>
      <c r="F49" t="s">
        <v>15</v>
      </c>
      <c r="G49" s="6">
        <v>463837</v>
      </c>
    </row>
    <row r="50" spans="2:7" x14ac:dyDescent="0.25">
      <c r="C50" s="7">
        <f>SUM(C46:C49)</f>
        <v>17381607</v>
      </c>
      <c r="G50" s="7">
        <f>SUM(G46:G49)</f>
        <v>1434486</v>
      </c>
    </row>
    <row r="51" spans="2:7" x14ac:dyDescent="0.25">
      <c r="G51" s="8"/>
    </row>
    <row r="52" spans="2:7" x14ac:dyDescent="0.25">
      <c r="B52" t="s">
        <v>13</v>
      </c>
      <c r="C52" t="s">
        <v>27</v>
      </c>
      <c r="G52" s="8"/>
    </row>
    <row r="53" spans="2:7" x14ac:dyDescent="0.25">
      <c r="C53">
        <v>17381607</v>
      </c>
    </row>
    <row r="56" spans="2:7" x14ac:dyDescent="0.25">
      <c r="B56" t="s">
        <v>13</v>
      </c>
      <c r="C56" t="s">
        <v>27</v>
      </c>
      <c r="F56" t="s">
        <v>13</v>
      </c>
      <c r="G56" t="s">
        <v>27</v>
      </c>
    </row>
    <row r="57" spans="2:7" x14ac:dyDescent="0.25">
      <c r="B57" t="s">
        <v>14</v>
      </c>
      <c r="C57" s="6">
        <v>1448911</v>
      </c>
      <c r="F57" t="s">
        <v>14</v>
      </c>
      <c r="G57" s="6">
        <v>45105</v>
      </c>
    </row>
    <row r="58" spans="2:7" x14ac:dyDescent="0.25">
      <c r="B58" t="s">
        <v>16</v>
      </c>
      <c r="C58" s="6">
        <v>5701166</v>
      </c>
      <c r="F58" t="s">
        <v>16</v>
      </c>
      <c r="G58" s="6">
        <v>629706</v>
      </c>
    </row>
    <row r="59" spans="2:7" x14ac:dyDescent="0.25">
      <c r="B59" t="s">
        <v>15</v>
      </c>
      <c r="C59" s="6">
        <v>10150562</v>
      </c>
      <c r="F59" t="s">
        <v>30</v>
      </c>
      <c r="G59" s="6">
        <v>759675</v>
      </c>
    </row>
    <row r="60" spans="2:7" x14ac:dyDescent="0.25">
      <c r="B60" t="s">
        <v>29</v>
      </c>
      <c r="C60" s="6">
        <v>80968</v>
      </c>
      <c r="F60" t="s">
        <v>29</v>
      </c>
      <c r="G60" s="6">
        <v>0</v>
      </c>
    </row>
    <row r="61" spans="2:7" x14ac:dyDescent="0.25">
      <c r="C61" s="7">
        <f>SUM(C57:C60)</f>
        <v>17381607</v>
      </c>
    </row>
    <row r="66" spans="2:8" x14ac:dyDescent="0.25">
      <c r="B66" s="10" t="s">
        <v>32</v>
      </c>
      <c r="C66" s="10"/>
      <c r="D66" s="10"/>
      <c r="E66" s="10"/>
      <c r="F66" s="10"/>
      <c r="G66" s="10"/>
    </row>
    <row r="67" spans="2:8" x14ac:dyDescent="0.25">
      <c r="B67" t="s">
        <v>1</v>
      </c>
      <c r="C67" t="s">
        <v>27</v>
      </c>
      <c r="F67" t="s">
        <v>1</v>
      </c>
      <c r="G67" t="s">
        <v>27</v>
      </c>
    </row>
    <row r="68" spans="2:8" x14ac:dyDescent="0.25">
      <c r="B68" t="s">
        <v>2</v>
      </c>
      <c r="C68" s="6">
        <v>7769037</v>
      </c>
      <c r="F68" t="s">
        <v>2</v>
      </c>
      <c r="G68" s="6">
        <v>4968713</v>
      </c>
    </row>
    <row r="69" spans="2:8" x14ac:dyDescent="0.25">
      <c r="B69" t="s">
        <v>3</v>
      </c>
      <c r="C69" s="6">
        <v>1071585</v>
      </c>
      <c r="F69" t="s">
        <v>3</v>
      </c>
      <c r="G69" s="6">
        <v>2623503</v>
      </c>
    </row>
    <row r="70" spans="2:8" x14ac:dyDescent="0.25">
      <c r="B70" t="s">
        <v>24</v>
      </c>
      <c r="C70" s="6">
        <v>1506286</v>
      </c>
      <c r="F70" t="s">
        <v>24</v>
      </c>
      <c r="G70" s="6">
        <v>2450387</v>
      </c>
    </row>
    <row r="71" spans="2:8" x14ac:dyDescent="0.25">
      <c r="B71" t="s">
        <v>37</v>
      </c>
      <c r="C71" s="6">
        <v>1261952</v>
      </c>
      <c r="F71" t="s">
        <v>37</v>
      </c>
      <c r="G71" s="6">
        <v>1268450</v>
      </c>
    </row>
    <row r="72" spans="2:8" x14ac:dyDescent="0.25">
      <c r="B72" t="s">
        <v>6</v>
      </c>
      <c r="C72" s="6">
        <v>464782</v>
      </c>
      <c r="F72" t="s">
        <v>6</v>
      </c>
      <c r="G72" s="6">
        <v>762589</v>
      </c>
    </row>
    <row r="73" spans="2:8" x14ac:dyDescent="0.25">
      <c r="C73" s="7">
        <f>SUM(C68:C72)</f>
        <v>12073642</v>
      </c>
      <c r="D73">
        <f>C71/C73</f>
        <v>0.10452123725384602</v>
      </c>
      <c r="G73" s="7">
        <f>SUM(G68:G72)</f>
        <v>12073642</v>
      </c>
      <c r="H73">
        <f>G71/G73</f>
        <v>0.1050594344274909</v>
      </c>
    </row>
    <row r="75" spans="2:8" x14ac:dyDescent="0.25">
      <c r="B75">
        <v>2013</v>
      </c>
    </row>
    <row r="76" spans="2:8" x14ac:dyDescent="0.25">
      <c r="B76" t="s">
        <v>1</v>
      </c>
      <c r="C76" t="s">
        <v>27</v>
      </c>
      <c r="F76" t="s">
        <v>1</v>
      </c>
      <c r="G76" t="s">
        <v>27</v>
      </c>
    </row>
    <row r="77" spans="2:8" x14ac:dyDescent="0.25">
      <c r="B77" t="s">
        <v>2</v>
      </c>
      <c r="C77" s="6">
        <v>545032</v>
      </c>
      <c r="F77" t="s">
        <v>2</v>
      </c>
      <c r="G77" s="6">
        <v>387414</v>
      </c>
    </row>
    <row r="78" spans="2:8" x14ac:dyDescent="0.25">
      <c r="B78" t="s">
        <v>24</v>
      </c>
      <c r="C78" s="6">
        <v>254757</v>
      </c>
      <c r="F78" t="s">
        <v>24</v>
      </c>
      <c r="G78" s="6">
        <v>255263</v>
      </c>
    </row>
    <row r="79" spans="2:8" x14ac:dyDescent="0.25">
      <c r="B79" t="s">
        <v>37</v>
      </c>
      <c r="C79" s="6">
        <v>291937</v>
      </c>
      <c r="F79" t="s">
        <v>37</v>
      </c>
      <c r="G79" s="6">
        <v>449049</v>
      </c>
    </row>
  </sheetData>
  <mergeCells count="2">
    <mergeCell ref="B43:G43"/>
    <mergeCell ref="B66:G66"/>
  </mergeCells>
  <pageMargins left="0.7" right="0.7" top="0.75" bottom="0.75" header="0.3" footer="0.3"/>
  <pageSetup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23"/>
  <sheetViews>
    <sheetView topLeftCell="G1" workbookViewId="0">
      <selection activeCell="G2" sqref="G2"/>
    </sheetView>
  </sheetViews>
  <sheetFormatPr defaultRowHeight="15" x14ac:dyDescent="0.25"/>
  <cols>
    <col min="1" max="1" width="9.7109375" style="1" bestFit="1" customWidth="1"/>
    <col min="2" max="2" width="9.140625" customWidth="1"/>
    <col min="9" max="9" width="9.7109375" style="1" bestFit="1" customWidth="1"/>
    <col min="17" max="17" width="9.7109375" style="1" bestFit="1" customWidth="1"/>
  </cols>
  <sheetData>
    <row r="1" spans="1:20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36</v>
      </c>
      <c r="J1" t="s">
        <v>16</v>
      </c>
      <c r="K1" t="s">
        <v>15</v>
      </c>
      <c r="L1" t="s">
        <v>14</v>
      </c>
      <c r="M1" t="s">
        <v>36</v>
      </c>
      <c r="R1" t="s">
        <v>32</v>
      </c>
      <c r="S1" t="s">
        <v>33</v>
      </c>
      <c r="T1" t="s">
        <v>34</v>
      </c>
    </row>
    <row r="2" spans="1:20" x14ac:dyDescent="0.25">
      <c r="A2" s="1">
        <v>38687</v>
      </c>
      <c r="B2">
        <v>116679</v>
      </c>
      <c r="C2">
        <v>19057</v>
      </c>
      <c r="G2">
        <f>SUM(B2:F2)</f>
        <v>135736</v>
      </c>
      <c r="I2" s="1">
        <v>38687</v>
      </c>
      <c r="J2">
        <v>69801</v>
      </c>
      <c r="K2">
        <v>64164</v>
      </c>
      <c r="L2">
        <v>1771</v>
      </c>
      <c r="M2">
        <f>SUM(J2:L2)</f>
        <v>135736</v>
      </c>
      <c r="Q2" s="1">
        <v>38687</v>
      </c>
      <c r="R2">
        <f t="shared" ref="R2:R33" si="0">VLOOKUP(Q2,A:F,5,0)</f>
        <v>0</v>
      </c>
      <c r="S2">
        <f t="shared" ref="S2:S33" si="1">VLOOKUP(Q2,I:M,4,0)</f>
        <v>1771</v>
      </c>
    </row>
    <row r="3" spans="1:20" x14ac:dyDescent="0.25">
      <c r="A3" s="1">
        <v>38718</v>
      </c>
      <c r="B3">
        <v>101038</v>
      </c>
      <c r="C3">
        <v>15165</v>
      </c>
      <c r="G3">
        <f t="shared" ref="G3:G66" si="2">SUM(B3:F3)</f>
        <v>116203</v>
      </c>
      <c r="I3" s="1">
        <v>38718</v>
      </c>
      <c r="J3">
        <v>56048</v>
      </c>
      <c r="K3">
        <v>58448</v>
      </c>
      <c r="L3">
        <v>1707</v>
      </c>
      <c r="M3">
        <f t="shared" ref="M3:M66" si="3">SUM(J3:L3)</f>
        <v>116203</v>
      </c>
      <c r="Q3" s="1">
        <v>38718</v>
      </c>
      <c r="R3">
        <f t="shared" si="0"/>
        <v>0</v>
      </c>
      <c r="S3">
        <f t="shared" si="1"/>
        <v>1707</v>
      </c>
    </row>
    <row r="4" spans="1:20" x14ac:dyDescent="0.25">
      <c r="A4" s="1">
        <v>38749</v>
      </c>
      <c r="B4">
        <v>85924</v>
      </c>
      <c r="C4">
        <v>13726</v>
      </c>
      <c r="G4">
        <f t="shared" si="2"/>
        <v>99650</v>
      </c>
      <c r="I4" s="1">
        <v>38749</v>
      </c>
      <c r="J4">
        <v>48505</v>
      </c>
      <c r="K4">
        <v>49549</v>
      </c>
      <c r="L4">
        <v>1596</v>
      </c>
      <c r="M4">
        <f t="shared" si="3"/>
        <v>99650</v>
      </c>
      <c r="Q4" s="1">
        <v>38749</v>
      </c>
      <c r="R4">
        <f t="shared" si="0"/>
        <v>0</v>
      </c>
      <c r="S4">
        <f t="shared" si="1"/>
        <v>1596</v>
      </c>
    </row>
    <row r="5" spans="1:20" x14ac:dyDescent="0.25">
      <c r="A5" s="1">
        <v>38777</v>
      </c>
      <c r="B5">
        <v>85045</v>
      </c>
      <c r="C5">
        <v>13317</v>
      </c>
      <c r="G5">
        <f t="shared" si="2"/>
        <v>98362</v>
      </c>
      <c r="I5" s="1">
        <v>38777</v>
      </c>
      <c r="J5">
        <v>45628</v>
      </c>
      <c r="K5">
        <v>50913</v>
      </c>
      <c r="L5">
        <v>1821</v>
      </c>
      <c r="M5">
        <f t="shared" si="3"/>
        <v>98362</v>
      </c>
      <c r="Q5" s="1">
        <v>38777</v>
      </c>
      <c r="R5">
        <f t="shared" si="0"/>
        <v>0</v>
      </c>
      <c r="S5">
        <f t="shared" si="1"/>
        <v>1821</v>
      </c>
    </row>
    <row r="6" spans="1:20" x14ac:dyDescent="0.25">
      <c r="A6" s="1">
        <v>38808</v>
      </c>
      <c r="B6">
        <v>91876</v>
      </c>
      <c r="C6">
        <v>13740</v>
      </c>
      <c r="G6">
        <f t="shared" si="2"/>
        <v>105616</v>
      </c>
      <c r="I6" s="1">
        <v>38808</v>
      </c>
      <c r="J6">
        <v>50072</v>
      </c>
      <c r="K6">
        <v>54093</v>
      </c>
      <c r="L6">
        <v>1451</v>
      </c>
      <c r="M6">
        <f t="shared" si="3"/>
        <v>105616</v>
      </c>
      <c r="Q6" s="1">
        <v>38808</v>
      </c>
      <c r="R6">
        <f t="shared" si="0"/>
        <v>0</v>
      </c>
      <c r="S6">
        <f t="shared" si="1"/>
        <v>1451</v>
      </c>
    </row>
    <row r="7" spans="1:20" x14ac:dyDescent="0.25">
      <c r="A7" s="1">
        <v>38838</v>
      </c>
      <c r="B7">
        <v>83181</v>
      </c>
      <c r="C7">
        <v>11485</v>
      </c>
      <c r="G7">
        <f t="shared" si="2"/>
        <v>94666</v>
      </c>
      <c r="I7" s="1">
        <v>38838</v>
      </c>
      <c r="J7">
        <v>50281</v>
      </c>
      <c r="K7">
        <v>43099</v>
      </c>
      <c r="L7">
        <v>1286</v>
      </c>
      <c r="M7">
        <f t="shared" si="3"/>
        <v>94666</v>
      </c>
      <c r="Q7" s="1">
        <v>38838</v>
      </c>
      <c r="R7">
        <f t="shared" si="0"/>
        <v>0</v>
      </c>
      <c r="S7">
        <f t="shared" si="1"/>
        <v>1286</v>
      </c>
    </row>
    <row r="8" spans="1:20" x14ac:dyDescent="0.25">
      <c r="A8" s="1">
        <v>38869</v>
      </c>
      <c r="B8">
        <v>96000</v>
      </c>
      <c r="C8">
        <v>11763</v>
      </c>
      <c r="G8">
        <f t="shared" si="2"/>
        <v>107763</v>
      </c>
      <c r="I8" s="1">
        <v>38869</v>
      </c>
      <c r="J8">
        <v>60815</v>
      </c>
      <c r="K8">
        <v>45484</v>
      </c>
      <c r="L8">
        <v>1464</v>
      </c>
      <c r="M8">
        <f t="shared" si="3"/>
        <v>107763</v>
      </c>
      <c r="Q8" s="1">
        <v>38869</v>
      </c>
      <c r="R8">
        <f t="shared" si="0"/>
        <v>0</v>
      </c>
      <c r="S8">
        <f t="shared" si="1"/>
        <v>1464</v>
      </c>
    </row>
    <row r="9" spans="1:20" x14ac:dyDescent="0.25">
      <c r="A9" s="1">
        <v>38899</v>
      </c>
      <c r="B9">
        <v>94899</v>
      </c>
      <c r="C9">
        <v>10532</v>
      </c>
      <c r="G9">
        <f t="shared" si="2"/>
        <v>105431</v>
      </c>
      <c r="I9" s="1">
        <v>38899</v>
      </c>
      <c r="J9">
        <v>62896</v>
      </c>
      <c r="K9">
        <v>41248</v>
      </c>
      <c r="L9">
        <v>1287</v>
      </c>
      <c r="M9">
        <f t="shared" si="3"/>
        <v>105431</v>
      </c>
      <c r="Q9" s="1">
        <v>38899</v>
      </c>
      <c r="R9">
        <f t="shared" si="0"/>
        <v>0</v>
      </c>
      <c r="S9">
        <f t="shared" si="1"/>
        <v>1287</v>
      </c>
    </row>
    <row r="10" spans="1:20" x14ac:dyDescent="0.25">
      <c r="A10" s="1">
        <v>38930</v>
      </c>
      <c r="B10">
        <v>106784</v>
      </c>
      <c r="C10">
        <v>11293</v>
      </c>
      <c r="G10">
        <f t="shared" si="2"/>
        <v>118077</v>
      </c>
      <c r="I10" s="1">
        <v>38930</v>
      </c>
      <c r="J10">
        <v>74272</v>
      </c>
      <c r="K10">
        <v>42532</v>
      </c>
      <c r="L10">
        <v>1273</v>
      </c>
      <c r="M10">
        <f t="shared" si="3"/>
        <v>118077</v>
      </c>
      <c r="Q10" s="1">
        <v>38930</v>
      </c>
      <c r="R10">
        <f t="shared" si="0"/>
        <v>0</v>
      </c>
      <c r="S10">
        <f t="shared" si="1"/>
        <v>1273</v>
      </c>
    </row>
    <row r="11" spans="1:20" x14ac:dyDescent="0.25">
      <c r="A11" s="1">
        <v>38961</v>
      </c>
      <c r="B11">
        <v>107277</v>
      </c>
      <c r="C11">
        <v>11420</v>
      </c>
      <c r="G11">
        <f t="shared" si="2"/>
        <v>118697</v>
      </c>
      <c r="I11" s="1">
        <v>38961</v>
      </c>
      <c r="J11">
        <v>74289</v>
      </c>
      <c r="K11">
        <v>43129</v>
      </c>
      <c r="L11">
        <v>1279</v>
      </c>
      <c r="M11">
        <f t="shared" si="3"/>
        <v>118697</v>
      </c>
      <c r="Q11" s="1">
        <v>38961</v>
      </c>
      <c r="R11">
        <f t="shared" si="0"/>
        <v>0</v>
      </c>
      <c r="S11">
        <f t="shared" si="1"/>
        <v>1279</v>
      </c>
    </row>
    <row r="12" spans="1:20" x14ac:dyDescent="0.25">
      <c r="A12" s="1">
        <v>38991</v>
      </c>
      <c r="B12">
        <v>92041</v>
      </c>
      <c r="C12">
        <v>11613</v>
      </c>
      <c r="G12">
        <f t="shared" si="2"/>
        <v>103654</v>
      </c>
      <c r="I12" s="1">
        <v>38991</v>
      </c>
      <c r="J12">
        <v>59427</v>
      </c>
      <c r="K12">
        <v>43075</v>
      </c>
      <c r="L12">
        <v>1152</v>
      </c>
      <c r="M12">
        <f t="shared" si="3"/>
        <v>103654</v>
      </c>
      <c r="Q12" s="1">
        <v>38991</v>
      </c>
      <c r="R12">
        <f t="shared" si="0"/>
        <v>0</v>
      </c>
      <c r="S12">
        <f t="shared" si="1"/>
        <v>1152</v>
      </c>
    </row>
    <row r="13" spans="1:20" x14ac:dyDescent="0.25">
      <c r="A13" s="1">
        <v>39022</v>
      </c>
      <c r="B13">
        <v>83109</v>
      </c>
      <c r="C13">
        <v>13547</v>
      </c>
      <c r="G13">
        <f t="shared" si="2"/>
        <v>96656</v>
      </c>
      <c r="I13" s="1">
        <v>39022</v>
      </c>
      <c r="J13">
        <v>48845</v>
      </c>
      <c r="K13">
        <v>46704</v>
      </c>
      <c r="L13">
        <v>1107</v>
      </c>
      <c r="M13">
        <f t="shared" si="3"/>
        <v>96656</v>
      </c>
      <c r="Q13" s="1">
        <v>39022</v>
      </c>
      <c r="R13">
        <f t="shared" si="0"/>
        <v>0</v>
      </c>
      <c r="S13">
        <f t="shared" si="1"/>
        <v>1107</v>
      </c>
    </row>
    <row r="14" spans="1:20" x14ac:dyDescent="0.25">
      <c r="A14" s="1">
        <v>39052</v>
      </c>
      <c r="B14">
        <v>109560</v>
      </c>
      <c r="C14">
        <v>18639</v>
      </c>
      <c r="G14">
        <f t="shared" si="2"/>
        <v>128199</v>
      </c>
      <c r="I14" s="1">
        <v>39052</v>
      </c>
      <c r="J14">
        <v>65808</v>
      </c>
      <c r="K14">
        <v>60968</v>
      </c>
      <c r="L14">
        <v>1423</v>
      </c>
      <c r="M14">
        <f t="shared" si="3"/>
        <v>128199</v>
      </c>
      <c r="Q14" s="1">
        <v>39052</v>
      </c>
      <c r="R14">
        <f t="shared" si="0"/>
        <v>0</v>
      </c>
      <c r="S14">
        <f t="shared" si="1"/>
        <v>1423</v>
      </c>
    </row>
    <row r="15" spans="1:20" x14ac:dyDescent="0.25">
      <c r="A15" s="1">
        <v>39083</v>
      </c>
      <c r="B15">
        <v>90090</v>
      </c>
      <c r="C15">
        <v>16054</v>
      </c>
      <c r="G15">
        <f t="shared" si="2"/>
        <v>106144</v>
      </c>
      <c r="I15" s="1">
        <v>39083</v>
      </c>
      <c r="J15">
        <v>52477</v>
      </c>
      <c r="K15">
        <v>52621</v>
      </c>
      <c r="L15">
        <v>1046</v>
      </c>
      <c r="M15">
        <f t="shared" si="3"/>
        <v>106144</v>
      </c>
      <c r="Q15" s="1">
        <v>39083</v>
      </c>
      <c r="R15">
        <f t="shared" si="0"/>
        <v>0</v>
      </c>
      <c r="S15">
        <f t="shared" si="1"/>
        <v>1046</v>
      </c>
    </row>
    <row r="16" spans="1:20" x14ac:dyDescent="0.25">
      <c r="A16" s="1">
        <v>39114</v>
      </c>
      <c r="B16">
        <v>105785</v>
      </c>
      <c r="C16">
        <v>23045</v>
      </c>
      <c r="G16">
        <f t="shared" si="2"/>
        <v>128830</v>
      </c>
      <c r="I16" s="1">
        <v>39114</v>
      </c>
      <c r="J16">
        <v>56557</v>
      </c>
      <c r="K16">
        <v>71070</v>
      </c>
      <c r="L16">
        <v>1203</v>
      </c>
      <c r="M16">
        <f t="shared" si="3"/>
        <v>128830</v>
      </c>
      <c r="Q16" s="1">
        <v>39114</v>
      </c>
      <c r="R16">
        <f t="shared" si="0"/>
        <v>0</v>
      </c>
      <c r="S16">
        <f t="shared" si="1"/>
        <v>1203</v>
      </c>
    </row>
    <row r="17" spans="1:19" x14ac:dyDescent="0.25">
      <c r="A17" s="1">
        <v>39142</v>
      </c>
      <c r="B17">
        <v>107547</v>
      </c>
      <c r="C17">
        <v>21585</v>
      </c>
      <c r="G17">
        <f t="shared" si="2"/>
        <v>129132</v>
      </c>
      <c r="I17" s="1">
        <v>39142</v>
      </c>
      <c r="J17">
        <v>60614</v>
      </c>
      <c r="K17">
        <v>67164</v>
      </c>
      <c r="L17">
        <v>1354</v>
      </c>
      <c r="M17">
        <f t="shared" si="3"/>
        <v>129132</v>
      </c>
      <c r="Q17" s="1">
        <v>39142</v>
      </c>
      <c r="R17">
        <f t="shared" si="0"/>
        <v>0</v>
      </c>
      <c r="S17">
        <f t="shared" si="1"/>
        <v>1354</v>
      </c>
    </row>
    <row r="18" spans="1:19" x14ac:dyDescent="0.25">
      <c r="A18" s="1">
        <v>39173</v>
      </c>
      <c r="B18">
        <v>100318</v>
      </c>
      <c r="C18">
        <v>20927</v>
      </c>
      <c r="G18">
        <f t="shared" si="2"/>
        <v>121245</v>
      </c>
      <c r="I18" s="1">
        <v>39173</v>
      </c>
      <c r="J18">
        <v>55862</v>
      </c>
      <c r="K18">
        <v>64185</v>
      </c>
      <c r="L18">
        <v>1198</v>
      </c>
      <c r="M18">
        <f t="shared" si="3"/>
        <v>121245</v>
      </c>
      <c r="Q18" s="1">
        <v>39173</v>
      </c>
      <c r="R18">
        <f t="shared" si="0"/>
        <v>0</v>
      </c>
      <c r="S18">
        <f t="shared" si="1"/>
        <v>1198</v>
      </c>
    </row>
    <row r="19" spans="1:19" x14ac:dyDescent="0.25">
      <c r="A19" s="1">
        <v>39203</v>
      </c>
      <c r="B19">
        <v>111446</v>
      </c>
      <c r="C19">
        <v>23119</v>
      </c>
      <c r="G19">
        <f t="shared" si="2"/>
        <v>134565</v>
      </c>
      <c r="I19" s="1">
        <v>39203</v>
      </c>
      <c r="J19">
        <v>63827</v>
      </c>
      <c r="K19">
        <v>69464</v>
      </c>
      <c r="L19">
        <v>1274</v>
      </c>
      <c r="M19">
        <f t="shared" si="3"/>
        <v>134565</v>
      </c>
      <c r="Q19" s="1">
        <v>39203</v>
      </c>
      <c r="R19">
        <f t="shared" si="0"/>
        <v>0</v>
      </c>
      <c r="S19">
        <f t="shared" si="1"/>
        <v>1274</v>
      </c>
    </row>
    <row r="20" spans="1:19" x14ac:dyDescent="0.25">
      <c r="A20" s="1">
        <v>39234</v>
      </c>
      <c r="B20">
        <v>112135</v>
      </c>
      <c r="C20">
        <v>20337</v>
      </c>
      <c r="G20">
        <f t="shared" si="2"/>
        <v>132472</v>
      </c>
      <c r="I20" s="1">
        <v>39234</v>
      </c>
      <c r="J20">
        <v>69687</v>
      </c>
      <c r="K20">
        <v>61490</v>
      </c>
      <c r="L20">
        <v>1295</v>
      </c>
      <c r="M20">
        <f t="shared" si="3"/>
        <v>132472</v>
      </c>
      <c r="Q20" s="1">
        <v>39234</v>
      </c>
      <c r="R20">
        <f t="shared" si="0"/>
        <v>0</v>
      </c>
      <c r="S20">
        <f t="shared" si="1"/>
        <v>1295</v>
      </c>
    </row>
    <row r="21" spans="1:19" x14ac:dyDescent="0.25">
      <c r="A21" s="1">
        <v>39264</v>
      </c>
      <c r="B21">
        <v>100566</v>
      </c>
      <c r="C21">
        <v>17646</v>
      </c>
      <c r="G21">
        <f t="shared" si="2"/>
        <v>118212</v>
      </c>
      <c r="I21" s="1">
        <v>39264</v>
      </c>
      <c r="J21">
        <v>63220</v>
      </c>
      <c r="K21">
        <v>53816</v>
      </c>
      <c r="L21">
        <v>1176</v>
      </c>
      <c r="M21">
        <f t="shared" si="3"/>
        <v>118212</v>
      </c>
      <c r="Q21" s="1">
        <v>39264</v>
      </c>
      <c r="R21">
        <f t="shared" si="0"/>
        <v>0</v>
      </c>
      <c r="S21">
        <f t="shared" si="1"/>
        <v>1176</v>
      </c>
    </row>
    <row r="22" spans="1:19" x14ac:dyDescent="0.25">
      <c r="A22" s="1">
        <v>39295</v>
      </c>
      <c r="B22">
        <v>117065</v>
      </c>
      <c r="C22">
        <v>17169</v>
      </c>
      <c r="G22">
        <f t="shared" si="2"/>
        <v>134234</v>
      </c>
      <c r="I22" s="1">
        <v>39295</v>
      </c>
      <c r="J22">
        <v>77551</v>
      </c>
      <c r="K22">
        <v>55366</v>
      </c>
      <c r="L22">
        <v>1317</v>
      </c>
      <c r="M22">
        <f t="shared" si="3"/>
        <v>134234</v>
      </c>
      <c r="Q22" s="1">
        <v>39295</v>
      </c>
      <c r="R22">
        <f t="shared" si="0"/>
        <v>0</v>
      </c>
      <c r="S22">
        <f t="shared" si="1"/>
        <v>1317</v>
      </c>
    </row>
    <row r="23" spans="1:19" x14ac:dyDescent="0.25">
      <c r="A23" s="1">
        <v>39326</v>
      </c>
      <c r="B23">
        <v>136772</v>
      </c>
      <c r="C23">
        <v>17527</v>
      </c>
      <c r="G23">
        <f t="shared" si="2"/>
        <v>154299</v>
      </c>
      <c r="I23" s="1">
        <v>39326</v>
      </c>
      <c r="J23">
        <v>97102</v>
      </c>
      <c r="K23">
        <v>55888</v>
      </c>
      <c r="L23">
        <v>1309</v>
      </c>
      <c r="M23">
        <f t="shared" si="3"/>
        <v>154299</v>
      </c>
      <c r="Q23" s="1">
        <v>39326</v>
      </c>
      <c r="R23">
        <f t="shared" si="0"/>
        <v>0</v>
      </c>
      <c r="S23">
        <f t="shared" si="1"/>
        <v>1309</v>
      </c>
    </row>
    <row r="24" spans="1:19" x14ac:dyDescent="0.25">
      <c r="A24" s="1">
        <v>39356</v>
      </c>
      <c r="B24">
        <v>108346</v>
      </c>
      <c r="C24">
        <v>17939</v>
      </c>
      <c r="G24">
        <f t="shared" si="2"/>
        <v>126285</v>
      </c>
      <c r="I24" s="1">
        <v>39356</v>
      </c>
      <c r="J24">
        <v>72966</v>
      </c>
      <c r="K24">
        <v>51812</v>
      </c>
      <c r="L24">
        <v>1507</v>
      </c>
      <c r="M24">
        <f t="shared" si="3"/>
        <v>126285</v>
      </c>
      <c r="Q24" s="1">
        <v>39356</v>
      </c>
      <c r="R24">
        <f t="shared" si="0"/>
        <v>0</v>
      </c>
      <c r="S24">
        <f t="shared" si="1"/>
        <v>1507</v>
      </c>
    </row>
    <row r="25" spans="1:19" x14ac:dyDescent="0.25">
      <c r="A25" s="1">
        <v>39387</v>
      </c>
      <c r="B25">
        <v>118469</v>
      </c>
      <c r="C25">
        <v>22061</v>
      </c>
      <c r="G25">
        <f t="shared" si="2"/>
        <v>140530</v>
      </c>
      <c r="I25" s="1">
        <v>39387</v>
      </c>
      <c r="J25">
        <v>77897</v>
      </c>
      <c r="K25">
        <v>61078</v>
      </c>
      <c r="L25">
        <v>1555</v>
      </c>
      <c r="M25">
        <f t="shared" si="3"/>
        <v>140530</v>
      </c>
      <c r="Q25" s="1">
        <v>39387</v>
      </c>
      <c r="R25">
        <f t="shared" si="0"/>
        <v>0</v>
      </c>
      <c r="S25">
        <f t="shared" si="1"/>
        <v>1555</v>
      </c>
    </row>
    <row r="26" spans="1:19" x14ac:dyDescent="0.25">
      <c r="A26" s="1">
        <v>39417</v>
      </c>
      <c r="B26">
        <v>108670</v>
      </c>
      <c r="C26">
        <v>23242</v>
      </c>
      <c r="G26">
        <f t="shared" si="2"/>
        <v>131912</v>
      </c>
      <c r="I26" s="1">
        <v>39417</v>
      </c>
      <c r="J26">
        <v>69883</v>
      </c>
      <c r="K26">
        <v>60449</v>
      </c>
      <c r="L26">
        <v>1580</v>
      </c>
      <c r="M26">
        <f t="shared" si="3"/>
        <v>131912</v>
      </c>
      <c r="Q26" s="1">
        <v>39417</v>
      </c>
      <c r="R26">
        <f t="shared" si="0"/>
        <v>0</v>
      </c>
      <c r="S26">
        <f t="shared" si="1"/>
        <v>1580</v>
      </c>
    </row>
    <row r="27" spans="1:19" x14ac:dyDescent="0.25">
      <c r="A27" s="1">
        <v>39448</v>
      </c>
      <c r="B27">
        <v>90455</v>
      </c>
      <c r="C27">
        <v>25971</v>
      </c>
      <c r="G27">
        <f t="shared" si="2"/>
        <v>116426</v>
      </c>
      <c r="I27" s="1">
        <v>39448</v>
      </c>
      <c r="J27">
        <v>54557</v>
      </c>
      <c r="K27">
        <v>60598</v>
      </c>
      <c r="L27">
        <v>1271</v>
      </c>
      <c r="M27">
        <f t="shared" si="3"/>
        <v>116426</v>
      </c>
      <c r="Q27" s="1">
        <v>39448</v>
      </c>
      <c r="R27">
        <f t="shared" si="0"/>
        <v>0</v>
      </c>
      <c r="S27">
        <f t="shared" si="1"/>
        <v>1271</v>
      </c>
    </row>
    <row r="28" spans="1:19" x14ac:dyDescent="0.25">
      <c r="A28" s="1">
        <v>39479</v>
      </c>
      <c r="B28">
        <v>124215</v>
      </c>
      <c r="C28">
        <v>41508</v>
      </c>
      <c r="G28">
        <f t="shared" si="2"/>
        <v>165723</v>
      </c>
      <c r="I28" s="1">
        <v>39479</v>
      </c>
      <c r="J28">
        <v>72837</v>
      </c>
      <c r="K28">
        <v>91402</v>
      </c>
      <c r="L28">
        <v>1484</v>
      </c>
      <c r="M28">
        <f t="shared" si="3"/>
        <v>165723</v>
      </c>
      <c r="Q28" s="1">
        <v>39479</v>
      </c>
      <c r="R28">
        <f t="shared" si="0"/>
        <v>0</v>
      </c>
      <c r="S28">
        <f t="shared" si="1"/>
        <v>1484</v>
      </c>
    </row>
    <row r="29" spans="1:19" x14ac:dyDescent="0.25">
      <c r="A29" s="1">
        <v>39508</v>
      </c>
      <c r="B29">
        <v>88535</v>
      </c>
      <c r="C29">
        <v>49873</v>
      </c>
      <c r="G29">
        <f t="shared" si="2"/>
        <v>138408</v>
      </c>
      <c r="I29" s="1">
        <v>39508</v>
      </c>
      <c r="J29">
        <v>43659</v>
      </c>
      <c r="K29">
        <v>93377</v>
      </c>
      <c r="L29">
        <v>1372</v>
      </c>
      <c r="M29">
        <f t="shared" si="3"/>
        <v>138408</v>
      </c>
      <c r="Q29" s="1">
        <v>39508</v>
      </c>
      <c r="R29">
        <f t="shared" si="0"/>
        <v>0</v>
      </c>
      <c r="S29">
        <f t="shared" si="1"/>
        <v>1372</v>
      </c>
    </row>
    <row r="30" spans="1:19" x14ac:dyDescent="0.25">
      <c r="A30" s="1">
        <v>39539</v>
      </c>
      <c r="B30">
        <v>98952</v>
      </c>
      <c r="C30">
        <v>44733</v>
      </c>
      <c r="G30">
        <f t="shared" si="2"/>
        <v>143685</v>
      </c>
      <c r="I30" s="1">
        <v>39539</v>
      </c>
      <c r="J30">
        <v>50960</v>
      </c>
      <c r="K30">
        <v>91357</v>
      </c>
      <c r="L30">
        <v>1368</v>
      </c>
      <c r="M30">
        <f t="shared" si="3"/>
        <v>143685</v>
      </c>
      <c r="Q30" s="1">
        <v>39539</v>
      </c>
      <c r="R30">
        <f t="shared" si="0"/>
        <v>0</v>
      </c>
      <c r="S30">
        <f t="shared" si="1"/>
        <v>1368</v>
      </c>
    </row>
    <row r="31" spans="1:19" x14ac:dyDescent="0.25">
      <c r="A31" s="1">
        <v>39569</v>
      </c>
      <c r="B31">
        <v>110414</v>
      </c>
      <c r="C31">
        <v>41194</v>
      </c>
      <c r="G31">
        <f t="shared" si="2"/>
        <v>151608</v>
      </c>
      <c r="I31" s="1">
        <v>39569</v>
      </c>
      <c r="J31">
        <v>58452</v>
      </c>
      <c r="K31">
        <v>91752</v>
      </c>
      <c r="L31">
        <v>1404</v>
      </c>
      <c r="M31">
        <f t="shared" si="3"/>
        <v>151608</v>
      </c>
      <c r="Q31" s="1">
        <v>39569</v>
      </c>
      <c r="R31">
        <f t="shared" si="0"/>
        <v>0</v>
      </c>
      <c r="S31">
        <f t="shared" si="1"/>
        <v>1404</v>
      </c>
    </row>
    <row r="32" spans="1:19" x14ac:dyDescent="0.25">
      <c r="A32" s="1">
        <v>39600</v>
      </c>
      <c r="B32">
        <v>108177</v>
      </c>
      <c r="C32">
        <v>30865</v>
      </c>
      <c r="G32">
        <f t="shared" si="2"/>
        <v>139042</v>
      </c>
      <c r="I32" s="1">
        <v>39600</v>
      </c>
      <c r="J32">
        <v>67055</v>
      </c>
      <c r="K32">
        <v>70617</v>
      </c>
      <c r="L32">
        <v>1370</v>
      </c>
      <c r="M32">
        <f t="shared" si="3"/>
        <v>139042</v>
      </c>
      <c r="Q32" s="1">
        <v>39600</v>
      </c>
      <c r="R32">
        <f t="shared" si="0"/>
        <v>0</v>
      </c>
      <c r="S32">
        <f t="shared" si="1"/>
        <v>1370</v>
      </c>
    </row>
    <row r="33" spans="1:30" x14ac:dyDescent="0.25">
      <c r="A33" s="1">
        <v>39630</v>
      </c>
      <c r="B33">
        <v>62302</v>
      </c>
      <c r="C33">
        <v>15169</v>
      </c>
      <c r="G33">
        <f t="shared" si="2"/>
        <v>77471</v>
      </c>
      <c r="I33" s="1">
        <v>39630</v>
      </c>
      <c r="J33">
        <v>41004</v>
      </c>
      <c r="K33">
        <v>36040</v>
      </c>
      <c r="L33">
        <v>427</v>
      </c>
      <c r="M33">
        <f t="shared" si="3"/>
        <v>77471</v>
      </c>
      <c r="Q33" s="1">
        <v>39630</v>
      </c>
      <c r="R33">
        <f t="shared" si="0"/>
        <v>0</v>
      </c>
      <c r="S33">
        <f t="shared" si="1"/>
        <v>427</v>
      </c>
    </row>
    <row r="34" spans="1:30" x14ac:dyDescent="0.25">
      <c r="A34" s="1">
        <v>39661</v>
      </c>
      <c r="B34">
        <v>68339</v>
      </c>
      <c r="C34">
        <v>12928</v>
      </c>
      <c r="G34">
        <f t="shared" si="2"/>
        <v>81267</v>
      </c>
      <c r="I34" s="1">
        <v>39661</v>
      </c>
      <c r="J34">
        <v>47631</v>
      </c>
      <c r="K34">
        <v>33217</v>
      </c>
      <c r="L34">
        <v>419</v>
      </c>
      <c r="M34">
        <f t="shared" si="3"/>
        <v>81267</v>
      </c>
      <c r="Q34" s="1">
        <v>39661</v>
      </c>
      <c r="R34">
        <f t="shared" ref="R34:R65" si="4">VLOOKUP(Q34,A:F,5,0)</f>
        <v>0</v>
      </c>
      <c r="S34">
        <f t="shared" ref="S34:S65" si="5">VLOOKUP(Q34,I:M,4,0)</f>
        <v>419</v>
      </c>
    </row>
    <row r="35" spans="1:30" x14ac:dyDescent="0.25">
      <c r="A35" s="1">
        <v>39692</v>
      </c>
      <c r="B35">
        <v>66445</v>
      </c>
      <c r="C35">
        <v>11279</v>
      </c>
      <c r="G35">
        <f t="shared" si="2"/>
        <v>77724</v>
      </c>
      <c r="I35" s="1">
        <v>39692</v>
      </c>
      <c r="J35">
        <v>47720</v>
      </c>
      <c r="K35">
        <v>29595</v>
      </c>
      <c r="L35">
        <v>409</v>
      </c>
      <c r="M35">
        <f t="shared" si="3"/>
        <v>77724</v>
      </c>
      <c r="Q35" s="1">
        <v>39692</v>
      </c>
      <c r="R35">
        <f t="shared" si="4"/>
        <v>0</v>
      </c>
      <c r="S35">
        <f t="shared" si="5"/>
        <v>409</v>
      </c>
    </row>
    <row r="36" spans="1:30" x14ac:dyDescent="0.25">
      <c r="A36" s="1">
        <v>39722</v>
      </c>
      <c r="B36">
        <v>45734</v>
      </c>
      <c r="C36">
        <v>9037</v>
      </c>
      <c r="G36">
        <f t="shared" si="2"/>
        <v>54771</v>
      </c>
      <c r="I36" s="1">
        <v>39722</v>
      </c>
      <c r="J36">
        <v>31841</v>
      </c>
      <c r="K36">
        <v>22753</v>
      </c>
      <c r="L36">
        <v>177</v>
      </c>
      <c r="M36">
        <f t="shared" si="3"/>
        <v>54771</v>
      </c>
      <c r="Q36" s="1">
        <v>39722</v>
      </c>
      <c r="R36">
        <f t="shared" si="4"/>
        <v>0</v>
      </c>
      <c r="S36">
        <f t="shared" si="5"/>
        <v>177</v>
      </c>
    </row>
    <row r="37" spans="1:30" x14ac:dyDescent="0.25">
      <c r="A37" s="1">
        <v>39753</v>
      </c>
      <c r="B37">
        <v>43655</v>
      </c>
      <c r="C37">
        <v>13338</v>
      </c>
      <c r="G37">
        <f t="shared" si="2"/>
        <v>56993</v>
      </c>
      <c r="I37" s="1">
        <v>39753</v>
      </c>
      <c r="J37">
        <v>28701</v>
      </c>
      <c r="K37">
        <v>27885</v>
      </c>
      <c r="L37">
        <v>407</v>
      </c>
      <c r="M37">
        <f t="shared" si="3"/>
        <v>56993</v>
      </c>
      <c r="Q37" s="1">
        <v>39753</v>
      </c>
      <c r="R37">
        <f t="shared" si="4"/>
        <v>0</v>
      </c>
      <c r="S37">
        <f t="shared" si="5"/>
        <v>407</v>
      </c>
    </row>
    <row r="38" spans="1:30" x14ac:dyDescent="0.25">
      <c r="A38" s="1">
        <v>39783</v>
      </c>
      <c r="B38">
        <v>50259</v>
      </c>
      <c r="C38">
        <v>12980</v>
      </c>
      <c r="G38">
        <f t="shared" si="2"/>
        <v>63239</v>
      </c>
      <c r="I38" s="1">
        <v>39783</v>
      </c>
      <c r="J38">
        <v>34511</v>
      </c>
      <c r="K38">
        <v>28353</v>
      </c>
      <c r="L38">
        <v>375</v>
      </c>
      <c r="M38">
        <f t="shared" si="3"/>
        <v>63239</v>
      </c>
      <c r="Q38" s="1">
        <v>39783</v>
      </c>
      <c r="R38">
        <f t="shared" si="4"/>
        <v>0</v>
      </c>
      <c r="S38">
        <f t="shared" si="5"/>
        <v>375</v>
      </c>
    </row>
    <row r="39" spans="1:30" x14ac:dyDescent="0.25">
      <c r="A39" s="1">
        <v>39814</v>
      </c>
      <c r="B39">
        <v>45008</v>
      </c>
      <c r="C39">
        <v>20693</v>
      </c>
      <c r="G39">
        <f t="shared" si="2"/>
        <v>65701</v>
      </c>
      <c r="I39" s="1">
        <v>39814</v>
      </c>
      <c r="J39">
        <v>28940</v>
      </c>
      <c r="K39">
        <v>36364</v>
      </c>
      <c r="L39">
        <v>397</v>
      </c>
      <c r="M39">
        <f t="shared" si="3"/>
        <v>65701</v>
      </c>
      <c r="Q39" s="1">
        <v>39814</v>
      </c>
      <c r="R39">
        <f t="shared" si="4"/>
        <v>0</v>
      </c>
      <c r="S39">
        <f t="shared" si="5"/>
        <v>397</v>
      </c>
    </row>
    <row r="40" spans="1:30" x14ac:dyDescent="0.25">
      <c r="A40" s="1">
        <v>39845</v>
      </c>
      <c r="B40">
        <v>54314</v>
      </c>
      <c r="C40">
        <v>60330</v>
      </c>
      <c r="G40">
        <f t="shared" si="2"/>
        <v>114644</v>
      </c>
      <c r="I40" s="1">
        <v>39845</v>
      </c>
      <c r="J40">
        <v>24431</v>
      </c>
      <c r="K40">
        <v>88963</v>
      </c>
      <c r="L40">
        <v>1250</v>
      </c>
      <c r="M40">
        <f t="shared" si="3"/>
        <v>114644</v>
      </c>
      <c r="Q40" s="1">
        <v>39845</v>
      </c>
      <c r="R40">
        <f t="shared" si="4"/>
        <v>0</v>
      </c>
      <c r="S40">
        <f t="shared" si="5"/>
        <v>1250</v>
      </c>
    </row>
    <row r="41" spans="1:30" x14ac:dyDescent="0.25">
      <c r="A41" s="1">
        <v>39873</v>
      </c>
      <c r="B41">
        <v>90938</v>
      </c>
      <c r="C41">
        <v>126468</v>
      </c>
      <c r="G41">
        <f t="shared" si="2"/>
        <v>217406</v>
      </c>
      <c r="I41" s="1">
        <v>39873</v>
      </c>
      <c r="J41">
        <v>27687</v>
      </c>
      <c r="K41">
        <v>187401</v>
      </c>
      <c r="L41">
        <v>2318</v>
      </c>
      <c r="M41">
        <f t="shared" si="3"/>
        <v>217406</v>
      </c>
      <c r="Q41" s="1">
        <v>39873</v>
      </c>
      <c r="R41">
        <f t="shared" si="4"/>
        <v>0</v>
      </c>
      <c r="S41">
        <f t="shared" si="5"/>
        <v>2318</v>
      </c>
    </row>
    <row r="42" spans="1:30" x14ac:dyDescent="0.25">
      <c r="A42" s="1">
        <v>39904</v>
      </c>
      <c r="B42">
        <v>70127</v>
      </c>
      <c r="C42">
        <v>91317</v>
      </c>
      <c r="D42">
        <v>4758</v>
      </c>
      <c r="E42">
        <v>286</v>
      </c>
      <c r="G42">
        <f t="shared" si="2"/>
        <v>166488</v>
      </c>
      <c r="I42" s="1">
        <v>39904</v>
      </c>
      <c r="J42">
        <v>24673</v>
      </c>
      <c r="K42">
        <v>140030</v>
      </c>
      <c r="L42">
        <v>1785</v>
      </c>
      <c r="M42">
        <f t="shared" si="3"/>
        <v>166488</v>
      </c>
      <c r="Q42" s="1">
        <v>39904</v>
      </c>
      <c r="R42">
        <f t="shared" si="4"/>
        <v>286</v>
      </c>
      <c r="S42">
        <f t="shared" si="5"/>
        <v>1785</v>
      </c>
    </row>
    <row r="43" spans="1:30" x14ac:dyDescent="0.25">
      <c r="A43" s="1">
        <v>39934</v>
      </c>
      <c r="B43">
        <v>67567</v>
      </c>
      <c r="C43">
        <v>25662</v>
      </c>
      <c r="D43">
        <v>51705</v>
      </c>
      <c r="E43">
        <v>5842</v>
      </c>
      <c r="G43">
        <f t="shared" si="2"/>
        <v>150776</v>
      </c>
      <c r="I43" s="1">
        <v>39934</v>
      </c>
      <c r="J43">
        <v>24641</v>
      </c>
      <c r="K43">
        <v>123547</v>
      </c>
      <c r="L43">
        <v>2588</v>
      </c>
      <c r="M43">
        <f t="shared" si="3"/>
        <v>150776</v>
      </c>
      <c r="Q43" s="1">
        <v>39934</v>
      </c>
      <c r="R43">
        <f t="shared" si="4"/>
        <v>5842</v>
      </c>
      <c r="S43">
        <f t="shared" si="5"/>
        <v>2588</v>
      </c>
    </row>
    <row r="44" spans="1:30" x14ac:dyDescent="0.25">
      <c r="A44" s="1">
        <v>39965</v>
      </c>
      <c r="B44">
        <v>104095</v>
      </c>
      <c r="C44">
        <v>7053</v>
      </c>
      <c r="D44">
        <v>106391</v>
      </c>
      <c r="E44">
        <v>16517</v>
      </c>
      <c r="G44">
        <f t="shared" si="2"/>
        <v>234056</v>
      </c>
      <c r="I44" s="1">
        <v>39965</v>
      </c>
      <c r="J44">
        <v>41335</v>
      </c>
      <c r="K44">
        <v>183268</v>
      </c>
      <c r="L44">
        <v>9453</v>
      </c>
      <c r="M44">
        <f t="shared" si="3"/>
        <v>234056</v>
      </c>
      <c r="Q44" s="1">
        <v>39965</v>
      </c>
      <c r="R44">
        <f t="shared" si="4"/>
        <v>16517</v>
      </c>
      <c r="S44">
        <f t="shared" si="5"/>
        <v>9453</v>
      </c>
    </row>
    <row r="45" spans="1:30" x14ac:dyDescent="0.25">
      <c r="A45" s="1">
        <v>39995</v>
      </c>
      <c r="B45">
        <v>71014</v>
      </c>
      <c r="C45">
        <v>781</v>
      </c>
      <c r="D45">
        <v>60337</v>
      </c>
      <c r="E45">
        <v>22075</v>
      </c>
      <c r="G45">
        <f t="shared" si="2"/>
        <v>154207</v>
      </c>
      <c r="I45" s="1">
        <v>39995</v>
      </c>
      <c r="J45">
        <v>32476</v>
      </c>
      <c r="K45">
        <v>107233</v>
      </c>
      <c r="L45">
        <v>14498</v>
      </c>
      <c r="M45">
        <f t="shared" si="3"/>
        <v>154207</v>
      </c>
      <c r="Q45" s="1">
        <v>39995</v>
      </c>
      <c r="R45">
        <f t="shared" si="4"/>
        <v>22075</v>
      </c>
      <c r="S45">
        <f t="shared" si="5"/>
        <v>14498</v>
      </c>
      <c r="T45" s="9">
        <f>R45/S45</f>
        <v>1.5226238101807146</v>
      </c>
    </row>
    <row r="46" spans="1:30" x14ac:dyDescent="0.25">
      <c r="A46" s="1">
        <v>40026</v>
      </c>
      <c r="B46">
        <v>82357</v>
      </c>
      <c r="C46">
        <v>173</v>
      </c>
      <c r="D46">
        <v>55906</v>
      </c>
      <c r="E46">
        <v>25210</v>
      </c>
      <c r="G46">
        <f t="shared" si="2"/>
        <v>163646</v>
      </c>
      <c r="I46" s="1">
        <v>40026</v>
      </c>
      <c r="J46">
        <v>42643</v>
      </c>
      <c r="K46">
        <v>104917</v>
      </c>
      <c r="L46">
        <v>16086</v>
      </c>
      <c r="M46">
        <f t="shared" si="3"/>
        <v>163646</v>
      </c>
      <c r="Q46" s="1">
        <v>40026</v>
      </c>
      <c r="R46">
        <f t="shared" si="4"/>
        <v>25210</v>
      </c>
      <c r="S46">
        <f t="shared" si="5"/>
        <v>16086</v>
      </c>
      <c r="T46" s="9">
        <f t="shared" ref="T46:T99" si="6">R46/S46</f>
        <v>1.5672012930498571</v>
      </c>
      <c r="AC46">
        <v>2243</v>
      </c>
      <c r="AD46">
        <f t="shared" ref="AD46:AD47" si="7">AC46/6</f>
        <v>373.83333333333331</v>
      </c>
    </row>
    <row r="47" spans="1:30" x14ac:dyDescent="0.25">
      <c r="A47" s="1">
        <v>40057</v>
      </c>
      <c r="B47">
        <v>70570</v>
      </c>
      <c r="C47">
        <v>258</v>
      </c>
      <c r="D47">
        <v>31910</v>
      </c>
      <c r="E47">
        <v>15667</v>
      </c>
      <c r="G47">
        <f t="shared" si="2"/>
        <v>118405</v>
      </c>
      <c r="I47" s="1">
        <v>40057</v>
      </c>
      <c r="J47">
        <v>41473</v>
      </c>
      <c r="K47">
        <v>67936</v>
      </c>
      <c r="L47">
        <v>8996</v>
      </c>
      <c r="M47">
        <f t="shared" si="3"/>
        <v>118405</v>
      </c>
      <c r="Q47" s="1">
        <v>40057</v>
      </c>
      <c r="R47">
        <f t="shared" si="4"/>
        <v>15667</v>
      </c>
      <c r="S47">
        <f t="shared" si="5"/>
        <v>8996</v>
      </c>
      <c r="T47" s="9">
        <f t="shared" si="6"/>
        <v>1.7415518008003557</v>
      </c>
      <c r="AC47">
        <v>564</v>
      </c>
      <c r="AD47">
        <f t="shared" si="7"/>
        <v>94</v>
      </c>
    </row>
    <row r="48" spans="1:30" x14ac:dyDescent="0.25">
      <c r="A48" s="1">
        <v>40087</v>
      </c>
      <c r="B48">
        <v>61209</v>
      </c>
      <c r="C48">
        <v>1059</v>
      </c>
      <c r="D48">
        <v>23119</v>
      </c>
      <c r="E48">
        <v>12098</v>
      </c>
      <c r="G48">
        <f t="shared" si="2"/>
        <v>97485</v>
      </c>
      <c r="I48" s="1">
        <v>40087</v>
      </c>
      <c r="J48">
        <v>37039</v>
      </c>
      <c r="K48">
        <v>54105</v>
      </c>
      <c r="L48">
        <v>6341</v>
      </c>
      <c r="M48">
        <f t="shared" si="3"/>
        <v>97485</v>
      </c>
      <c r="Q48" s="1">
        <v>40087</v>
      </c>
      <c r="R48">
        <f t="shared" si="4"/>
        <v>12098</v>
      </c>
      <c r="S48">
        <f t="shared" si="5"/>
        <v>6341</v>
      </c>
      <c r="T48" s="9">
        <f t="shared" si="6"/>
        <v>1.9079009619933764</v>
      </c>
      <c r="AC48">
        <f>AC46-AC47</f>
        <v>1679</v>
      </c>
      <c r="AD48">
        <f>AC48/6</f>
        <v>279.83333333333331</v>
      </c>
    </row>
    <row r="49" spans="1:20" x14ac:dyDescent="0.25">
      <c r="A49" s="1">
        <v>40118</v>
      </c>
      <c r="B49">
        <v>54618</v>
      </c>
      <c r="C49">
        <v>77</v>
      </c>
      <c r="D49">
        <v>22548</v>
      </c>
      <c r="E49">
        <v>16580</v>
      </c>
      <c r="G49">
        <f t="shared" si="2"/>
        <v>93823</v>
      </c>
      <c r="I49" s="1">
        <v>40118</v>
      </c>
      <c r="J49">
        <v>32297</v>
      </c>
      <c r="K49">
        <v>53423</v>
      </c>
      <c r="L49">
        <v>8103</v>
      </c>
      <c r="M49">
        <f t="shared" si="3"/>
        <v>93823</v>
      </c>
      <c r="Q49" s="1">
        <v>40118</v>
      </c>
      <c r="R49">
        <f t="shared" si="4"/>
        <v>16580</v>
      </c>
      <c r="S49">
        <f t="shared" si="5"/>
        <v>8103</v>
      </c>
      <c r="T49" s="9">
        <f t="shared" si="6"/>
        <v>2.0461557447858816</v>
      </c>
    </row>
    <row r="50" spans="1:20" x14ac:dyDescent="0.25">
      <c r="A50" s="1">
        <v>40148</v>
      </c>
      <c r="B50">
        <v>70439</v>
      </c>
      <c r="C50">
        <v>336</v>
      </c>
      <c r="D50">
        <v>30548</v>
      </c>
      <c r="E50">
        <v>25493</v>
      </c>
      <c r="G50">
        <f t="shared" si="2"/>
        <v>126816</v>
      </c>
      <c r="I50" s="1">
        <v>40148</v>
      </c>
      <c r="J50">
        <v>42345</v>
      </c>
      <c r="K50">
        <v>71676</v>
      </c>
      <c r="L50">
        <v>12795</v>
      </c>
      <c r="M50">
        <f t="shared" si="3"/>
        <v>126816</v>
      </c>
      <c r="Q50" s="1">
        <v>40148</v>
      </c>
      <c r="R50">
        <f t="shared" si="4"/>
        <v>25493</v>
      </c>
      <c r="S50">
        <f t="shared" si="5"/>
        <v>12795</v>
      </c>
      <c r="T50" s="9">
        <f t="shared" si="6"/>
        <v>1.9924189136381398</v>
      </c>
    </row>
    <row r="51" spans="1:20" x14ac:dyDescent="0.25">
      <c r="A51" s="1">
        <v>40179</v>
      </c>
      <c r="B51">
        <v>51271</v>
      </c>
      <c r="C51">
        <v>360</v>
      </c>
      <c r="D51">
        <v>24350</v>
      </c>
      <c r="E51">
        <v>24649</v>
      </c>
      <c r="G51">
        <f t="shared" si="2"/>
        <v>100630</v>
      </c>
      <c r="I51" s="1">
        <v>40179</v>
      </c>
      <c r="J51">
        <v>29955</v>
      </c>
      <c r="K51">
        <v>57979</v>
      </c>
      <c r="L51">
        <v>12696</v>
      </c>
      <c r="M51">
        <f t="shared" si="3"/>
        <v>100630</v>
      </c>
      <c r="Q51" s="1">
        <v>40179</v>
      </c>
      <c r="R51">
        <f t="shared" si="4"/>
        <v>24649</v>
      </c>
      <c r="S51">
        <f t="shared" si="5"/>
        <v>12696</v>
      </c>
      <c r="T51" s="9">
        <f t="shared" si="6"/>
        <v>1.9414776307498425</v>
      </c>
    </row>
    <row r="52" spans="1:20" x14ac:dyDescent="0.25">
      <c r="A52" s="1">
        <v>40210</v>
      </c>
      <c r="B52">
        <v>51586</v>
      </c>
      <c r="C52">
        <v>77</v>
      </c>
      <c r="D52">
        <v>28003</v>
      </c>
      <c r="E52">
        <v>26299</v>
      </c>
      <c r="G52">
        <f t="shared" si="2"/>
        <v>105965</v>
      </c>
      <c r="I52" s="1">
        <v>40210</v>
      </c>
      <c r="J52">
        <v>27636</v>
      </c>
      <c r="K52">
        <v>64815</v>
      </c>
      <c r="L52">
        <v>13514</v>
      </c>
      <c r="M52">
        <f t="shared" si="3"/>
        <v>105965</v>
      </c>
      <c r="Q52" s="1">
        <v>40210</v>
      </c>
      <c r="R52">
        <f t="shared" si="4"/>
        <v>26299</v>
      </c>
      <c r="S52">
        <f t="shared" si="5"/>
        <v>13514</v>
      </c>
      <c r="T52" s="9">
        <f t="shared" si="6"/>
        <v>1.9460559419860886</v>
      </c>
    </row>
    <row r="53" spans="1:20" x14ac:dyDescent="0.25">
      <c r="A53" s="1">
        <v>40238</v>
      </c>
      <c r="B53">
        <v>56751</v>
      </c>
      <c r="C53">
        <v>679</v>
      </c>
      <c r="D53">
        <v>25937</v>
      </c>
      <c r="E53">
        <v>21183</v>
      </c>
      <c r="G53">
        <f t="shared" si="2"/>
        <v>104550</v>
      </c>
      <c r="I53" s="1">
        <v>40238</v>
      </c>
      <c r="J53">
        <v>30875</v>
      </c>
      <c r="K53">
        <v>61902</v>
      </c>
      <c r="L53">
        <v>11773</v>
      </c>
      <c r="M53">
        <f t="shared" si="3"/>
        <v>104550</v>
      </c>
      <c r="Q53" s="1">
        <v>40238</v>
      </c>
      <c r="R53">
        <f t="shared" si="4"/>
        <v>21183</v>
      </c>
      <c r="S53">
        <f t="shared" si="5"/>
        <v>11773</v>
      </c>
      <c r="T53" s="9">
        <f t="shared" si="6"/>
        <v>1.7992865030153742</v>
      </c>
    </row>
    <row r="54" spans="1:20" x14ac:dyDescent="0.25">
      <c r="A54" s="1">
        <v>40269</v>
      </c>
      <c r="B54">
        <v>37231</v>
      </c>
      <c r="C54">
        <v>113</v>
      </c>
      <c r="D54">
        <v>14416</v>
      </c>
      <c r="E54">
        <v>19513</v>
      </c>
      <c r="G54">
        <f t="shared" si="2"/>
        <v>71273</v>
      </c>
      <c r="I54" s="1">
        <v>40269</v>
      </c>
      <c r="J54">
        <v>23058</v>
      </c>
      <c r="K54">
        <v>37869</v>
      </c>
      <c r="L54">
        <v>10346</v>
      </c>
      <c r="M54">
        <f t="shared" si="3"/>
        <v>71273</v>
      </c>
      <c r="Q54" s="1">
        <v>40269</v>
      </c>
      <c r="R54">
        <f t="shared" si="4"/>
        <v>19513</v>
      </c>
      <c r="S54">
        <f t="shared" si="5"/>
        <v>10346</v>
      </c>
      <c r="T54" s="9">
        <f t="shared" si="6"/>
        <v>1.8860429151362845</v>
      </c>
    </row>
    <row r="55" spans="1:20" x14ac:dyDescent="0.25">
      <c r="A55" s="1">
        <v>40299</v>
      </c>
      <c r="B55">
        <v>46855</v>
      </c>
      <c r="C55">
        <v>25</v>
      </c>
      <c r="D55">
        <v>15988</v>
      </c>
      <c r="E55">
        <v>17575</v>
      </c>
      <c r="G55">
        <f t="shared" si="2"/>
        <v>80443</v>
      </c>
      <c r="I55" s="1">
        <v>40299</v>
      </c>
      <c r="J55">
        <v>30710</v>
      </c>
      <c r="K55">
        <v>40562</v>
      </c>
      <c r="L55">
        <v>9171</v>
      </c>
      <c r="M55">
        <f t="shared" si="3"/>
        <v>80443</v>
      </c>
      <c r="Q55" s="1">
        <v>40299</v>
      </c>
      <c r="R55">
        <f t="shared" si="4"/>
        <v>17575</v>
      </c>
      <c r="S55">
        <f t="shared" si="5"/>
        <v>9171</v>
      </c>
      <c r="T55" s="9">
        <f t="shared" si="6"/>
        <v>1.9163668084178389</v>
      </c>
    </row>
    <row r="56" spans="1:20" x14ac:dyDescent="0.25">
      <c r="A56" s="1">
        <v>40330</v>
      </c>
      <c r="B56">
        <v>55813</v>
      </c>
      <c r="C56">
        <v>4</v>
      </c>
      <c r="D56">
        <v>14269</v>
      </c>
      <c r="E56">
        <v>19523</v>
      </c>
      <c r="G56">
        <f t="shared" si="2"/>
        <v>89609</v>
      </c>
      <c r="I56" s="1">
        <v>40330</v>
      </c>
      <c r="J56">
        <v>38377</v>
      </c>
      <c r="K56">
        <v>40799</v>
      </c>
      <c r="L56">
        <v>10433</v>
      </c>
      <c r="M56">
        <f t="shared" si="3"/>
        <v>89609</v>
      </c>
      <c r="Q56" s="1">
        <v>40330</v>
      </c>
      <c r="R56">
        <f t="shared" si="4"/>
        <v>19523</v>
      </c>
      <c r="S56">
        <f t="shared" si="5"/>
        <v>10433</v>
      </c>
      <c r="T56" s="9">
        <f t="shared" si="6"/>
        <v>1.8712738426147799</v>
      </c>
    </row>
    <row r="57" spans="1:20" x14ac:dyDescent="0.25">
      <c r="A57" s="1">
        <v>40360</v>
      </c>
      <c r="B57">
        <v>50706</v>
      </c>
      <c r="C57">
        <v>1</v>
      </c>
      <c r="D57">
        <v>13900</v>
      </c>
      <c r="E57">
        <v>19158</v>
      </c>
      <c r="G57">
        <f t="shared" si="2"/>
        <v>83765</v>
      </c>
      <c r="I57" s="1">
        <v>40360</v>
      </c>
      <c r="J57">
        <v>36953</v>
      </c>
      <c r="K57">
        <v>37795</v>
      </c>
      <c r="L57">
        <v>9017</v>
      </c>
      <c r="M57">
        <f t="shared" si="3"/>
        <v>83765</v>
      </c>
      <c r="Q57" s="1">
        <v>40360</v>
      </c>
      <c r="R57">
        <f t="shared" si="4"/>
        <v>19158</v>
      </c>
      <c r="S57">
        <f t="shared" si="5"/>
        <v>9017</v>
      </c>
      <c r="T57" s="9">
        <f t="shared" si="6"/>
        <v>2.1246534324054562</v>
      </c>
    </row>
    <row r="58" spans="1:20" x14ac:dyDescent="0.25">
      <c r="A58" s="1">
        <v>40391</v>
      </c>
      <c r="B58">
        <v>48810</v>
      </c>
      <c r="C58">
        <v>1120</v>
      </c>
      <c r="D58">
        <v>16488</v>
      </c>
      <c r="E58">
        <v>20121</v>
      </c>
      <c r="G58">
        <f t="shared" si="2"/>
        <v>86539</v>
      </c>
      <c r="I58" s="1">
        <v>40391</v>
      </c>
      <c r="J58">
        <v>32778</v>
      </c>
      <c r="K58">
        <v>44543</v>
      </c>
      <c r="L58">
        <v>9218</v>
      </c>
      <c r="M58">
        <f t="shared" si="3"/>
        <v>86539</v>
      </c>
      <c r="Q58" s="1">
        <v>40391</v>
      </c>
      <c r="R58">
        <f t="shared" si="4"/>
        <v>20121</v>
      </c>
      <c r="S58">
        <f t="shared" si="5"/>
        <v>9218</v>
      </c>
      <c r="T58" s="9">
        <f t="shared" si="6"/>
        <v>2.1827945324365374</v>
      </c>
    </row>
    <row r="59" spans="1:20" x14ac:dyDescent="0.25">
      <c r="A59" s="1">
        <v>40422</v>
      </c>
      <c r="B59">
        <v>42017</v>
      </c>
      <c r="C59">
        <v>326</v>
      </c>
      <c r="D59">
        <v>24337</v>
      </c>
      <c r="E59">
        <v>38354</v>
      </c>
      <c r="G59">
        <f t="shared" si="2"/>
        <v>105034</v>
      </c>
      <c r="I59" s="1">
        <v>40422</v>
      </c>
      <c r="J59">
        <v>25077</v>
      </c>
      <c r="K59">
        <v>63945</v>
      </c>
      <c r="L59">
        <v>16012</v>
      </c>
      <c r="M59">
        <f t="shared" si="3"/>
        <v>105034</v>
      </c>
      <c r="Q59" s="1">
        <v>40422</v>
      </c>
      <c r="R59">
        <f t="shared" si="4"/>
        <v>38354</v>
      </c>
      <c r="S59">
        <f t="shared" si="5"/>
        <v>16012</v>
      </c>
      <c r="T59" s="9">
        <f t="shared" si="6"/>
        <v>2.3953285036222831</v>
      </c>
    </row>
    <row r="60" spans="1:20" x14ac:dyDescent="0.25">
      <c r="A60" s="1">
        <v>40452</v>
      </c>
      <c r="B60">
        <v>39705</v>
      </c>
      <c r="C60">
        <v>3</v>
      </c>
      <c r="D60">
        <v>29103</v>
      </c>
      <c r="E60">
        <v>36203</v>
      </c>
      <c r="G60">
        <f t="shared" si="2"/>
        <v>105014</v>
      </c>
      <c r="I60" s="1">
        <v>40452</v>
      </c>
      <c r="J60">
        <v>21824</v>
      </c>
      <c r="K60">
        <v>69234</v>
      </c>
      <c r="L60">
        <v>13956</v>
      </c>
      <c r="M60">
        <f t="shared" si="3"/>
        <v>105014</v>
      </c>
      <c r="Q60" s="1">
        <v>40452</v>
      </c>
      <c r="R60">
        <f t="shared" si="4"/>
        <v>36203</v>
      </c>
      <c r="S60">
        <f t="shared" si="5"/>
        <v>13956</v>
      </c>
      <c r="T60" s="9">
        <f t="shared" si="6"/>
        <v>2.5940813986815705</v>
      </c>
    </row>
    <row r="61" spans="1:20" x14ac:dyDescent="0.25">
      <c r="A61" s="1">
        <v>40483</v>
      </c>
      <c r="B61">
        <v>35585</v>
      </c>
      <c r="C61">
        <v>24</v>
      </c>
      <c r="D61">
        <v>28907</v>
      </c>
      <c r="E61">
        <v>39308</v>
      </c>
      <c r="G61">
        <f t="shared" si="2"/>
        <v>103824</v>
      </c>
      <c r="I61" s="1">
        <v>40483</v>
      </c>
      <c r="J61">
        <v>19204</v>
      </c>
      <c r="K61">
        <v>68606</v>
      </c>
      <c r="L61">
        <v>16014</v>
      </c>
      <c r="M61">
        <f t="shared" si="3"/>
        <v>103824</v>
      </c>
      <c r="Q61" s="1">
        <v>40483</v>
      </c>
      <c r="R61">
        <f t="shared" si="4"/>
        <v>39308</v>
      </c>
      <c r="S61">
        <f t="shared" si="5"/>
        <v>16014</v>
      </c>
      <c r="T61" s="9">
        <f t="shared" si="6"/>
        <v>2.454602223054827</v>
      </c>
    </row>
    <row r="62" spans="1:20" x14ac:dyDescent="0.25">
      <c r="A62" s="1">
        <v>40513</v>
      </c>
      <c r="B62">
        <v>33399</v>
      </c>
      <c r="C62">
        <v>3</v>
      </c>
      <c r="D62">
        <v>29330</v>
      </c>
      <c r="E62">
        <v>45723</v>
      </c>
      <c r="G62">
        <f t="shared" si="2"/>
        <v>108455</v>
      </c>
      <c r="I62" s="1">
        <v>40513</v>
      </c>
      <c r="J62">
        <v>17561</v>
      </c>
      <c r="K62">
        <v>73157</v>
      </c>
      <c r="L62">
        <v>17737</v>
      </c>
      <c r="M62">
        <f t="shared" si="3"/>
        <v>108455</v>
      </c>
      <c r="Q62" s="1">
        <v>40513</v>
      </c>
      <c r="R62">
        <f t="shared" si="4"/>
        <v>45723</v>
      </c>
      <c r="S62">
        <f t="shared" si="5"/>
        <v>17737</v>
      </c>
      <c r="T62" s="9">
        <f t="shared" si="6"/>
        <v>2.5778316513502846</v>
      </c>
    </row>
    <row r="63" spans="1:20" x14ac:dyDescent="0.25">
      <c r="A63" s="1">
        <v>40544</v>
      </c>
      <c r="B63">
        <v>40868</v>
      </c>
      <c r="D63">
        <v>36053</v>
      </c>
      <c r="E63">
        <v>31180</v>
      </c>
      <c r="G63">
        <f t="shared" si="2"/>
        <v>108101</v>
      </c>
      <c r="I63" s="1">
        <v>40544</v>
      </c>
      <c r="J63">
        <v>21831</v>
      </c>
      <c r="K63">
        <v>71333</v>
      </c>
      <c r="L63">
        <v>14937</v>
      </c>
      <c r="M63">
        <f t="shared" si="3"/>
        <v>108101</v>
      </c>
      <c r="Q63" s="1">
        <v>40544</v>
      </c>
      <c r="R63">
        <f t="shared" si="4"/>
        <v>31180</v>
      </c>
      <c r="S63">
        <f t="shared" si="5"/>
        <v>14937</v>
      </c>
      <c r="T63" s="9">
        <f t="shared" si="6"/>
        <v>2.0874338890004687</v>
      </c>
    </row>
    <row r="64" spans="1:20" x14ac:dyDescent="0.25">
      <c r="A64" s="1">
        <v>40575</v>
      </c>
      <c r="B64">
        <v>38825</v>
      </c>
      <c r="C64">
        <v>150</v>
      </c>
      <c r="D64">
        <v>24920</v>
      </c>
      <c r="E64">
        <v>36604</v>
      </c>
      <c r="G64">
        <f t="shared" si="2"/>
        <v>100499</v>
      </c>
      <c r="I64" s="1">
        <v>40575</v>
      </c>
      <c r="J64">
        <v>22007</v>
      </c>
      <c r="K64">
        <v>61002</v>
      </c>
      <c r="L64">
        <v>17490</v>
      </c>
      <c r="M64">
        <f t="shared" si="3"/>
        <v>100499</v>
      </c>
      <c r="Q64" s="1">
        <v>40575</v>
      </c>
      <c r="R64">
        <f t="shared" si="4"/>
        <v>36604</v>
      </c>
      <c r="S64">
        <f t="shared" si="5"/>
        <v>17490</v>
      </c>
      <c r="T64" s="9">
        <f t="shared" si="6"/>
        <v>2.0928530588907948</v>
      </c>
    </row>
    <row r="65" spans="1:20" x14ac:dyDescent="0.25">
      <c r="A65" s="1">
        <v>40603</v>
      </c>
      <c r="B65">
        <v>29596</v>
      </c>
      <c r="C65">
        <v>2646</v>
      </c>
      <c r="D65">
        <v>11405</v>
      </c>
      <c r="E65">
        <v>19980</v>
      </c>
      <c r="G65">
        <f t="shared" si="2"/>
        <v>63627</v>
      </c>
      <c r="I65" s="1">
        <v>40603</v>
      </c>
      <c r="J65">
        <v>16260</v>
      </c>
      <c r="K65">
        <v>36850</v>
      </c>
      <c r="L65">
        <v>10517</v>
      </c>
      <c r="M65">
        <f t="shared" si="3"/>
        <v>63627</v>
      </c>
      <c r="Q65" s="1">
        <v>40603</v>
      </c>
      <c r="R65">
        <f t="shared" si="4"/>
        <v>19980</v>
      </c>
      <c r="S65">
        <f t="shared" si="5"/>
        <v>10517</v>
      </c>
      <c r="T65" s="9">
        <f t="shared" si="6"/>
        <v>1.8997813064562137</v>
      </c>
    </row>
    <row r="66" spans="1:20" x14ac:dyDescent="0.25">
      <c r="A66" s="1">
        <v>40634</v>
      </c>
      <c r="B66">
        <v>24320</v>
      </c>
      <c r="C66">
        <v>10</v>
      </c>
      <c r="D66">
        <v>9549</v>
      </c>
      <c r="E66">
        <v>18800</v>
      </c>
      <c r="G66">
        <f t="shared" si="2"/>
        <v>52679</v>
      </c>
      <c r="I66" s="1">
        <v>40634</v>
      </c>
      <c r="J66">
        <v>15307</v>
      </c>
      <c r="K66">
        <v>28254</v>
      </c>
      <c r="L66">
        <v>9118</v>
      </c>
      <c r="M66">
        <f t="shared" si="3"/>
        <v>52679</v>
      </c>
      <c r="Q66" s="1">
        <v>40634</v>
      </c>
      <c r="R66">
        <f t="shared" ref="R66:R97" si="8">VLOOKUP(Q66,A:F,5,0)</f>
        <v>18800</v>
      </c>
      <c r="S66">
        <f t="shared" ref="S66:S97" si="9">VLOOKUP(Q66,I:M,4,0)</f>
        <v>9118</v>
      </c>
      <c r="T66" s="9">
        <f t="shared" si="6"/>
        <v>2.0618556701030926</v>
      </c>
    </row>
    <row r="67" spans="1:20" x14ac:dyDescent="0.25">
      <c r="A67" s="1">
        <v>40664</v>
      </c>
      <c r="B67">
        <v>26412</v>
      </c>
      <c r="D67">
        <v>7249</v>
      </c>
      <c r="E67">
        <v>12820</v>
      </c>
      <c r="G67">
        <f t="shared" ref="G67:G123" si="10">SUM(B67:F67)</f>
        <v>46481</v>
      </c>
      <c r="I67" s="1">
        <v>40664</v>
      </c>
      <c r="J67">
        <v>18349</v>
      </c>
      <c r="K67">
        <v>22304</v>
      </c>
      <c r="L67">
        <v>5828</v>
      </c>
      <c r="M67">
        <f t="shared" ref="M67:M123" si="11">SUM(J67:L67)</f>
        <v>46481</v>
      </c>
      <c r="Q67" s="1">
        <v>40664</v>
      </c>
      <c r="R67">
        <f t="shared" si="8"/>
        <v>12820</v>
      </c>
      <c r="S67">
        <f t="shared" si="9"/>
        <v>5828</v>
      </c>
      <c r="T67" s="9">
        <f t="shared" si="6"/>
        <v>2.1997254632807137</v>
      </c>
    </row>
    <row r="68" spans="1:20" x14ac:dyDescent="0.25">
      <c r="A68" s="1">
        <v>40695</v>
      </c>
      <c r="B68">
        <v>32058</v>
      </c>
      <c r="D68">
        <v>7079</v>
      </c>
      <c r="E68">
        <v>12588</v>
      </c>
      <c r="G68">
        <f t="shared" si="10"/>
        <v>51725</v>
      </c>
      <c r="I68" s="1">
        <v>40695</v>
      </c>
      <c r="J68">
        <v>23616</v>
      </c>
      <c r="K68">
        <v>22239</v>
      </c>
      <c r="L68">
        <v>5870</v>
      </c>
      <c r="M68">
        <f t="shared" si="11"/>
        <v>51725</v>
      </c>
      <c r="Q68" s="1">
        <v>40695</v>
      </c>
      <c r="R68">
        <f t="shared" si="8"/>
        <v>12588</v>
      </c>
      <c r="S68">
        <f t="shared" si="9"/>
        <v>5870</v>
      </c>
      <c r="T68" s="9">
        <f t="shared" si="6"/>
        <v>2.1444633730834752</v>
      </c>
    </row>
    <row r="69" spans="1:20" x14ac:dyDescent="0.25">
      <c r="A69" s="1">
        <v>40725</v>
      </c>
      <c r="B69">
        <v>25325</v>
      </c>
      <c r="D69">
        <v>5161</v>
      </c>
      <c r="E69">
        <v>11579</v>
      </c>
      <c r="G69">
        <f t="shared" si="10"/>
        <v>42065</v>
      </c>
      <c r="I69" s="1">
        <v>40725</v>
      </c>
      <c r="J69">
        <v>19009</v>
      </c>
      <c r="K69">
        <v>16955</v>
      </c>
      <c r="L69">
        <v>6101</v>
      </c>
      <c r="M69">
        <f t="shared" si="11"/>
        <v>42065</v>
      </c>
      <c r="Q69" s="1">
        <v>40725</v>
      </c>
      <c r="R69">
        <f t="shared" si="8"/>
        <v>11579</v>
      </c>
      <c r="S69">
        <f t="shared" si="9"/>
        <v>6101</v>
      </c>
      <c r="T69" s="9">
        <f t="shared" si="6"/>
        <v>1.8978855925258153</v>
      </c>
    </row>
    <row r="70" spans="1:20" x14ac:dyDescent="0.25">
      <c r="A70" s="1">
        <v>40756</v>
      </c>
      <c r="B70">
        <v>34306</v>
      </c>
      <c r="D70">
        <v>8995</v>
      </c>
      <c r="E70">
        <v>13279</v>
      </c>
      <c r="G70">
        <f t="shared" si="10"/>
        <v>56580</v>
      </c>
      <c r="I70" s="1">
        <v>40756</v>
      </c>
      <c r="J70">
        <v>25639</v>
      </c>
      <c r="K70">
        <v>24762</v>
      </c>
      <c r="L70">
        <v>6179</v>
      </c>
      <c r="M70">
        <f t="shared" si="11"/>
        <v>56580</v>
      </c>
      <c r="Q70" s="1">
        <v>40756</v>
      </c>
      <c r="R70">
        <f t="shared" si="8"/>
        <v>13279</v>
      </c>
      <c r="S70">
        <f t="shared" si="9"/>
        <v>6179</v>
      </c>
      <c r="T70" s="9">
        <f t="shared" si="6"/>
        <v>2.1490532448616282</v>
      </c>
    </row>
    <row r="71" spans="1:20" x14ac:dyDescent="0.25">
      <c r="A71" s="1">
        <v>40787</v>
      </c>
      <c r="B71">
        <v>35181</v>
      </c>
      <c r="D71">
        <v>9559</v>
      </c>
      <c r="E71">
        <v>15550</v>
      </c>
      <c r="G71">
        <f t="shared" si="10"/>
        <v>60290</v>
      </c>
      <c r="I71" s="1">
        <v>40787</v>
      </c>
      <c r="J71">
        <v>27102</v>
      </c>
      <c r="K71">
        <v>25880</v>
      </c>
      <c r="L71">
        <v>7308</v>
      </c>
      <c r="M71">
        <f t="shared" si="11"/>
        <v>60290</v>
      </c>
      <c r="Q71" s="1">
        <v>40787</v>
      </c>
      <c r="R71">
        <f t="shared" si="8"/>
        <v>15550</v>
      </c>
      <c r="S71">
        <f t="shared" si="9"/>
        <v>7308</v>
      </c>
      <c r="T71" s="9">
        <f t="shared" si="6"/>
        <v>2.1278051450465245</v>
      </c>
    </row>
    <row r="72" spans="1:20" x14ac:dyDescent="0.25">
      <c r="A72" s="1">
        <v>40817</v>
      </c>
      <c r="B72">
        <v>28354</v>
      </c>
      <c r="D72">
        <v>15321</v>
      </c>
      <c r="E72">
        <v>16474</v>
      </c>
      <c r="G72">
        <f t="shared" si="10"/>
        <v>60149</v>
      </c>
      <c r="I72" s="1">
        <v>40817</v>
      </c>
      <c r="J72">
        <v>20424</v>
      </c>
      <c r="K72">
        <v>32509</v>
      </c>
      <c r="L72">
        <v>7216</v>
      </c>
      <c r="M72">
        <f t="shared" si="11"/>
        <v>60149</v>
      </c>
      <c r="Q72" s="1">
        <v>40817</v>
      </c>
      <c r="R72">
        <f t="shared" si="8"/>
        <v>16474</v>
      </c>
      <c r="S72">
        <f t="shared" si="9"/>
        <v>7216</v>
      </c>
      <c r="T72" s="9">
        <f t="shared" si="6"/>
        <v>2.2829822616407984</v>
      </c>
    </row>
    <row r="73" spans="1:20" x14ac:dyDescent="0.25">
      <c r="A73" s="1">
        <v>40848</v>
      </c>
      <c r="B73">
        <v>22321</v>
      </c>
      <c r="C73">
        <v>16</v>
      </c>
      <c r="D73">
        <v>16181</v>
      </c>
      <c r="E73">
        <v>15358</v>
      </c>
      <c r="G73">
        <f t="shared" si="10"/>
        <v>53876</v>
      </c>
      <c r="I73" s="1">
        <v>40848</v>
      </c>
      <c r="J73">
        <v>15277</v>
      </c>
      <c r="K73">
        <v>31848</v>
      </c>
      <c r="L73">
        <v>6751</v>
      </c>
      <c r="M73">
        <f t="shared" si="11"/>
        <v>53876</v>
      </c>
      <c r="Q73" s="1">
        <v>40848</v>
      </c>
      <c r="R73">
        <f t="shared" si="8"/>
        <v>15358</v>
      </c>
      <c r="S73">
        <f t="shared" si="9"/>
        <v>6751</v>
      </c>
      <c r="T73" s="9">
        <f t="shared" si="6"/>
        <v>2.2749222337431489</v>
      </c>
    </row>
    <row r="74" spans="1:20" x14ac:dyDescent="0.25">
      <c r="A74" s="1">
        <v>40878</v>
      </c>
      <c r="B74">
        <v>12661</v>
      </c>
      <c r="D74">
        <v>13058</v>
      </c>
      <c r="E74">
        <v>17850</v>
      </c>
      <c r="G74">
        <f t="shared" si="10"/>
        <v>43569</v>
      </c>
      <c r="I74" s="1">
        <v>40878</v>
      </c>
      <c r="J74">
        <v>7570</v>
      </c>
      <c r="K74">
        <v>30460</v>
      </c>
      <c r="L74">
        <v>5539</v>
      </c>
      <c r="M74">
        <f t="shared" si="11"/>
        <v>43569</v>
      </c>
      <c r="Q74" s="1">
        <v>40878</v>
      </c>
      <c r="R74">
        <f t="shared" si="8"/>
        <v>17850</v>
      </c>
      <c r="S74">
        <f t="shared" si="9"/>
        <v>5539</v>
      </c>
      <c r="T74" s="9">
        <f t="shared" si="6"/>
        <v>3.2226033580068605</v>
      </c>
    </row>
    <row r="75" spans="1:20" x14ac:dyDescent="0.25">
      <c r="A75" s="1">
        <v>40909</v>
      </c>
      <c r="B75">
        <v>26095</v>
      </c>
      <c r="D75">
        <v>21613</v>
      </c>
      <c r="E75">
        <v>21469</v>
      </c>
      <c r="G75">
        <f t="shared" si="10"/>
        <v>69177</v>
      </c>
      <c r="I75" s="1">
        <v>40909</v>
      </c>
      <c r="J75">
        <v>16546</v>
      </c>
      <c r="K75">
        <v>40253</v>
      </c>
      <c r="L75">
        <v>12378</v>
      </c>
      <c r="M75">
        <f t="shared" si="11"/>
        <v>69177</v>
      </c>
      <c r="Q75" s="1">
        <v>40909</v>
      </c>
      <c r="R75">
        <f t="shared" si="8"/>
        <v>21469</v>
      </c>
      <c r="S75">
        <f t="shared" si="9"/>
        <v>12378</v>
      </c>
      <c r="T75" s="9">
        <f t="shared" si="6"/>
        <v>1.7344482145742446</v>
      </c>
    </row>
    <row r="76" spans="1:20" x14ac:dyDescent="0.25">
      <c r="A76" s="1">
        <v>40940</v>
      </c>
      <c r="B76">
        <v>35310</v>
      </c>
      <c r="D76">
        <v>35057</v>
      </c>
      <c r="E76">
        <v>19436</v>
      </c>
      <c r="G76">
        <f t="shared" si="10"/>
        <v>89803</v>
      </c>
      <c r="I76" s="1">
        <v>40940</v>
      </c>
      <c r="J76">
        <v>20135</v>
      </c>
      <c r="K76">
        <v>59797</v>
      </c>
      <c r="L76">
        <v>9871</v>
      </c>
      <c r="M76">
        <f t="shared" si="11"/>
        <v>89803</v>
      </c>
      <c r="Q76" s="1">
        <v>40940</v>
      </c>
      <c r="R76">
        <f t="shared" si="8"/>
        <v>19436</v>
      </c>
      <c r="S76">
        <f t="shared" si="9"/>
        <v>9871</v>
      </c>
      <c r="T76" s="9">
        <f t="shared" si="6"/>
        <v>1.9690001013068585</v>
      </c>
    </row>
    <row r="77" spans="1:20" x14ac:dyDescent="0.25">
      <c r="A77" s="1">
        <v>40969</v>
      </c>
      <c r="B77">
        <v>26813</v>
      </c>
      <c r="D77">
        <v>28239</v>
      </c>
      <c r="E77">
        <v>29010</v>
      </c>
      <c r="G77">
        <f t="shared" si="10"/>
        <v>84062</v>
      </c>
      <c r="I77" s="1">
        <v>40969</v>
      </c>
      <c r="J77">
        <v>14854</v>
      </c>
      <c r="K77">
        <v>52700</v>
      </c>
      <c r="L77">
        <v>16508</v>
      </c>
      <c r="M77">
        <f t="shared" si="11"/>
        <v>84062</v>
      </c>
      <c r="Q77" s="1">
        <v>40969</v>
      </c>
      <c r="R77">
        <f t="shared" si="8"/>
        <v>29010</v>
      </c>
      <c r="S77">
        <f t="shared" si="9"/>
        <v>16508</v>
      </c>
      <c r="T77" s="9">
        <f t="shared" si="6"/>
        <v>1.757329779500848</v>
      </c>
    </row>
    <row r="78" spans="1:20" x14ac:dyDescent="0.25">
      <c r="A78" s="1">
        <v>41000</v>
      </c>
      <c r="B78">
        <v>37089</v>
      </c>
      <c r="D78">
        <v>30739</v>
      </c>
      <c r="E78">
        <v>18814</v>
      </c>
      <c r="G78">
        <f t="shared" si="10"/>
        <v>86642</v>
      </c>
      <c r="I78" s="1">
        <v>41000</v>
      </c>
      <c r="J78">
        <v>22249</v>
      </c>
      <c r="K78">
        <v>52285</v>
      </c>
      <c r="L78">
        <v>12108</v>
      </c>
      <c r="M78">
        <f t="shared" si="11"/>
        <v>86642</v>
      </c>
      <c r="Q78" s="1">
        <v>41000</v>
      </c>
      <c r="R78">
        <f t="shared" si="8"/>
        <v>18814</v>
      </c>
      <c r="S78">
        <f t="shared" si="9"/>
        <v>12108</v>
      </c>
      <c r="T78" s="9">
        <f t="shared" si="6"/>
        <v>1.5538486950776347</v>
      </c>
    </row>
    <row r="79" spans="1:20" x14ac:dyDescent="0.25">
      <c r="A79" s="1">
        <v>41030</v>
      </c>
      <c r="B79">
        <v>26357</v>
      </c>
      <c r="C79">
        <v>28</v>
      </c>
      <c r="D79">
        <v>17578</v>
      </c>
      <c r="E79">
        <v>22353</v>
      </c>
      <c r="G79">
        <f t="shared" si="10"/>
        <v>66316</v>
      </c>
      <c r="I79" s="1">
        <v>41030</v>
      </c>
      <c r="J79">
        <v>16856</v>
      </c>
      <c r="K79">
        <v>37066</v>
      </c>
      <c r="L79">
        <v>12394</v>
      </c>
      <c r="M79">
        <f t="shared" si="11"/>
        <v>66316</v>
      </c>
      <c r="Q79" s="1">
        <v>41030</v>
      </c>
      <c r="R79">
        <f t="shared" si="8"/>
        <v>22353</v>
      </c>
      <c r="S79">
        <f t="shared" si="9"/>
        <v>12394</v>
      </c>
      <c r="T79" s="9">
        <f t="shared" si="6"/>
        <v>1.8035339680490561</v>
      </c>
    </row>
    <row r="80" spans="1:20" x14ac:dyDescent="0.25">
      <c r="A80" s="1">
        <v>41061</v>
      </c>
      <c r="B80">
        <v>49421</v>
      </c>
      <c r="D80">
        <v>25831</v>
      </c>
      <c r="E80">
        <v>23679</v>
      </c>
      <c r="G80">
        <f t="shared" si="10"/>
        <v>98931</v>
      </c>
      <c r="I80" s="1">
        <v>41061</v>
      </c>
      <c r="J80">
        <v>37261</v>
      </c>
      <c r="K80">
        <v>46044</v>
      </c>
      <c r="L80">
        <v>15626</v>
      </c>
      <c r="M80">
        <f t="shared" si="11"/>
        <v>98931</v>
      </c>
      <c r="Q80" s="1">
        <v>41061</v>
      </c>
      <c r="R80">
        <f t="shared" si="8"/>
        <v>23679</v>
      </c>
      <c r="S80">
        <f t="shared" si="9"/>
        <v>15626</v>
      </c>
      <c r="T80" s="9">
        <f t="shared" si="6"/>
        <v>1.5153590170229105</v>
      </c>
    </row>
    <row r="81" spans="1:20" x14ac:dyDescent="0.25">
      <c r="A81" s="1">
        <v>41091</v>
      </c>
      <c r="B81">
        <v>37815</v>
      </c>
      <c r="D81">
        <v>18827</v>
      </c>
      <c r="E81">
        <v>21930</v>
      </c>
      <c r="G81">
        <f t="shared" si="10"/>
        <v>78572</v>
      </c>
      <c r="I81" s="1">
        <v>41091</v>
      </c>
      <c r="J81">
        <v>26911</v>
      </c>
      <c r="K81">
        <v>36784</v>
      </c>
      <c r="L81">
        <v>14877</v>
      </c>
      <c r="M81">
        <f t="shared" si="11"/>
        <v>78572</v>
      </c>
      <c r="Q81" s="1">
        <v>41091</v>
      </c>
      <c r="R81">
        <f t="shared" si="8"/>
        <v>21930</v>
      </c>
      <c r="S81">
        <f t="shared" si="9"/>
        <v>14877</v>
      </c>
      <c r="T81" s="9">
        <f t="shared" si="6"/>
        <v>1.4740875176446864</v>
      </c>
    </row>
    <row r="82" spans="1:20" x14ac:dyDescent="0.25">
      <c r="A82" s="1">
        <v>41122</v>
      </c>
      <c r="B82">
        <v>51040</v>
      </c>
      <c r="D82">
        <v>26774</v>
      </c>
      <c r="E82">
        <v>25715</v>
      </c>
      <c r="G82">
        <f t="shared" si="10"/>
        <v>103529</v>
      </c>
      <c r="I82" s="1">
        <v>41122</v>
      </c>
      <c r="J82">
        <v>37843</v>
      </c>
      <c r="K82">
        <v>51984</v>
      </c>
      <c r="L82">
        <v>13702</v>
      </c>
      <c r="M82">
        <f t="shared" si="11"/>
        <v>103529</v>
      </c>
      <c r="Q82" s="1">
        <v>41122</v>
      </c>
      <c r="R82">
        <f t="shared" si="8"/>
        <v>25715</v>
      </c>
      <c r="S82">
        <f t="shared" si="9"/>
        <v>13702</v>
      </c>
      <c r="T82" s="9">
        <f t="shared" si="6"/>
        <v>1.8767333236023938</v>
      </c>
    </row>
    <row r="83" spans="1:20" x14ac:dyDescent="0.25">
      <c r="A83" s="1">
        <v>41153</v>
      </c>
      <c r="B83">
        <v>34014</v>
      </c>
      <c r="D83">
        <v>25041</v>
      </c>
      <c r="E83">
        <v>20098</v>
      </c>
      <c r="G83">
        <f t="shared" si="10"/>
        <v>79153</v>
      </c>
      <c r="I83" s="1">
        <v>41153</v>
      </c>
      <c r="J83">
        <v>23418</v>
      </c>
      <c r="K83">
        <v>44391</v>
      </c>
      <c r="L83">
        <v>11344</v>
      </c>
      <c r="M83">
        <f t="shared" si="11"/>
        <v>79153</v>
      </c>
      <c r="Q83" s="1">
        <v>41153</v>
      </c>
      <c r="R83">
        <f t="shared" si="8"/>
        <v>20098</v>
      </c>
      <c r="S83">
        <f t="shared" si="9"/>
        <v>11344</v>
      </c>
      <c r="T83" s="9">
        <f t="shared" si="6"/>
        <v>1.7716854724964739</v>
      </c>
    </row>
    <row r="84" spans="1:20" x14ac:dyDescent="0.25">
      <c r="A84" s="1">
        <v>41183</v>
      </c>
      <c r="B84">
        <v>50866</v>
      </c>
      <c r="D84">
        <v>38833</v>
      </c>
      <c r="E84">
        <v>23340</v>
      </c>
      <c r="G84">
        <f t="shared" si="10"/>
        <v>113039</v>
      </c>
      <c r="I84" s="1">
        <v>41183</v>
      </c>
      <c r="J84">
        <v>34325</v>
      </c>
      <c r="K84">
        <v>66015</v>
      </c>
      <c r="L84">
        <v>12699</v>
      </c>
      <c r="M84">
        <f t="shared" si="11"/>
        <v>113039</v>
      </c>
      <c r="Q84" s="1">
        <v>41183</v>
      </c>
      <c r="R84">
        <f t="shared" si="8"/>
        <v>23340</v>
      </c>
      <c r="S84">
        <f t="shared" si="9"/>
        <v>12699</v>
      </c>
      <c r="T84" s="9">
        <f t="shared" si="6"/>
        <v>1.8379399952752185</v>
      </c>
    </row>
    <row r="85" spans="1:20" x14ac:dyDescent="0.25">
      <c r="A85" s="1">
        <v>41214</v>
      </c>
      <c r="B85">
        <v>70841</v>
      </c>
      <c r="C85">
        <v>1190</v>
      </c>
      <c r="D85">
        <v>49783</v>
      </c>
      <c r="E85">
        <v>40576</v>
      </c>
      <c r="G85">
        <f t="shared" si="10"/>
        <v>162390</v>
      </c>
      <c r="I85" s="1">
        <v>41214</v>
      </c>
      <c r="J85">
        <v>46278</v>
      </c>
      <c r="K85">
        <v>95074</v>
      </c>
      <c r="L85">
        <v>21038</v>
      </c>
      <c r="M85">
        <f t="shared" si="11"/>
        <v>162390</v>
      </c>
      <c r="Q85" s="1">
        <v>41214</v>
      </c>
      <c r="R85">
        <f t="shared" si="8"/>
        <v>40576</v>
      </c>
      <c r="S85">
        <f t="shared" si="9"/>
        <v>21038</v>
      </c>
      <c r="T85" s="9">
        <f t="shared" si="6"/>
        <v>1.9287004468105333</v>
      </c>
    </row>
    <row r="86" spans="1:20" x14ac:dyDescent="0.25">
      <c r="A86" s="1">
        <v>41244</v>
      </c>
      <c r="B86">
        <v>26902</v>
      </c>
      <c r="C86">
        <v>7</v>
      </c>
      <c r="D86">
        <v>23978</v>
      </c>
      <c r="E86">
        <v>16073</v>
      </c>
      <c r="G86">
        <f t="shared" si="10"/>
        <v>66960</v>
      </c>
      <c r="I86" s="1">
        <v>41244</v>
      </c>
      <c r="J86">
        <v>16571</v>
      </c>
      <c r="K86">
        <v>41588</v>
      </c>
      <c r="L86">
        <v>8801</v>
      </c>
      <c r="M86">
        <f t="shared" si="11"/>
        <v>66960</v>
      </c>
      <c r="Q86" s="1">
        <v>41244</v>
      </c>
      <c r="R86">
        <f t="shared" si="8"/>
        <v>16073</v>
      </c>
      <c r="S86">
        <f t="shared" si="9"/>
        <v>8801</v>
      </c>
      <c r="T86" s="9">
        <f t="shared" si="6"/>
        <v>1.8262697420747642</v>
      </c>
    </row>
    <row r="87" spans="1:20" x14ac:dyDescent="0.25">
      <c r="A87" s="1">
        <v>41275</v>
      </c>
      <c r="B87">
        <v>42899</v>
      </c>
      <c r="D87">
        <v>39760</v>
      </c>
      <c r="E87">
        <v>31891</v>
      </c>
      <c r="G87">
        <f t="shared" si="10"/>
        <v>114550</v>
      </c>
      <c r="I87" s="1">
        <v>41275</v>
      </c>
      <c r="J87">
        <v>25177</v>
      </c>
      <c r="K87">
        <v>73417</v>
      </c>
      <c r="L87">
        <v>15956</v>
      </c>
      <c r="M87">
        <f t="shared" si="11"/>
        <v>114550</v>
      </c>
      <c r="Q87" s="1">
        <v>41275</v>
      </c>
      <c r="R87">
        <f t="shared" si="8"/>
        <v>31891</v>
      </c>
      <c r="S87">
        <f t="shared" si="9"/>
        <v>15956</v>
      </c>
      <c r="T87" s="9">
        <f t="shared" si="6"/>
        <v>1.9986838806718477</v>
      </c>
    </row>
    <row r="88" spans="1:20" x14ac:dyDescent="0.25">
      <c r="A88" s="1">
        <v>41306</v>
      </c>
      <c r="B88">
        <v>41255</v>
      </c>
      <c r="D88">
        <v>38300</v>
      </c>
      <c r="E88">
        <v>28858</v>
      </c>
      <c r="G88">
        <f t="shared" si="10"/>
        <v>108413</v>
      </c>
      <c r="I88" s="1">
        <v>41306</v>
      </c>
      <c r="J88">
        <v>25580</v>
      </c>
      <c r="K88">
        <v>67911</v>
      </c>
      <c r="L88">
        <v>14922</v>
      </c>
      <c r="M88">
        <f t="shared" si="11"/>
        <v>108413</v>
      </c>
      <c r="Q88" s="1">
        <v>41306</v>
      </c>
      <c r="R88">
        <f t="shared" si="8"/>
        <v>28858</v>
      </c>
      <c r="S88">
        <f t="shared" si="9"/>
        <v>14922</v>
      </c>
      <c r="T88" s="9">
        <f t="shared" si="6"/>
        <v>1.9339230666130545</v>
      </c>
    </row>
    <row r="89" spans="1:20" x14ac:dyDescent="0.25">
      <c r="A89" s="1">
        <v>41334</v>
      </c>
      <c r="B89">
        <v>48881</v>
      </c>
      <c r="C89">
        <v>8</v>
      </c>
      <c r="D89">
        <v>48117</v>
      </c>
      <c r="E89">
        <v>30621</v>
      </c>
      <c r="G89">
        <f t="shared" si="10"/>
        <v>127627</v>
      </c>
      <c r="I89" s="1">
        <v>41334</v>
      </c>
      <c r="J89">
        <v>28914</v>
      </c>
      <c r="K89">
        <v>82614</v>
      </c>
      <c r="L89">
        <v>16099</v>
      </c>
      <c r="M89">
        <f t="shared" si="11"/>
        <v>127627</v>
      </c>
      <c r="Q89" s="1">
        <v>41334</v>
      </c>
      <c r="R89">
        <f t="shared" si="8"/>
        <v>30621</v>
      </c>
      <c r="S89">
        <f t="shared" si="9"/>
        <v>16099</v>
      </c>
      <c r="T89" s="9">
        <f t="shared" si="6"/>
        <v>1.9020436051928691</v>
      </c>
    </row>
    <row r="90" spans="1:20" x14ac:dyDescent="0.25">
      <c r="A90" s="1">
        <v>41365</v>
      </c>
      <c r="B90">
        <v>53226</v>
      </c>
      <c r="C90">
        <v>7</v>
      </c>
      <c r="D90">
        <v>40468</v>
      </c>
      <c r="E90">
        <v>33414</v>
      </c>
      <c r="G90">
        <f t="shared" si="10"/>
        <v>127115</v>
      </c>
      <c r="I90" s="1">
        <v>41365</v>
      </c>
      <c r="J90">
        <v>35275</v>
      </c>
      <c r="K90">
        <v>75037</v>
      </c>
      <c r="L90">
        <v>16803</v>
      </c>
      <c r="M90">
        <f t="shared" si="11"/>
        <v>127115</v>
      </c>
      <c r="Q90" s="1">
        <v>41365</v>
      </c>
      <c r="R90">
        <f t="shared" si="8"/>
        <v>33414</v>
      </c>
      <c r="S90">
        <f t="shared" si="9"/>
        <v>16803</v>
      </c>
      <c r="T90" s="9">
        <f t="shared" si="6"/>
        <v>1.9885734690233887</v>
      </c>
    </row>
    <row r="91" spans="1:20" x14ac:dyDescent="0.25">
      <c r="A91" s="1">
        <v>41395</v>
      </c>
      <c r="B91">
        <v>49248</v>
      </c>
      <c r="C91">
        <v>88</v>
      </c>
      <c r="D91">
        <v>26944</v>
      </c>
      <c r="E91">
        <v>28554</v>
      </c>
      <c r="G91">
        <f t="shared" si="10"/>
        <v>104834</v>
      </c>
      <c r="I91" s="1">
        <v>41395</v>
      </c>
      <c r="J91">
        <v>34586</v>
      </c>
      <c r="K91">
        <v>55021</v>
      </c>
      <c r="L91">
        <v>15227</v>
      </c>
      <c r="M91">
        <f t="shared" si="11"/>
        <v>104834</v>
      </c>
      <c r="Q91" s="1">
        <v>41395</v>
      </c>
      <c r="R91">
        <f t="shared" si="8"/>
        <v>28554</v>
      </c>
      <c r="S91">
        <f t="shared" si="9"/>
        <v>15227</v>
      </c>
      <c r="T91" s="9">
        <f t="shared" si="6"/>
        <v>1.8752216457608195</v>
      </c>
    </row>
    <row r="92" spans="1:20" x14ac:dyDescent="0.25">
      <c r="A92" s="1">
        <v>41426</v>
      </c>
      <c r="B92">
        <v>62348</v>
      </c>
      <c r="C92">
        <v>19</v>
      </c>
      <c r="D92">
        <v>33375</v>
      </c>
      <c r="E92">
        <v>30201</v>
      </c>
      <c r="G92">
        <f t="shared" si="10"/>
        <v>125943</v>
      </c>
      <c r="I92" s="1">
        <v>41426</v>
      </c>
      <c r="J92">
        <v>44700</v>
      </c>
      <c r="K92">
        <v>66427</v>
      </c>
      <c r="L92">
        <v>14816</v>
      </c>
      <c r="M92">
        <f t="shared" si="11"/>
        <v>125943</v>
      </c>
      <c r="Q92" s="1">
        <v>41426</v>
      </c>
      <c r="R92">
        <f t="shared" si="8"/>
        <v>30201</v>
      </c>
      <c r="S92">
        <f t="shared" si="9"/>
        <v>14816</v>
      </c>
      <c r="T92" s="9">
        <f t="shared" si="6"/>
        <v>2.0384044276457884</v>
      </c>
    </row>
    <row r="93" spans="1:20" x14ac:dyDescent="0.25">
      <c r="A93" s="1">
        <v>41456</v>
      </c>
      <c r="B93">
        <v>52562</v>
      </c>
      <c r="D93">
        <v>26413</v>
      </c>
      <c r="E93">
        <v>22463</v>
      </c>
      <c r="G93">
        <f t="shared" si="10"/>
        <v>101438</v>
      </c>
      <c r="I93" s="1">
        <v>41456</v>
      </c>
      <c r="J93">
        <v>39068</v>
      </c>
      <c r="K93">
        <v>51039</v>
      </c>
      <c r="L93">
        <v>11331</v>
      </c>
      <c r="M93">
        <f t="shared" si="11"/>
        <v>101438</v>
      </c>
      <c r="Q93" s="1">
        <v>41456</v>
      </c>
      <c r="R93">
        <f t="shared" si="8"/>
        <v>22463</v>
      </c>
      <c r="S93">
        <f t="shared" si="9"/>
        <v>11331</v>
      </c>
      <c r="T93" s="9">
        <f t="shared" si="6"/>
        <v>1.9824375606742564</v>
      </c>
    </row>
    <row r="94" spans="1:20" x14ac:dyDescent="0.25">
      <c r="A94" s="1">
        <v>41487</v>
      </c>
      <c r="B94">
        <v>62201</v>
      </c>
      <c r="C94">
        <v>1</v>
      </c>
      <c r="D94">
        <v>23108</v>
      </c>
      <c r="E94">
        <v>18785</v>
      </c>
      <c r="G94">
        <f t="shared" si="10"/>
        <v>104095</v>
      </c>
      <c r="I94" s="1">
        <v>41487</v>
      </c>
      <c r="J94">
        <v>47444</v>
      </c>
      <c r="K94">
        <v>46731</v>
      </c>
      <c r="L94">
        <v>9920</v>
      </c>
      <c r="M94">
        <f t="shared" si="11"/>
        <v>104095</v>
      </c>
      <c r="Q94" s="1">
        <v>41487</v>
      </c>
      <c r="R94">
        <f t="shared" si="8"/>
        <v>18785</v>
      </c>
      <c r="S94">
        <f t="shared" si="9"/>
        <v>9920</v>
      </c>
      <c r="T94" s="9">
        <f t="shared" si="6"/>
        <v>1.893649193548387</v>
      </c>
    </row>
    <row r="95" spans="1:20" x14ac:dyDescent="0.25">
      <c r="A95" s="1">
        <v>41518</v>
      </c>
      <c r="B95">
        <v>44797</v>
      </c>
      <c r="C95">
        <v>90</v>
      </c>
      <c r="D95">
        <v>12617</v>
      </c>
      <c r="E95">
        <v>16394</v>
      </c>
      <c r="G95">
        <f t="shared" si="10"/>
        <v>73898</v>
      </c>
      <c r="I95" s="1">
        <v>41518</v>
      </c>
      <c r="J95">
        <v>35267</v>
      </c>
      <c r="K95">
        <v>30127</v>
      </c>
      <c r="L95">
        <v>8504</v>
      </c>
      <c r="M95">
        <f t="shared" si="11"/>
        <v>73898</v>
      </c>
      <c r="Q95" s="1">
        <v>41518</v>
      </c>
      <c r="R95">
        <f t="shared" si="8"/>
        <v>16394</v>
      </c>
      <c r="S95">
        <f t="shared" si="9"/>
        <v>8504</v>
      </c>
      <c r="T95" s="9">
        <f t="shared" si="6"/>
        <v>1.9277986829727187</v>
      </c>
    </row>
    <row r="96" spans="1:20" x14ac:dyDescent="0.25">
      <c r="A96" s="1">
        <v>41548</v>
      </c>
      <c r="B96">
        <v>41608</v>
      </c>
      <c r="D96">
        <v>8614</v>
      </c>
      <c r="E96">
        <v>13595</v>
      </c>
      <c r="G96">
        <f t="shared" si="10"/>
        <v>63817</v>
      </c>
      <c r="I96" s="1">
        <v>41548</v>
      </c>
      <c r="J96">
        <v>33777</v>
      </c>
      <c r="K96">
        <v>22632</v>
      </c>
      <c r="L96">
        <v>7408</v>
      </c>
      <c r="M96">
        <f t="shared" si="11"/>
        <v>63817</v>
      </c>
      <c r="Q96" s="1">
        <v>41548</v>
      </c>
      <c r="R96">
        <f t="shared" si="8"/>
        <v>13595</v>
      </c>
      <c r="S96">
        <f t="shared" si="9"/>
        <v>7408</v>
      </c>
      <c r="T96" s="9">
        <f t="shared" si="6"/>
        <v>1.8351781857451404</v>
      </c>
    </row>
    <row r="97" spans="1:20" x14ac:dyDescent="0.25">
      <c r="A97" s="1">
        <v>41579</v>
      </c>
      <c r="B97">
        <v>50491</v>
      </c>
      <c r="C97">
        <v>969</v>
      </c>
      <c r="D97">
        <v>7821</v>
      </c>
      <c r="E97">
        <v>12144</v>
      </c>
      <c r="G97">
        <f t="shared" si="10"/>
        <v>71425</v>
      </c>
      <c r="I97" s="1">
        <v>41579</v>
      </c>
      <c r="J97">
        <v>40694</v>
      </c>
      <c r="K97">
        <v>24532</v>
      </c>
      <c r="L97">
        <v>6199</v>
      </c>
      <c r="M97">
        <f t="shared" si="11"/>
        <v>71425</v>
      </c>
      <c r="Q97" s="1">
        <v>41579</v>
      </c>
      <c r="R97">
        <f t="shared" si="8"/>
        <v>12144</v>
      </c>
      <c r="S97">
        <f t="shared" si="9"/>
        <v>6199</v>
      </c>
      <c r="T97" s="9">
        <f t="shared" si="6"/>
        <v>1.9590256492982738</v>
      </c>
    </row>
    <row r="98" spans="1:20" x14ac:dyDescent="0.25">
      <c r="A98" s="1">
        <v>41609</v>
      </c>
      <c r="B98">
        <v>51152</v>
      </c>
      <c r="C98">
        <v>1125</v>
      </c>
      <c r="D98">
        <v>9232</v>
      </c>
      <c r="E98">
        <v>8436</v>
      </c>
      <c r="G98">
        <f t="shared" si="10"/>
        <v>69945</v>
      </c>
      <c r="I98" s="1">
        <v>41609</v>
      </c>
      <c r="J98">
        <v>40788</v>
      </c>
      <c r="K98">
        <v>25298</v>
      </c>
      <c r="L98">
        <v>3859</v>
      </c>
      <c r="M98">
        <f t="shared" si="11"/>
        <v>69945</v>
      </c>
      <c r="Q98" s="1">
        <v>41609</v>
      </c>
      <c r="R98">
        <f t="shared" ref="R98:R129" si="12">VLOOKUP(Q98,A:F,5,0)</f>
        <v>8436</v>
      </c>
      <c r="S98">
        <f t="shared" ref="S98:S123" si="13">VLOOKUP(Q98,I:M,4,0)</f>
        <v>3859</v>
      </c>
      <c r="T98" s="9">
        <f t="shared" si="6"/>
        <v>2.1860585643949211</v>
      </c>
    </row>
    <row r="99" spans="1:20" x14ac:dyDescent="0.25">
      <c r="A99" s="1">
        <v>41640</v>
      </c>
      <c r="B99">
        <v>41585</v>
      </c>
      <c r="D99">
        <v>8940</v>
      </c>
      <c r="E99">
        <v>10673</v>
      </c>
      <c r="G99">
        <f t="shared" si="10"/>
        <v>61198</v>
      </c>
      <c r="I99" s="1">
        <v>41640</v>
      </c>
      <c r="J99">
        <v>32552</v>
      </c>
      <c r="K99">
        <v>23301</v>
      </c>
      <c r="L99">
        <v>5345</v>
      </c>
      <c r="M99">
        <f t="shared" si="11"/>
        <v>61198</v>
      </c>
      <c r="Q99" s="1">
        <v>41640</v>
      </c>
      <c r="R99">
        <f t="shared" si="12"/>
        <v>10673</v>
      </c>
      <c r="S99">
        <f t="shared" si="13"/>
        <v>5345</v>
      </c>
      <c r="T99" s="9">
        <f t="shared" si="6"/>
        <v>1.996819457436857</v>
      </c>
    </row>
    <row r="100" spans="1:20" x14ac:dyDescent="0.25">
      <c r="A100" s="1">
        <v>41671</v>
      </c>
      <c r="B100">
        <v>40661</v>
      </c>
      <c r="D100">
        <v>7816</v>
      </c>
      <c r="E100">
        <v>9613</v>
      </c>
      <c r="F100">
        <v>433</v>
      </c>
      <c r="G100">
        <f t="shared" si="10"/>
        <v>58523</v>
      </c>
      <c r="I100" s="1">
        <v>41671</v>
      </c>
      <c r="J100">
        <v>32575</v>
      </c>
      <c r="K100">
        <v>21236</v>
      </c>
      <c r="L100">
        <v>4712</v>
      </c>
      <c r="M100">
        <f t="shared" si="11"/>
        <v>58523</v>
      </c>
      <c r="Q100" s="1">
        <v>41671</v>
      </c>
      <c r="R100">
        <f t="shared" si="12"/>
        <v>9613</v>
      </c>
      <c r="S100">
        <f t="shared" si="13"/>
        <v>4712</v>
      </c>
      <c r="T100" s="9">
        <f>AVERAGE(T45:T99)</f>
        <v>1.990468475763145</v>
      </c>
    </row>
    <row r="101" spans="1:20" x14ac:dyDescent="0.25">
      <c r="A101" s="1">
        <v>41699</v>
      </c>
      <c r="B101">
        <v>31931</v>
      </c>
      <c r="C101">
        <v>16</v>
      </c>
      <c r="D101">
        <v>2610</v>
      </c>
      <c r="E101">
        <v>2000</v>
      </c>
      <c r="F101">
        <v>7802</v>
      </c>
      <c r="G101">
        <f t="shared" si="10"/>
        <v>44359</v>
      </c>
      <c r="I101" s="1">
        <v>41699</v>
      </c>
      <c r="J101">
        <v>25292</v>
      </c>
      <c r="K101">
        <v>15910</v>
      </c>
      <c r="L101">
        <v>3157</v>
      </c>
      <c r="M101">
        <f t="shared" si="11"/>
        <v>44359</v>
      </c>
      <c r="Q101" s="1">
        <v>41699</v>
      </c>
      <c r="R101">
        <f t="shared" si="12"/>
        <v>2000</v>
      </c>
      <c r="S101">
        <f t="shared" si="13"/>
        <v>3157</v>
      </c>
    </row>
    <row r="102" spans="1:20" x14ac:dyDescent="0.25">
      <c r="A102" s="1">
        <v>41730</v>
      </c>
      <c r="B102">
        <v>41535</v>
      </c>
      <c r="D102">
        <v>488</v>
      </c>
      <c r="E102">
        <v>203</v>
      </c>
      <c r="F102">
        <v>13317</v>
      </c>
      <c r="G102">
        <f t="shared" si="10"/>
        <v>55543</v>
      </c>
      <c r="I102" s="1">
        <v>41730</v>
      </c>
      <c r="J102">
        <v>33556</v>
      </c>
      <c r="K102">
        <v>18649</v>
      </c>
      <c r="L102">
        <v>3338</v>
      </c>
      <c r="M102">
        <f t="shared" si="11"/>
        <v>55543</v>
      </c>
      <c r="Q102" s="1">
        <v>41730</v>
      </c>
      <c r="R102">
        <f t="shared" si="12"/>
        <v>203</v>
      </c>
      <c r="S102">
        <f t="shared" si="13"/>
        <v>3338</v>
      </c>
    </row>
    <row r="103" spans="1:20" x14ac:dyDescent="0.25">
      <c r="A103" s="1">
        <v>41760</v>
      </c>
      <c r="B103">
        <v>44793</v>
      </c>
      <c r="D103">
        <v>144</v>
      </c>
      <c r="E103">
        <v>50</v>
      </c>
      <c r="F103">
        <v>13013</v>
      </c>
      <c r="G103">
        <f t="shared" si="10"/>
        <v>58000</v>
      </c>
      <c r="I103" s="1">
        <v>41760</v>
      </c>
      <c r="J103">
        <v>36971</v>
      </c>
      <c r="K103">
        <v>18072</v>
      </c>
      <c r="L103">
        <v>2957</v>
      </c>
      <c r="M103">
        <f t="shared" si="11"/>
        <v>58000</v>
      </c>
      <c r="Q103" s="1">
        <v>41760</v>
      </c>
      <c r="R103">
        <f t="shared" si="12"/>
        <v>50</v>
      </c>
      <c r="S103">
        <f t="shared" si="13"/>
        <v>2957</v>
      </c>
    </row>
    <row r="104" spans="1:20" x14ac:dyDescent="0.25">
      <c r="A104" s="1">
        <v>41791</v>
      </c>
      <c r="B104">
        <v>52858</v>
      </c>
      <c r="D104">
        <v>15</v>
      </c>
      <c r="E104">
        <v>13</v>
      </c>
      <c r="F104">
        <v>14294</v>
      </c>
      <c r="G104">
        <f t="shared" si="10"/>
        <v>67180</v>
      </c>
      <c r="I104" s="1">
        <v>41791</v>
      </c>
      <c r="J104">
        <v>44546</v>
      </c>
      <c r="K104">
        <v>19550</v>
      </c>
      <c r="L104">
        <v>3084</v>
      </c>
      <c r="M104">
        <f t="shared" si="11"/>
        <v>67180</v>
      </c>
      <c r="Q104" s="1">
        <v>41791</v>
      </c>
      <c r="R104">
        <f t="shared" si="12"/>
        <v>13</v>
      </c>
      <c r="S104">
        <f t="shared" si="13"/>
        <v>3084</v>
      </c>
    </row>
    <row r="105" spans="1:20" x14ac:dyDescent="0.25">
      <c r="A105" s="1">
        <v>41821</v>
      </c>
      <c r="B105">
        <v>55463</v>
      </c>
      <c r="D105">
        <v>20</v>
      </c>
      <c r="E105">
        <v>10</v>
      </c>
      <c r="F105">
        <v>13253</v>
      </c>
      <c r="G105">
        <f t="shared" si="10"/>
        <v>68746</v>
      </c>
      <c r="I105" s="1">
        <v>41821</v>
      </c>
      <c r="J105">
        <v>47158</v>
      </c>
      <c r="K105">
        <v>19246</v>
      </c>
      <c r="L105">
        <v>2342</v>
      </c>
      <c r="M105">
        <f t="shared" si="11"/>
        <v>68746</v>
      </c>
      <c r="Q105" s="1">
        <v>41821</v>
      </c>
      <c r="R105">
        <f t="shared" si="12"/>
        <v>10</v>
      </c>
      <c r="S105">
        <f t="shared" si="13"/>
        <v>2342</v>
      </c>
    </row>
    <row r="106" spans="1:20" x14ac:dyDescent="0.25">
      <c r="A106" s="1">
        <v>41852</v>
      </c>
      <c r="B106">
        <v>74711</v>
      </c>
      <c r="D106">
        <v>4942</v>
      </c>
      <c r="E106">
        <v>25</v>
      </c>
      <c r="F106">
        <v>15355</v>
      </c>
      <c r="G106">
        <f t="shared" si="10"/>
        <v>95033</v>
      </c>
      <c r="I106" s="1">
        <v>41852</v>
      </c>
      <c r="J106">
        <v>58661</v>
      </c>
      <c r="K106">
        <v>34153</v>
      </c>
      <c r="L106">
        <v>2219</v>
      </c>
      <c r="M106">
        <f t="shared" si="11"/>
        <v>95033</v>
      </c>
      <c r="Q106" s="1">
        <v>41852</v>
      </c>
      <c r="R106">
        <f t="shared" si="12"/>
        <v>25</v>
      </c>
      <c r="S106">
        <f t="shared" si="13"/>
        <v>2219</v>
      </c>
    </row>
    <row r="107" spans="1:20" x14ac:dyDescent="0.25">
      <c r="A107" s="1">
        <v>41883</v>
      </c>
      <c r="B107">
        <v>65252</v>
      </c>
      <c r="C107">
        <v>1</v>
      </c>
      <c r="D107">
        <v>1198</v>
      </c>
      <c r="E107">
        <v>11</v>
      </c>
      <c r="F107">
        <v>16781</v>
      </c>
      <c r="G107">
        <f t="shared" si="10"/>
        <v>83243</v>
      </c>
      <c r="I107" s="1">
        <v>41883</v>
      </c>
      <c r="J107">
        <v>53474</v>
      </c>
      <c r="K107">
        <v>27138</v>
      </c>
      <c r="L107">
        <v>2631</v>
      </c>
      <c r="M107">
        <f t="shared" si="11"/>
        <v>83243</v>
      </c>
      <c r="Q107" s="1">
        <v>41883</v>
      </c>
      <c r="R107">
        <f t="shared" si="12"/>
        <v>11</v>
      </c>
      <c r="S107">
        <f t="shared" si="13"/>
        <v>2631</v>
      </c>
    </row>
    <row r="108" spans="1:20" x14ac:dyDescent="0.25">
      <c r="A108" s="1">
        <v>41913</v>
      </c>
      <c r="B108">
        <v>64996</v>
      </c>
      <c r="D108">
        <v>302</v>
      </c>
      <c r="E108">
        <v>33</v>
      </c>
      <c r="F108">
        <v>18205</v>
      </c>
      <c r="G108">
        <f t="shared" si="10"/>
        <v>83536</v>
      </c>
      <c r="I108" s="1">
        <v>41913</v>
      </c>
      <c r="J108">
        <v>52441</v>
      </c>
      <c r="K108">
        <v>28527</v>
      </c>
      <c r="L108">
        <v>2568</v>
      </c>
      <c r="M108">
        <f t="shared" si="11"/>
        <v>83536</v>
      </c>
      <c r="Q108" s="1">
        <v>41913</v>
      </c>
      <c r="R108">
        <f t="shared" si="12"/>
        <v>33</v>
      </c>
      <c r="S108">
        <f t="shared" si="13"/>
        <v>2568</v>
      </c>
    </row>
    <row r="109" spans="1:20" x14ac:dyDescent="0.25">
      <c r="A109" s="1">
        <v>41944</v>
      </c>
      <c r="B109">
        <v>60127</v>
      </c>
      <c r="C109">
        <v>3</v>
      </c>
      <c r="D109">
        <v>67</v>
      </c>
      <c r="E109">
        <v>15</v>
      </c>
      <c r="F109">
        <v>17771</v>
      </c>
      <c r="G109">
        <f t="shared" si="10"/>
        <v>77983</v>
      </c>
      <c r="I109" s="1">
        <v>41944</v>
      </c>
      <c r="J109">
        <v>48167</v>
      </c>
      <c r="K109">
        <v>27618</v>
      </c>
      <c r="L109">
        <v>2198</v>
      </c>
      <c r="M109">
        <f t="shared" si="11"/>
        <v>77983</v>
      </c>
      <c r="Q109" s="1">
        <v>41944</v>
      </c>
      <c r="R109">
        <f t="shared" si="12"/>
        <v>15</v>
      </c>
      <c r="S109">
        <f t="shared" si="13"/>
        <v>2198</v>
      </c>
    </row>
    <row r="110" spans="1:20" x14ac:dyDescent="0.25">
      <c r="A110" s="1">
        <v>41974</v>
      </c>
      <c r="B110">
        <v>48738</v>
      </c>
      <c r="C110">
        <v>1</v>
      </c>
      <c r="D110">
        <v>18</v>
      </c>
      <c r="E110">
        <v>1</v>
      </c>
      <c r="F110">
        <v>20639</v>
      </c>
      <c r="G110">
        <f t="shared" si="10"/>
        <v>69397</v>
      </c>
      <c r="I110" s="1">
        <v>41974</v>
      </c>
      <c r="J110">
        <v>37180</v>
      </c>
      <c r="K110">
        <v>29951</v>
      </c>
      <c r="L110">
        <v>2266</v>
      </c>
      <c r="M110">
        <f t="shared" si="11"/>
        <v>69397</v>
      </c>
      <c r="Q110" s="1">
        <v>41974</v>
      </c>
      <c r="R110">
        <f t="shared" si="12"/>
        <v>1</v>
      </c>
      <c r="S110">
        <f t="shared" si="13"/>
        <v>2266</v>
      </c>
    </row>
    <row r="111" spans="1:20" x14ac:dyDescent="0.25">
      <c r="A111" s="1">
        <v>42005</v>
      </c>
      <c r="B111">
        <v>49656</v>
      </c>
      <c r="C111">
        <v>1</v>
      </c>
      <c r="D111">
        <v>67</v>
      </c>
      <c r="E111">
        <v>17</v>
      </c>
      <c r="F111">
        <v>20018</v>
      </c>
      <c r="G111">
        <f t="shared" si="10"/>
        <v>69759</v>
      </c>
      <c r="I111" s="1">
        <v>42005</v>
      </c>
      <c r="J111">
        <v>37274</v>
      </c>
      <c r="K111">
        <v>30559</v>
      </c>
      <c r="L111">
        <v>1926</v>
      </c>
      <c r="M111">
        <f t="shared" si="11"/>
        <v>69759</v>
      </c>
      <c r="Q111" s="1">
        <v>42005</v>
      </c>
      <c r="R111">
        <f t="shared" si="12"/>
        <v>17</v>
      </c>
      <c r="S111">
        <f t="shared" si="13"/>
        <v>1926</v>
      </c>
    </row>
    <row r="112" spans="1:20" x14ac:dyDescent="0.25">
      <c r="A112" s="1">
        <v>42036</v>
      </c>
      <c r="B112">
        <v>63470</v>
      </c>
      <c r="C112">
        <v>9</v>
      </c>
      <c r="D112">
        <v>7528</v>
      </c>
      <c r="E112">
        <v>26</v>
      </c>
      <c r="F112">
        <v>26307</v>
      </c>
      <c r="G112">
        <f t="shared" si="10"/>
        <v>97340</v>
      </c>
      <c r="I112" s="1">
        <v>42036</v>
      </c>
      <c r="J112">
        <v>41840</v>
      </c>
      <c r="K112">
        <v>53289</v>
      </c>
      <c r="L112">
        <v>2211</v>
      </c>
      <c r="M112">
        <f t="shared" si="11"/>
        <v>97340</v>
      </c>
      <c r="Q112" s="1">
        <v>42036</v>
      </c>
      <c r="R112">
        <f t="shared" si="12"/>
        <v>26</v>
      </c>
      <c r="S112">
        <f t="shared" si="13"/>
        <v>2211</v>
      </c>
    </row>
    <row r="113" spans="1:19" x14ac:dyDescent="0.25">
      <c r="A113" s="1">
        <v>42064</v>
      </c>
      <c r="B113">
        <v>43920</v>
      </c>
      <c r="C113">
        <v>3319</v>
      </c>
      <c r="D113">
        <v>34</v>
      </c>
      <c r="F113">
        <v>27603</v>
      </c>
      <c r="G113">
        <f t="shared" si="10"/>
        <v>74876</v>
      </c>
      <c r="I113" s="1">
        <v>42064</v>
      </c>
      <c r="J113">
        <v>29926</v>
      </c>
      <c r="K113">
        <v>43003</v>
      </c>
      <c r="L113">
        <v>1947</v>
      </c>
      <c r="M113">
        <f t="shared" si="11"/>
        <v>74876</v>
      </c>
      <c r="Q113" s="1">
        <v>42064</v>
      </c>
      <c r="R113">
        <f t="shared" si="12"/>
        <v>0</v>
      </c>
      <c r="S113">
        <f t="shared" si="13"/>
        <v>1947</v>
      </c>
    </row>
    <row r="114" spans="1:19" x14ac:dyDescent="0.25">
      <c r="A114" s="1">
        <v>42095</v>
      </c>
      <c r="B114">
        <v>57744</v>
      </c>
      <c r="D114">
        <v>1</v>
      </c>
      <c r="E114">
        <v>1</v>
      </c>
      <c r="F114">
        <v>38841</v>
      </c>
      <c r="G114">
        <f t="shared" si="10"/>
        <v>96587</v>
      </c>
      <c r="I114" s="1">
        <v>42095</v>
      </c>
      <c r="J114">
        <v>40194</v>
      </c>
      <c r="K114">
        <v>54294</v>
      </c>
      <c r="L114">
        <v>2099</v>
      </c>
      <c r="M114">
        <f t="shared" si="11"/>
        <v>96587</v>
      </c>
      <c r="Q114" s="1">
        <v>42095</v>
      </c>
      <c r="R114">
        <f t="shared" si="12"/>
        <v>1</v>
      </c>
      <c r="S114">
        <f t="shared" si="13"/>
        <v>2099</v>
      </c>
    </row>
    <row r="115" spans="1:19" x14ac:dyDescent="0.25">
      <c r="A115" s="1">
        <v>42125</v>
      </c>
      <c r="B115">
        <v>63761</v>
      </c>
      <c r="D115">
        <v>211</v>
      </c>
      <c r="F115">
        <v>32819</v>
      </c>
      <c r="G115">
        <f t="shared" si="10"/>
        <v>96791</v>
      </c>
      <c r="I115" s="1">
        <v>42125</v>
      </c>
      <c r="J115">
        <v>45666</v>
      </c>
      <c r="K115">
        <v>49112</v>
      </c>
      <c r="L115">
        <v>2013</v>
      </c>
      <c r="M115">
        <f t="shared" si="11"/>
        <v>96791</v>
      </c>
      <c r="Q115" s="1">
        <v>42125</v>
      </c>
      <c r="R115">
        <f t="shared" si="12"/>
        <v>0</v>
      </c>
      <c r="S115">
        <f t="shared" si="13"/>
        <v>2013</v>
      </c>
    </row>
    <row r="116" spans="1:19" x14ac:dyDescent="0.25">
      <c r="A116" s="1">
        <v>42156</v>
      </c>
      <c r="B116">
        <v>74200</v>
      </c>
      <c r="D116">
        <v>2804</v>
      </c>
      <c r="E116">
        <v>2</v>
      </c>
      <c r="F116">
        <v>29652</v>
      </c>
      <c r="G116">
        <f t="shared" si="10"/>
        <v>106658</v>
      </c>
      <c r="I116" s="1">
        <v>42156</v>
      </c>
      <c r="J116">
        <v>53369</v>
      </c>
      <c r="K116">
        <v>51430</v>
      </c>
      <c r="L116">
        <v>1859</v>
      </c>
      <c r="M116">
        <f t="shared" si="11"/>
        <v>106658</v>
      </c>
      <c r="Q116" s="1">
        <v>42156</v>
      </c>
      <c r="R116">
        <f t="shared" si="12"/>
        <v>2</v>
      </c>
      <c r="S116">
        <f t="shared" si="13"/>
        <v>1859</v>
      </c>
    </row>
    <row r="117" spans="1:19" x14ac:dyDescent="0.25">
      <c r="A117" s="1">
        <v>42186</v>
      </c>
      <c r="B117">
        <v>77621</v>
      </c>
      <c r="D117">
        <v>1279</v>
      </c>
      <c r="F117">
        <v>24711</v>
      </c>
      <c r="G117">
        <f t="shared" si="10"/>
        <v>103611</v>
      </c>
      <c r="I117" s="1">
        <v>42186</v>
      </c>
      <c r="J117">
        <v>58490</v>
      </c>
      <c r="K117">
        <v>43435</v>
      </c>
      <c r="L117">
        <v>1686</v>
      </c>
      <c r="M117">
        <f t="shared" si="11"/>
        <v>103611</v>
      </c>
      <c r="Q117" s="1">
        <v>42186</v>
      </c>
      <c r="R117">
        <f t="shared" si="12"/>
        <v>0</v>
      </c>
      <c r="S117">
        <f t="shared" si="13"/>
        <v>1686</v>
      </c>
    </row>
    <row r="118" spans="1:19" x14ac:dyDescent="0.25">
      <c r="A118" s="1">
        <v>42217</v>
      </c>
      <c r="B118">
        <v>68006</v>
      </c>
      <c r="F118">
        <v>17994</v>
      </c>
      <c r="G118">
        <f t="shared" si="10"/>
        <v>86000</v>
      </c>
      <c r="I118" s="1">
        <v>42217</v>
      </c>
      <c r="J118">
        <v>50580</v>
      </c>
      <c r="K118">
        <v>34021</v>
      </c>
      <c r="L118">
        <v>1399</v>
      </c>
      <c r="M118">
        <f t="shared" si="11"/>
        <v>86000</v>
      </c>
      <c r="Q118" s="1">
        <v>42217</v>
      </c>
      <c r="R118">
        <f t="shared" si="12"/>
        <v>0</v>
      </c>
      <c r="S118">
        <f t="shared" si="13"/>
        <v>1399</v>
      </c>
    </row>
    <row r="119" spans="1:19" x14ac:dyDescent="0.25">
      <c r="A119" s="1">
        <v>42248</v>
      </c>
      <c r="B119">
        <v>75190</v>
      </c>
      <c r="D119">
        <v>11</v>
      </c>
      <c r="F119">
        <v>18141</v>
      </c>
      <c r="G119">
        <f t="shared" si="10"/>
        <v>93342</v>
      </c>
      <c r="I119" s="1">
        <v>42248</v>
      </c>
      <c r="J119">
        <v>62040</v>
      </c>
      <c r="K119">
        <v>29633</v>
      </c>
      <c r="L119">
        <v>1669</v>
      </c>
      <c r="M119">
        <f t="shared" si="11"/>
        <v>93342</v>
      </c>
      <c r="Q119" s="1">
        <v>42248</v>
      </c>
      <c r="R119">
        <f t="shared" si="12"/>
        <v>0</v>
      </c>
      <c r="S119">
        <f t="shared" si="13"/>
        <v>1669</v>
      </c>
    </row>
    <row r="120" spans="1:19" x14ac:dyDescent="0.25">
      <c r="A120" s="1">
        <v>42278</v>
      </c>
      <c r="B120">
        <v>72819</v>
      </c>
      <c r="D120">
        <v>531</v>
      </c>
      <c r="F120">
        <v>17495</v>
      </c>
      <c r="G120">
        <f t="shared" si="10"/>
        <v>90845</v>
      </c>
      <c r="I120" s="1">
        <v>42278</v>
      </c>
      <c r="J120">
        <v>56968</v>
      </c>
      <c r="K120">
        <v>32151</v>
      </c>
      <c r="L120">
        <v>1726</v>
      </c>
      <c r="M120">
        <f t="shared" si="11"/>
        <v>90845</v>
      </c>
      <c r="Q120" s="1">
        <v>42278</v>
      </c>
      <c r="R120">
        <f t="shared" si="12"/>
        <v>0</v>
      </c>
      <c r="S120">
        <f t="shared" si="13"/>
        <v>1726</v>
      </c>
    </row>
    <row r="121" spans="1:19" x14ac:dyDescent="0.25">
      <c r="A121" s="1">
        <v>42309</v>
      </c>
      <c r="B121">
        <v>61380</v>
      </c>
      <c r="C121">
        <v>116</v>
      </c>
      <c r="E121">
        <v>63</v>
      </c>
      <c r="F121">
        <v>17242</v>
      </c>
      <c r="G121">
        <f t="shared" si="10"/>
        <v>78801</v>
      </c>
      <c r="I121" s="1">
        <v>42309</v>
      </c>
      <c r="J121">
        <v>45390</v>
      </c>
      <c r="K121">
        <v>32016</v>
      </c>
      <c r="L121">
        <v>1395</v>
      </c>
      <c r="M121">
        <f t="shared" si="11"/>
        <v>78801</v>
      </c>
      <c r="Q121" s="1">
        <v>42309</v>
      </c>
      <c r="R121">
        <f t="shared" si="12"/>
        <v>63</v>
      </c>
      <c r="S121">
        <f t="shared" si="13"/>
        <v>1395</v>
      </c>
    </row>
    <row r="122" spans="1:19" x14ac:dyDescent="0.25">
      <c r="A122" s="1">
        <v>42339</v>
      </c>
      <c r="B122">
        <v>56308</v>
      </c>
      <c r="E122">
        <v>5</v>
      </c>
      <c r="F122">
        <v>17651</v>
      </c>
      <c r="G122">
        <f t="shared" si="10"/>
        <v>73964</v>
      </c>
      <c r="I122" s="1">
        <v>42339</v>
      </c>
      <c r="J122">
        <v>41614</v>
      </c>
      <c r="K122">
        <v>31162</v>
      </c>
      <c r="L122">
        <v>1188</v>
      </c>
      <c r="M122">
        <f t="shared" si="11"/>
        <v>73964</v>
      </c>
      <c r="Q122" s="1">
        <v>42339</v>
      </c>
      <c r="R122">
        <f t="shared" si="12"/>
        <v>5</v>
      </c>
      <c r="S122">
        <f t="shared" si="13"/>
        <v>1188</v>
      </c>
    </row>
    <row r="123" spans="1:19" x14ac:dyDescent="0.25">
      <c r="A123" s="1">
        <v>42370</v>
      </c>
      <c r="B123">
        <v>38576</v>
      </c>
      <c r="F123">
        <v>10736</v>
      </c>
      <c r="G123">
        <f t="shared" si="10"/>
        <v>49312</v>
      </c>
      <c r="I123" s="1">
        <v>42370</v>
      </c>
      <c r="J123">
        <v>28453</v>
      </c>
      <c r="K123">
        <v>20137</v>
      </c>
      <c r="L123">
        <v>722</v>
      </c>
      <c r="M123">
        <f t="shared" si="11"/>
        <v>49312</v>
      </c>
      <c r="Q123" s="1">
        <v>42370</v>
      </c>
      <c r="R123">
        <f t="shared" si="12"/>
        <v>0</v>
      </c>
      <c r="S123">
        <f t="shared" si="13"/>
        <v>722</v>
      </c>
    </row>
  </sheetData>
  <pageMargins left="0.7" right="0.7" top="0.75" bottom="0.75" header="0.3" footer="0.3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33"/>
  <sheetViews>
    <sheetView tabSelected="1" topLeftCell="F1" workbookViewId="0">
      <selection activeCell="T46" sqref="T46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7" customWidth="1"/>
    <col min="15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2.42578125" customWidth="1"/>
    <col min="25" max="25" width="18.7109375" bestFit="1" customWidth="1"/>
    <col min="26" max="26" width="12.7109375" bestFit="1" customWidth="1"/>
    <col min="27" max="27" width="11.28515625" bestFit="1" customWidth="1"/>
  </cols>
  <sheetData>
    <row r="1" spans="1:35" x14ac:dyDescent="0.25">
      <c r="D1" t="s">
        <v>38</v>
      </c>
    </row>
    <row r="4" spans="1:35" x14ac:dyDescent="0.25">
      <c r="A4" s="12" t="s">
        <v>26</v>
      </c>
      <c r="B4" s="12" t="s">
        <v>0</v>
      </c>
      <c r="C4" s="12" t="s">
        <v>1</v>
      </c>
      <c r="F4" s="12" t="s">
        <v>26</v>
      </c>
      <c r="G4" s="12" t="s">
        <v>0</v>
      </c>
      <c r="H4" s="12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5" x14ac:dyDescent="0.25">
      <c r="A5" s="11">
        <v>38353</v>
      </c>
      <c r="B5">
        <v>1180</v>
      </c>
      <c r="C5" t="s">
        <v>2</v>
      </c>
      <c r="F5" s="11">
        <v>38353</v>
      </c>
      <c r="G5">
        <v>940</v>
      </c>
      <c r="H5" s="12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29</v>
      </c>
      <c r="Y5" t="s">
        <v>16</v>
      </c>
      <c r="Z5" t="s">
        <v>15</v>
      </c>
      <c r="AA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5" x14ac:dyDescent="0.25">
      <c r="A6" s="11">
        <v>38353</v>
      </c>
      <c r="B6" s="12">
        <v>46</v>
      </c>
      <c r="C6" s="12" t="s">
        <v>3</v>
      </c>
      <c r="D6" s="1"/>
      <c r="F6" s="11">
        <v>38353</v>
      </c>
      <c r="G6" s="12">
        <v>49</v>
      </c>
      <c r="H6" s="12" t="s">
        <v>15</v>
      </c>
      <c r="L6" s="3">
        <v>38353</v>
      </c>
      <c r="M6" s="5">
        <v>46</v>
      </c>
      <c r="N6" s="5"/>
      <c r="O6" s="5">
        <v>1180</v>
      </c>
      <c r="P6" s="5"/>
      <c r="Q6" s="5"/>
      <c r="R6" s="5">
        <v>1226</v>
      </c>
      <c r="V6" s="3">
        <v>38353</v>
      </c>
      <c r="W6" s="5">
        <v>237</v>
      </c>
      <c r="X6" s="5"/>
      <c r="Y6" s="5">
        <v>940</v>
      </c>
      <c r="Z6" s="5">
        <v>49</v>
      </c>
      <c r="AA6" s="5">
        <v>1226</v>
      </c>
      <c r="AD6" s="3">
        <v>38353</v>
      </c>
      <c r="AE6">
        <f>VLOOKUP(AD6,V:AA,2,0)</f>
        <v>237</v>
      </c>
      <c r="AF6">
        <f>VLOOKUP(AD6,L:R,3,0)</f>
        <v>0</v>
      </c>
      <c r="AG6">
        <f>AF6/AE6</f>
        <v>0</v>
      </c>
      <c r="AH6">
        <f>VLOOKUP(AD6,V:AA,6,0)</f>
        <v>1226</v>
      </c>
      <c r="AI6">
        <f>VLOOKUP(AD6,L:R,7,0)</f>
        <v>1226</v>
      </c>
    </row>
    <row r="7" spans="1:35" x14ac:dyDescent="0.25">
      <c r="A7" s="11">
        <v>38384</v>
      </c>
      <c r="B7" s="12">
        <v>56</v>
      </c>
      <c r="C7" s="12" t="s">
        <v>3</v>
      </c>
      <c r="D7" s="1"/>
      <c r="F7" s="11">
        <v>38353</v>
      </c>
      <c r="G7" s="12">
        <v>237</v>
      </c>
      <c r="H7" s="12" t="s">
        <v>14</v>
      </c>
      <c r="L7" s="3">
        <v>38384</v>
      </c>
      <c r="M7" s="5">
        <v>56</v>
      </c>
      <c r="N7" s="5"/>
      <c r="O7" s="5">
        <v>1047</v>
      </c>
      <c r="P7" s="5"/>
      <c r="Q7" s="5"/>
      <c r="R7" s="5">
        <v>1103</v>
      </c>
      <c r="V7" s="3">
        <v>38384</v>
      </c>
      <c r="W7" s="5">
        <v>111</v>
      </c>
      <c r="X7" s="5"/>
      <c r="Y7" s="5">
        <v>943</v>
      </c>
      <c r="Z7" s="5">
        <v>49</v>
      </c>
      <c r="AA7" s="5">
        <v>1103</v>
      </c>
      <c r="AD7" s="3">
        <v>38384</v>
      </c>
      <c r="AE7">
        <f t="shared" ref="AE7:AE70" si="0">VLOOKUP(AD7,V:AA,2,0)</f>
        <v>111</v>
      </c>
      <c r="AF7">
        <f t="shared" ref="AF7:AF70" si="1">VLOOKUP(AD7,L:R,3,0)</f>
        <v>0</v>
      </c>
      <c r="AG7">
        <f t="shared" ref="AG7:AG70" si="2">AF7/AE7</f>
        <v>0</v>
      </c>
      <c r="AH7">
        <f t="shared" ref="AH7:AH70" si="3">VLOOKUP(AD7,V:AA,6,0)</f>
        <v>1103</v>
      </c>
      <c r="AI7">
        <f t="shared" ref="AI7:AI70" si="4">VLOOKUP(AD7,L:R,7,0)</f>
        <v>1103</v>
      </c>
    </row>
    <row r="8" spans="1:35" x14ac:dyDescent="0.25">
      <c r="A8" s="11">
        <v>38384</v>
      </c>
      <c r="B8" s="12">
        <v>1047</v>
      </c>
      <c r="C8" s="12" t="s">
        <v>2</v>
      </c>
      <c r="D8" s="1"/>
      <c r="F8" s="11">
        <v>38384</v>
      </c>
      <c r="G8" s="12">
        <v>111</v>
      </c>
      <c r="H8" s="12" t="s">
        <v>14</v>
      </c>
      <c r="L8" s="3">
        <v>38412</v>
      </c>
      <c r="M8" s="5">
        <v>36</v>
      </c>
      <c r="N8" s="5"/>
      <c r="O8" s="5">
        <v>819</v>
      </c>
      <c r="P8" s="5"/>
      <c r="Q8" s="5"/>
      <c r="R8" s="5">
        <v>855</v>
      </c>
      <c r="V8" s="3">
        <v>38412</v>
      </c>
      <c r="W8" s="5">
        <v>84</v>
      </c>
      <c r="X8" s="5">
        <v>1</v>
      </c>
      <c r="Y8" s="5">
        <v>731</v>
      </c>
      <c r="Z8" s="5">
        <v>39</v>
      </c>
      <c r="AA8" s="5">
        <v>855</v>
      </c>
      <c r="AD8" s="3">
        <v>38412</v>
      </c>
      <c r="AE8">
        <f t="shared" si="0"/>
        <v>84</v>
      </c>
      <c r="AF8">
        <f t="shared" si="1"/>
        <v>0</v>
      </c>
      <c r="AG8">
        <f t="shared" si="2"/>
        <v>0</v>
      </c>
      <c r="AH8">
        <f t="shared" si="3"/>
        <v>855</v>
      </c>
      <c r="AI8">
        <f t="shared" si="4"/>
        <v>855</v>
      </c>
    </row>
    <row r="9" spans="1:35" x14ac:dyDescent="0.25">
      <c r="A9" s="11">
        <v>38412</v>
      </c>
      <c r="B9" s="12">
        <v>819</v>
      </c>
      <c r="C9" s="12" t="s">
        <v>2</v>
      </c>
      <c r="D9" s="1"/>
      <c r="F9" s="11">
        <v>38384</v>
      </c>
      <c r="G9" s="12">
        <v>943</v>
      </c>
      <c r="H9" s="12" t="s">
        <v>16</v>
      </c>
      <c r="L9" s="3">
        <v>38443</v>
      </c>
      <c r="M9" s="5">
        <v>49</v>
      </c>
      <c r="N9" s="5"/>
      <c r="O9" s="5">
        <v>788</v>
      </c>
      <c r="P9" s="5"/>
      <c r="Q9" s="5"/>
      <c r="R9" s="5">
        <v>837</v>
      </c>
      <c r="V9" s="3">
        <v>38443</v>
      </c>
      <c r="W9" s="5">
        <v>87</v>
      </c>
      <c r="X9" s="5"/>
      <c r="Y9" s="5">
        <v>695</v>
      </c>
      <c r="Z9" s="5">
        <v>55</v>
      </c>
      <c r="AA9" s="5">
        <v>837</v>
      </c>
      <c r="AD9" s="3">
        <v>38443</v>
      </c>
      <c r="AE9">
        <f t="shared" si="0"/>
        <v>87</v>
      </c>
      <c r="AF9">
        <f t="shared" si="1"/>
        <v>0</v>
      </c>
      <c r="AG9">
        <f t="shared" si="2"/>
        <v>0</v>
      </c>
      <c r="AH9">
        <f t="shared" si="3"/>
        <v>837</v>
      </c>
      <c r="AI9">
        <f t="shared" si="4"/>
        <v>837</v>
      </c>
    </row>
    <row r="10" spans="1:35" x14ac:dyDescent="0.25">
      <c r="A10" s="11">
        <v>38412</v>
      </c>
      <c r="B10" s="12">
        <v>36</v>
      </c>
      <c r="C10" s="12" t="s">
        <v>3</v>
      </c>
      <c r="D10" s="1"/>
      <c r="F10" s="11">
        <v>38384</v>
      </c>
      <c r="G10" s="12">
        <v>49</v>
      </c>
      <c r="H10" s="12" t="s">
        <v>15</v>
      </c>
      <c r="L10" s="3">
        <v>38473</v>
      </c>
      <c r="M10" s="5">
        <v>49</v>
      </c>
      <c r="N10" s="5"/>
      <c r="O10" s="5">
        <v>933</v>
      </c>
      <c r="P10" s="5"/>
      <c r="Q10" s="5"/>
      <c r="R10" s="5">
        <v>982</v>
      </c>
      <c r="V10" s="3">
        <v>38473</v>
      </c>
      <c r="W10" s="5">
        <v>98</v>
      </c>
      <c r="X10" s="5"/>
      <c r="Y10" s="5">
        <v>835</v>
      </c>
      <c r="Z10" s="5">
        <v>49</v>
      </c>
      <c r="AA10" s="5">
        <v>982</v>
      </c>
      <c r="AD10" s="3">
        <v>38473</v>
      </c>
      <c r="AE10">
        <f t="shared" si="0"/>
        <v>98</v>
      </c>
      <c r="AF10">
        <f t="shared" si="1"/>
        <v>0</v>
      </c>
      <c r="AG10">
        <f t="shared" si="2"/>
        <v>0</v>
      </c>
      <c r="AH10">
        <f t="shared" si="3"/>
        <v>982</v>
      </c>
      <c r="AI10">
        <f t="shared" si="4"/>
        <v>982</v>
      </c>
    </row>
    <row r="11" spans="1:35" x14ac:dyDescent="0.25">
      <c r="A11" s="11">
        <v>38443</v>
      </c>
      <c r="B11" s="12">
        <v>49</v>
      </c>
      <c r="C11" s="12" t="s">
        <v>3</v>
      </c>
      <c r="D11" s="1"/>
      <c r="F11" s="11">
        <v>38412</v>
      </c>
      <c r="G11" s="12">
        <v>39</v>
      </c>
      <c r="H11" s="12" t="s">
        <v>15</v>
      </c>
      <c r="L11" s="3">
        <v>38504</v>
      </c>
      <c r="M11" s="5">
        <v>48</v>
      </c>
      <c r="N11" s="5"/>
      <c r="O11" s="5">
        <v>1031</v>
      </c>
      <c r="P11" s="5"/>
      <c r="Q11" s="5"/>
      <c r="R11" s="5">
        <v>1079</v>
      </c>
      <c r="V11" s="3">
        <v>38504</v>
      </c>
      <c r="W11" s="5">
        <v>119</v>
      </c>
      <c r="X11" s="5"/>
      <c r="Y11" s="5">
        <v>900</v>
      </c>
      <c r="Z11" s="5">
        <v>60</v>
      </c>
      <c r="AA11" s="5">
        <v>1079</v>
      </c>
      <c r="AD11" s="3">
        <v>38504</v>
      </c>
      <c r="AE11">
        <f t="shared" si="0"/>
        <v>119</v>
      </c>
      <c r="AF11">
        <f t="shared" si="1"/>
        <v>0</v>
      </c>
      <c r="AG11">
        <f t="shared" si="2"/>
        <v>0</v>
      </c>
      <c r="AH11">
        <f t="shared" si="3"/>
        <v>1079</v>
      </c>
      <c r="AI11">
        <f t="shared" si="4"/>
        <v>1079</v>
      </c>
    </row>
    <row r="12" spans="1:35" x14ac:dyDescent="0.25">
      <c r="A12" s="11">
        <v>38443</v>
      </c>
      <c r="B12" s="12">
        <v>788</v>
      </c>
      <c r="C12" s="12" t="s">
        <v>2</v>
      </c>
      <c r="D12" s="1"/>
      <c r="F12" s="11">
        <v>38412</v>
      </c>
      <c r="G12" s="12">
        <v>1</v>
      </c>
      <c r="H12" s="12" t="s">
        <v>29</v>
      </c>
      <c r="L12" s="3">
        <v>38534</v>
      </c>
      <c r="M12" s="5">
        <v>70</v>
      </c>
      <c r="N12" s="5"/>
      <c r="O12" s="5">
        <v>1263</v>
      </c>
      <c r="P12" s="5"/>
      <c r="Q12" s="5"/>
      <c r="R12" s="5">
        <v>1333</v>
      </c>
      <c r="V12" s="3">
        <v>38534</v>
      </c>
      <c r="W12" s="5">
        <v>130</v>
      </c>
      <c r="X12" s="5"/>
      <c r="Y12" s="5">
        <v>1098</v>
      </c>
      <c r="Z12" s="5">
        <v>105</v>
      </c>
      <c r="AA12" s="5">
        <v>1333</v>
      </c>
      <c r="AD12" s="3">
        <v>38534</v>
      </c>
      <c r="AE12">
        <f t="shared" si="0"/>
        <v>130</v>
      </c>
      <c r="AF12">
        <f t="shared" si="1"/>
        <v>0</v>
      </c>
      <c r="AG12">
        <f t="shared" si="2"/>
        <v>0</v>
      </c>
      <c r="AH12">
        <f t="shared" si="3"/>
        <v>1333</v>
      </c>
      <c r="AI12">
        <f t="shared" si="4"/>
        <v>1333</v>
      </c>
    </row>
    <row r="13" spans="1:35" x14ac:dyDescent="0.25">
      <c r="A13" s="11">
        <v>38473</v>
      </c>
      <c r="B13" s="12">
        <v>49</v>
      </c>
      <c r="C13" s="12" t="s">
        <v>3</v>
      </c>
      <c r="D13" s="1"/>
      <c r="F13" s="11">
        <v>38412</v>
      </c>
      <c r="G13" s="12">
        <v>84</v>
      </c>
      <c r="H13" s="12" t="s">
        <v>14</v>
      </c>
      <c r="L13" s="3">
        <v>38565</v>
      </c>
      <c r="M13" s="5">
        <v>65</v>
      </c>
      <c r="N13" s="5"/>
      <c r="O13" s="5">
        <v>1418</v>
      </c>
      <c r="P13" s="5"/>
      <c r="Q13" s="5"/>
      <c r="R13" s="5">
        <v>1483</v>
      </c>
      <c r="V13" s="3">
        <v>38565</v>
      </c>
      <c r="W13" s="5">
        <v>133</v>
      </c>
      <c r="X13" s="5"/>
      <c r="Y13" s="5">
        <v>1255</v>
      </c>
      <c r="Z13" s="5">
        <v>95</v>
      </c>
      <c r="AA13" s="5">
        <v>1483</v>
      </c>
      <c r="AD13" s="3">
        <v>38565</v>
      </c>
      <c r="AE13">
        <f t="shared" si="0"/>
        <v>133</v>
      </c>
      <c r="AF13">
        <f t="shared" si="1"/>
        <v>0</v>
      </c>
      <c r="AG13">
        <f t="shared" si="2"/>
        <v>0</v>
      </c>
      <c r="AH13">
        <f t="shared" si="3"/>
        <v>1483</v>
      </c>
      <c r="AI13">
        <f t="shared" si="4"/>
        <v>1483</v>
      </c>
    </row>
    <row r="14" spans="1:35" x14ac:dyDescent="0.25">
      <c r="A14" s="11">
        <v>38473</v>
      </c>
      <c r="B14" s="12">
        <v>933</v>
      </c>
      <c r="C14" s="12" t="s">
        <v>2</v>
      </c>
      <c r="D14" s="1"/>
      <c r="F14" s="11">
        <v>38412</v>
      </c>
      <c r="G14" s="12">
        <v>731</v>
      </c>
      <c r="H14" s="12" t="s">
        <v>16</v>
      </c>
      <c r="L14" s="3">
        <v>38596</v>
      </c>
      <c r="M14" s="5">
        <v>108</v>
      </c>
      <c r="N14" s="5"/>
      <c r="O14" s="5">
        <v>1563</v>
      </c>
      <c r="P14" s="5"/>
      <c r="Q14" s="5"/>
      <c r="R14" s="5">
        <v>1671</v>
      </c>
      <c r="V14" s="3">
        <v>38596</v>
      </c>
      <c r="W14" s="5">
        <v>145</v>
      </c>
      <c r="X14" s="5"/>
      <c r="Y14" s="5">
        <v>1349</v>
      </c>
      <c r="Z14" s="5">
        <v>177</v>
      </c>
      <c r="AA14" s="5">
        <v>1671</v>
      </c>
      <c r="AD14" s="3">
        <v>38596</v>
      </c>
      <c r="AE14">
        <f t="shared" si="0"/>
        <v>145</v>
      </c>
      <c r="AF14">
        <f t="shared" si="1"/>
        <v>0</v>
      </c>
      <c r="AG14">
        <f t="shared" si="2"/>
        <v>0</v>
      </c>
      <c r="AH14">
        <f t="shared" si="3"/>
        <v>1671</v>
      </c>
      <c r="AI14">
        <f t="shared" si="4"/>
        <v>1671</v>
      </c>
    </row>
    <row r="15" spans="1:35" x14ac:dyDescent="0.25">
      <c r="A15" s="11">
        <v>38504</v>
      </c>
      <c r="B15" s="12">
        <v>1031</v>
      </c>
      <c r="C15" s="12" t="s">
        <v>2</v>
      </c>
      <c r="D15" s="1"/>
      <c r="F15" s="11">
        <v>38443</v>
      </c>
      <c r="G15" s="12">
        <v>87</v>
      </c>
      <c r="H15" s="12" t="s">
        <v>14</v>
      </c>
      <c r="L15" s="3">
        <v>38626</v>
      </c>
      <c r="M15" s="5">
        <v>145</v>
      </c>
      <c r="N15" s="5"/>
      <c r="O15" s="5">
        <v>2269</v>
      </c>
      <c r="P15" s="5"/>
      <c r="Q15" s="5"/>
      <c r="R15" s="5">
        <v>2414</v>
      </c>
      <c r="V15" s="3">
        <v>38626</v>
      </c>
      <c r="W15" s="5">
        <v>230</v>
      </c>
      <c r="X15" s="5"/>
      <c r="Y15" s="5">
        <v>1937</v>
      </c>
      <c r="Z15" s="5">
        <v>247</v>
      </c>
      <c r="AA15" s="5">
        <v>2414</v>
      </c>
      <c r="AD15" s="3">
        <v>38626</v>
      </c>
      <c r="AE15">
        <f t="shared" si="0"/>
        <v>230</v>
      </c>
      <c r="AF15">
        <f t="shared" si="1"/>
        <v>0</v>
      </c>
      <c r="AG15">
        <f t="shared" si="2"/>
        <v>0</v>
      </c>
      <c r="AH15">
        <f t="shared" si="3"/>
        <v>2414</v>
      </c>
      <c r="AI15">
        <f t="shared" si="4"/>
        <v>2414</v>
      </c>
    </row>
    <row r="16" spans="1:35" x14ac:dyDescent="0.25">
      <c r="A16" s="11">
        <v>38504</v>
      </c>
      <c r="B16" s="12">
        <v>48</v>
      </c>
      <c r="C16" s="12" t="s">
        <v>3</v>
      </c>
      <c r="D16" s="1"/>
      <c r="F16" s="11">
        <v>38443</v>
      </c>
      <c r="G16" s="12">
        <v>695</v>
      </c>
      <c r="H16" s="12" t="s">
        <v>16</v>
      </c>
      <c r="L16" s="3">
        <v>38657</v>
      </c>
      <c r="M16" s="5">
        <v>302</v>
      </c>
      <c r="N16" s="5"/>
      <c r="O16" s="5">
        <v>3617</v>
      </c>
      <c r="P16" s="5"/>
      <c r="Q16" s="5"/>
      <c r="R16" s="5">
        <v>3919</v>
      </c>
      <c r="V16" s="3">
        <v>38657</v>
      </c>
      <c r="W16" s="5">
        <v>445</v>
      </c>
      <c r="X16" s="5"/>
      <c r="Y16" s="5">
        <v>2881</v>
      </c>
      <c r="Z16" s="5">
        <v>593</v>
      </c>
      <c r="AA16" s="5">
        <v>3919</v>
      </c>
      <c r="AD16" s="3">
        <v>38657</v>
      </c>
      <c r="AE16">
        <f t="shared" si="0"/>
        <v>445</v>
      </c>
      <c r="AF16">
        <f t="shared" si="1"/>
        <v>0</v>
      </c>
      <c r="AG16">
        <f t="shared" si="2"/>
        <v>0</v>
      </c>
      <c r="AH16">
        <f t="shared" si="3"/>
        <v>3919</v>
      </c>
      <c r="AI16">
        <f t="shared" si="4"/>
        <v>3919</v>
      </c>
    </row>
    <row r="17" spans="1:35" x14ac:dyDescent="0.25">
      <c r="A17" s="11">
        <v>38534</v>
      </c>
      <c r="B17" s="12">
        <v>1263</v>
      </c>
      <c r="C17" s="12" t="s">
        <v>2</v>
      </c>
      <c r="D17" s="1"/>
      <c r="F17" s="11">
        <v>38443</v>
      </c>
      <c r="G17" s="12">
        <v>55</v>
      </c>
      <c r="H17" s="12" t="s">
        <v>15</v>
      </c>
      <c r="L17" s="3">
        <v>38687</v>
      </c>
      <c r="M17" s="5">
        <v>1433</v>
      </c>
      <c r="N17" s="5"/>
      <c r="O17" s="5">
        <v>11188</v>
      </c>
      <c r="P17" s="5"/>
      <c r="Q17" s="5"/>
      <c r="R17" s="5">
        <v>12621</v>
      </c>
      <c r="V17" s="3">
        <v>38687</v>
      </c>
      <c r="W17" s="5">
        <v>1387</v>
      </c>
      <c r="X17" s="5">
        <v>1</v>
      </c>
      <c r="Y17" s="5">
        <v>8239</v>
      </c>
      <c r="Z17" s="5">
        <v>2994</v>
      </c>
      <c r="AA17" s="5">
        <v>12621</v>
      </c>
      <c r="AD17" s="3">
        <v>38687</v>
      </c>
      <c r="AE17">
        <f t="shared" si="0"/>
        <v>1387</v>
      </c>
      <c r="AF17">
        <f t="shared" si="1"/>
        <v>0</v>
      </c>
      <c r="AG17">
        <f t="shared" si="2"/>
        <v>0</v>
      </c>
      <c r="AH17">
        <f t="shared" si="3"/>
        <v>12621</v>
      </c>
      <c r="AI17">
        <f t="shared" si="4"/>
        <v>12621</v>
      </c>
    </row>
    <row r="18" spans="1:35" x14ac:dyDescent="0.25">
      <c r="A18" s="11">
        <v>38534</v>
      </c>
      <c r="B18" s="12">
        <v>70</v>
      </c>
      <c r="C18" s="12" t="s">
        <v>3</v>
      </c>
      <c r="D18" s="1"/>
      <c r="F18" s="11">
        <v>38473</v>
      </c>
      <c r="G18" s="12">
        <v>49</v>
      </c>
      <c r="H18" s="12" t="s">
        <v>15</v>
      </c>
      <c r="L18" s="3">
        <v>38718</v>
      </c>
      <c r="M18" s="5">
        <v>2150</v>
      </c>
      <c r="N18" s="5"/>
      <c r="O18" s="5">
        <v>18474</v>
      </c>
      <c r="P18" s="5"/>
      <c r="Q18" s="5"/>
      <c r="R18" s="5">
        <v>20624</v>
      </c>
      <c r="V18" s="3">
        <v>38718</v>
      </c>
      <c r="W18" s="5">
        <v>2295</v>
      </c>
      <c r="X18" s="5"/>
      <c r="Y18" s="5">
        <v>13637</v>
      </c>
      <c r="Z18" s="5">
        <v>4692</v>
      </c>
      <c r="AA18" s="5">
        <v>20624</v>
      </c>
      <c r="AD18" s="3">
        <v>38718</v>
      </c>
      <c r="AE18">
        <f t="shared" si="0"/>
        <v>2295</v>
      </c>
      <c r="AF18">
        <f t="shared" si="1"/>
        <v>0</v>
      </c>
      <c r="AG18">
        <f t="shared" si="2"/>
        <v>0</v>
      </c>
      <c r="AH18">
        <f t="shared" si="3"/>
        <v>20624</v>
      </c>
      <c r="AI18">
        <f t="shared" si="4"/>
        <v>20624</v>
      </c>
    </row>
    <row r="19" spans="1:35" x14ac:dyDescent="0.25">
      <c r="A19" s="11">
        <v>38565</v>
      </c>
      <c r="B19" s="12">
        <v>65</v>
      </c>
      <c r="C19" s="12" t="s">
        <v>3</v>
      </c>
      <c r="D19" s="1"/>
      <c r="F19" s="11">
        <v>38473</v>
      </c>
      <c r="G19" s="12">
        <v>835</v>
      </c>
      <c r="H19" s="12" t="s">
        <v>16</v>
      </c>
      <c r="L19" s="3">
        <v>38749</v>
      </c>
      <c r="M19" s="5">
        <v>2140</v>
      </c>
      <c r="N19" s="5"/>
      <c r="O19" s="5">
        <v>17527</v>
      </c>
      <c r="P19" s="5"/>
      <c r="Q19" s="5"/>
      <c r="R19" s="5">
        <v>19667</v>
      </c>
      <c r="V19" s="3">
        <v>38749</v>
      </c>
      <c r="W19" s="5">
        <v>2065</v>
      </c>
      <c r="X19" s="5">
        <v>1</v>
      </c>
      <c r="Y19" s="5">
        <v>13380</v>
      </c>
      <c r="Z19" s="5">
        <v>4221</v>
      </c>
      <c r="AA19" s="5">
        <v>19667</v>
      </c>
      <c r="AD19" s="3">
        <v>38749</v>
      </c>
      <c r="AE19">
        <f t="shared" si="0"/>
        <v>2065</v>
      </c>
      <c r="AF19">
        <f t="shared" si="1"/>
        <v>0</v>
      </c>
      <c r="AG19">
        <f t="shared" si="2"/>
        <v>0</v>
      </c>
      <c r="AH19">
        <f t="shared" si="3"/>
        <v>19667</v>
      </c>
      <c r="AI19">
        <f t="shared" si="4"/>
        <v>19667</v>
      </c>
    </row>
    <row r="20" spans="1:35" x14ac:dyDescent="0.25">
      <c r="A20" s="11">
        <v>38565</v>
      </c>
      <c r="B20" s="12">
        <v>1418</v>
      </c>
      <c r="C20" s="12" t="s">
        <v>2</v>
      </c>
      <c r="D20" s="1"/>
      <c r="F20" s="11">
        <v>38473</v>
      </c>
      <c r="G20" s="12">
        <v>98</v>
      </c>
      <c r="H20" s="12" t="s">
        <v>14</v>
      </c>
      <c r="L20" s="3">
        <v>38777</v>
      </c>
      <c r="M20" s="5">
        <v>1937</v>
      </c>
      <c r="N20" s="5"/>
      <c r="O20" s="5">
        <v>14676</v>
      </c>
      <c r="P20" s="5"/>
      <c r="Q20" s="5"/>
      <c r="R20" s="5">
        <v>16613</v>
      </c>
      <c r="V20" s="3">
        <v>38777</v>
      </c>
      <c r="W20" s="5">
        <v>1822</v>
      </c>
      <c r="X20" s="5"/>
      <c r="Y20" s="5">
        <v>10719</v>
      </c>
      <c r="Z20" s="5">
        <v>4072</v>
      </c>
      <c r="AA20" s="5">
        <v>16613</v>
      </c>
      <c r="AD20" s="3">
        <v>38777</v>
      </c>
      <c r="AE20">
        <f t="shared" si="0"/>
        <v>1822</v>
      </c>
      <c r="AF20">
        <f t="shared" si="1"/>
        <v>0</v>
      </c>
      <c r="AG20">
        <f t="shared" si="2"/>
        <v>0</v>
      </c>
      <c r="AH20">
        <f t="shared" si="3"/>
        <v>16613</v>
      </c>
      <c r="AI20">
        <f t="shared" si="4"/>
        <v>16613</v>
      </c>
    </row>
    <row r="21" spans="1:35" x14ac:dyDescent="0.25">
      <c r="A21" s="11">
        <v>38596</v>
      </c>
      <c r="B21" s="12">
        <v>1563</v>
      </c>
      <c r="C21" s="12" t="s">
        <v>2</v>
      </c>
      <c r="D21" s="1"/>
      <c r="F21" s="11">
        <v>38504</v>
      </c>
      <c r="G21" s="12">
        <v>60</v>
      </c>
      <c r="H21" s="12" t="s">
        <v>15</v>
      </c>
      <c r="L21" s="3">
        <v>38808</v>
      </c>
      <c r="M21" s="5">
        <v>2043</v>
      </c>
      <c r="N21" s="5"/>
      <c r="O21" s="5">
        <v>15946</v>
      </c>
      <c r="P21" s="5"/>
      <c r="Q21" s="5"/>
      <c r="R21" s="5">
        <v>17989</v>
      </c>
      <c r="V21" s="3">
        <v>38808</v>
      </c>
      <c r="W21" s="5">
        <v>1770</v>
      </c>
      <c r="X21" s="5"/>
      <c r="Y21" s="5">
        <v>11832</v>
      </c>
      <c r="Z21" s="5">
        <v>4387</v>
      </c>
      <c r="AA21" s="5">
        <v>17989</v>
      </c>
      <c r="AD21" s="3">
        <v>38808</v>
      </c>
      <c r="AE21">
        <f t="shared" si="0"/>
        <v>1770</v>
      </c>
      <c r="AF21">
        <f t="shared" si="1"/>
        <v>0</v>
      </c>
      <c r="AG21">
        <f t="shared" si="2"/>
        <v>0</v>
      </c>
      <c r="AH21">
        <f t="shared" si="3"/>
        <v>17989</v>
      </c>
      <c r="AI21">
        <f t="shared" si="4"/>
        <v>17989</v>
      </c>
    </row>
    <row r="22" spans="1:35" x14ac:dyDescent="0.25">
      <c r="A22" s="11">
        <v>38596</v>
      </c>
      <c r="B22" s="12">
        <v>108</v>
      </c>
      <c r="C22" s="12" t="s">
        <v>3</v>
      </c>
      <c r="D22" s="1"/>
      <c r="F22" s="11">
        <v>38504</v>
      </c>
      <c r="G22" s="12">
        <v>900</v>
      </c>
      <c r="H22" s="12" t="s">
        <v>16</v>
      </c>
      <c r="L22" s="3">
        <v>38838</v>
      </c>
      <c r="M22" s="5">
        <v>2033</v>
      </c>
      <c r="N22" s="5"/>
      <c r="O22" s="5">
        <v>19020</v>
      </c>
      <c r="P22" s="5"/>
      <c r="Q22" s="5"/>
      <c r="R22" s="5">
        <v>21053</v>
      </c>
      <c r="V22" s="3">
        <v>38838</v>
      </c>
      <c r="W22" s="5">
        <v>1798</v>
      </c>
      <c r="X22" s="5">
        <v>1</v>
      </c>
      <c r="Y22" s="5">
        <v>14676</v>
      </c>
      <c r="Z22" s="5">
        <v>4578</v>
      </c>
      <c r="AA22" s="5">
        <v>21053</v>
      </c>
      <c r="AD22" s="3">
        <v>38838</v>
      </c>
      <c r="AE22">
        <f t="shared" si="0"/>
        <v>1798</v>
      </c>
      <c r="AF22">
        <f t="shared" si="1"/>
        <v>0</v>
      </c>
      <c r="AG22">
        <f t="shared" si="2"/>
        <v>0</v>
      </c>
      <c r="AH22">
        <f t="shared" si="3"/>
        <v>21053</v>
      </c>
      <c r="AI22">
        <f t="shared" si="4"/>
        <v>21053</v>
      </c>
    </row>
    <row r="23" spans="1:35" x14ac:dyDescent="0.25">
      <c r="A23" s="11">
        <v>38626</v>
      </c>
      <c r="B23" s="12">
        <v>2269</v>
      </c>
      <c r="C23" s="12" t="s">
        <v>2</v>
      </c>
      <c r="D23" s="1"/>
      <c r="F23" s="11">
        <v>38504</v>
      </c>
      <c r="G23" s="12">
        <v>119</v>
      </c>
      <c r="H23" s="12" t="s">
        <v>14</v>
      </c>
      <c r="L23" s="3">
        <v>38869</v>
      </c>
      <c r="M23" s="5">
        <v>1886</v>
      </c>
      <c r="N23" s="5"/>
      <c r="O23" s="5">
        <v>19132</v>
      </c>
      <c r="P23" s="5"/>
      <c r="Q23" s="5"/>
      <c r="R23" s="5">
        <v>21018</v>
      </c>
      <c r="V23" s="3">
        <v>38869</v>
      </c>
      <c r="W23" s="5">
        <v>1716</v>
      </c>
      <c r="X23" s="5">
        <v>1</v>
      </c>
      <c r="Y23" s="5">
        <v>15392</v>
      </c>
      <c r="Z23" s="5">
        <v>3909</v>
      </c>
      <c r="AA23" s="5">
        <v>21018</v>
      </c>
      <c r="AD23" s="3">
        <v>38869</v>
      </c>
      <c r="AE23">
        <f t="shared" si="0"/>
        <v>1716</v>
      </c>
      <c r="AF23">
        <f t="shared" si="1"/>
        <v>0</v>
      </c>
      <c r="AG23">
        <f t="shared" si="2"/>
        <v>0</v>
      </c>
      <c r="AH23">
        <f t="shared" si="3"/>
        <v>21018</v>
      </c>
      <c r="AI23">
        <f t="shared" si="4"/>
        <v>21018</v>
      </c>
    </row>
    <row r="24" spans="1:35" x14ac:dyDescent="0.25">
      <c r="A24" s="11">
        <v>38626</v>
      </c>
      <c r="B24" s="12">
        <v>145</v>
      </c>
      <c r="C24" s="12" t="s">
        <v>3</v>
      </c>
      <c r="D24" s="1"/>
      <c r="F24" s="11">
        <v>38534</v>
      </c>
      <c r="G24" s="12">
        <v>105</v>
      </c>
      <c r="H24" s="12" t="s">
        <v>15</v>
      </c>
      <c r="L24" s="3">
        <v>38899</v>
      </c>
      <c r="M24" s="5">
        <v>1871</v>
      </c>
      <c r="N24" s="5"/>
      <c r="O24" s="5">
        <v>20760</v>
      </c>
      <c r="P24" s="5"/>
      <c r="Q24" s="5"/>
      <c r="R24" s="5">
        <v>22631</v>
      </c>
      <c r="V24" s="3">
        <v>38899</v>
      </c>
      <c r="W24" s="5">
        <v>1721</v>
      </c>
      <c r="X24" s="5"/>
      <c r="Y24" s="5">
        <v>17111</v>
      </c>
      <c r="Z24" s="5">
        <v>3799</v>
      </c>
      <c r="AA24" s="5">
        <v>22631</v>
      </c>
      <c r="AD24" s="3">
        <v>38899</v>
      </c>
      <c r="AE24">
        <f t="shared" si="0"/>
        <v>1721</v>
      </c>
      <c r="AF24">
        <f t="shared" si="1"/>
        <v>0</v>
      </c>
      <c r="AG24">
        <f t="shared" si="2"/>
        <v>0</v>
      </c>
      <c r="AH24">
        <f t="shared" si="3"/>
        <v>22631</v>
      </c>
      <c r="AI24">
        <f t="shared" si="4"/>
        <v>22631</v>
      </c>
    </row>
    <row r="25" spans="1:35" x14ac:dyDescent="0.25">
      <c r="A25" s="11">
        <v>38657</v>
      </c>
      <c r="B25" s="12">
        <v>3617</v>
      </c>
      <c r="C25" s="12" t="s">
        <v>2</v>
      </c>
      <c r="D25" s="1"/>
      <c r="F25" s="11">
        <v>38534</v>
      </c>
      <c r="G25" s="12">
        <v>1098</v>
      </c>
      <c r="H25" s="12" t="s">
        <v>16</v>
      </c>
      <c r="L25" s="3">
        <v>38930</v>
      </c>
      <c r="M25" s="5">
        <v>1917</v>
      </c>
      <c r="N25" s="5"/>
      <c r="O25" s="5">
        <v>23340</v>
      </c>
      <c r="P25" s="5"/>
      <c r="Q25" s="5"/>
      <c r="R25" s="5">
        <v>25257</v>
      </c>
      <c r="V25" s="3">
        <v>38930</v>
      </c>
      <c r="W25" s="5">
        <v>1634</v>
      </c>
      <c r="X25" s="5"/>
      <c r="Y25" s="5">
        <v>19855</v>
      </c>
      <c r="Z25" s="5">
        <v>3768</v>
      </c>
      <c r="AA25" s="5">
        <v>25257</v>
      </c>
      <c r="AD25" s="3">
        <v>38930</v>
      </c>
      <c r="AE25">
        <f t="shared" si="0"/>
        <v>1634</v>
      </c>
      <c r="AF25">
        <f t="shared" si="1"/>
        <v>0</v>
      </c>
      <c r="AG25">
        <f t="shared" si="2"/>
        <v>0</v>
      </c>
      <c r="AH25">
        <f t="shared" si="3"/>
        <v>25257</v>
      </c>
      <c r="AI25">
        <f t="shared" si="4"/>
        <v>25257</v>
      </c>
    </row>
    <row r="26" spans="1:35" x14ac:dyDescent="0.25">
      <c r="A26" s="11">
        <v>38657</v>
      </c>
      <c r="B26" s="12">
        <v>302</v>
      </c>
      <c r="C26" s="12" t="s">
        <v>3</v>
      </c>
      <c r="D26" s="1"/>
      <c r="F26" s="11">
        <v>38534</v>
      </c>
      <c r="G26" s="12">
        <v>130</v>
      </c>
      <c r="H26" s="12" t="s">
        <v>14</v>
      </c>
      <c r="L26" s="3">
        <v>38961</v>
      </c>
      <c r="M26" s="5">
        <v>1727</v>
      </c>
      <c r="N26" s="5"/>
      <c r="O26" s="5">
        <v>21542</v>
      </c>
      <c r="P26" s="5"/>
      <c r="Q26" s="5"/>
      <c r="R26" s="5">
        <v>23269</v>
      </c>
      <c r="V26" s="3">
        <v>38961</v>
      </c>
      <c r="W26" s="5">
        <v>1463</v>
      </c>
      <c r="X26" s="5"/>
      <c r="Y26" s="5">
        <v>18481</v>
      </c>
      <c r="Z26" s="5">
        <v>3325</v>
      </c>
      <c r="AA26" s="5">
        <v>23269</v>
      </c>
      <c r="AD26" s="3">
        <v>38961</v>
      </c>
      <c r="AE26">
        <f t="shared" si="0"/>
        <v>1463</v>
      </c>
      <c r="AF26">
        <f t="shared" si="1"/>
        <v>0</v>
      </c>
      <c r="AG26">
        <f t="shared" si="2"/>
        <v>0</v>
      </c>
      <c r="AH26">
        <f t="shared" si="3"/>
        <v>23269</v>
      </c>
      <c r="AI26">
        <f t="shared" si="4"/>
        <v>23269</v>
      </c>
    </row>
    <row r="27" spans="1:35" x14ac:dyDescent="0.25">
      <c r="A27" s="11">
        <v>38687</v>
      </c>
      <c r="B27" s="12">
        <v>1433</v>
      </c>
      <c r="C27" s="12" t="s">
        <v>3</v>
      </c>
      <c r="D27" s="1"/>
      <c r="F27" s="11">
        <v>38565</v>
      </c>
      <c r="G27" s="12">
        <v>95</v>
      </c>
      <c r="H27" s="12" t="s">
        <v>15</v>
      </c>
      <c r="L27" s="3">
        <v>38991</v>
      </c>
      <c r="M27" s="5">
        <v>1944</v>
      </c>
      <c r="N27" s="5"/>
      <c r="O27" s="5">
        <v>22345</v>
      </c>
      <c r="P27" s="5"/>
      <c r="Q27" s="5"/>
      <c r="R27" s="5">
        <v>24289</v>
      </c>
      <c r="V27" s="3">
        <v>38991</v>
      </c>
      <c r="W27" s="5">
        <v>1491</v>
      </c>
      <c r="X27" s="5"/>
      <c r="Y27" s="5">
        <v>18928</v>
      </c>
      <c r="Z27" s="5">
        <v>3870</v>
      </c>
      <c r="AA27" s="5">
        <v>24289</v>
      </c>
      <c r="AD27" s="3">
        <v>38991</v>
      </c>
      <c r="AE27">
        <f t="shared" si="0"/>
        <v>1491</v>
      </c>
      <c r="AF27">
        <f t="shared" si="1"/>
        <v>0</v>
      </c>
      <c r="AG27">
        <f t="shared" si="2"/>
        <v>0</v>
      </c>
      <c r="AH27">
        <f t="shared" si="3"/>
        <v>24289</v>
      </c>
      <c r="AI27">
        <f t="shared" si="4"/>
        <v>24289</v>
      </c>
    </row>
    <row r="28" spans="1:35" x14ac:dyDescent="0.25">
      <c r="A28" s="11">
        <v>38687</v>
      </c>
      <c r="B28" s="12">
        <v>11188</v>
      </c>
      <c r="C28" s="12" t="s">
        <v>2</v>
      </c>
      <c r="D28" s="1"/>
      <c r="F28" s="11">
        <v>38565</v>
      </c>
      <c r="G28" s="12">
        <v>1255</v>
      </c>
      <c r="H28" s="12" t="s">
        <v>16</v>
      </c>
      <c r="L28" s="3">
        <v>39022</v>
      </c>
      <c r="M28" s="5">
        <v>2119</v>
      </c>
      <c r="N28" s="5"/>
      <c r="O28" s="5">
        <v>20884</v>
      </c>
      <c r="P28" s="5"/>
      <c r="Q28" s="5"/>
      <c r="R28" s="5">
        <v>23003</v>
      </c>
      <c r="V28" s="3">
        <v>39022</v>
      </c>
      <c r="W28" s="5">
        <v>1415</v>
      </c>
      <c r="X28" s="5">
        <v>1</v>
      </c>
      <c r="Y28" s="5">
        <v>17242</v>
      </c>
      <c r="Z28" s="5">
        <v>4345</v>
      </c>
      <c r="AA28" s="5">
        <v>23003</v>
      </c>
      <c r="AD28" s="3">
        <v>39022</v>
      </c>
      <c r="AE28">
        <f t="shared" si="0"/>
        <v>1415</v>
      </c>
      <c r="AF28">
        <f t="shared" si="1"/>
        <v>0</v>
      </c>
      <c r="AG28">
        <f t="shared" si="2"/>
        <v>0</v>
      </c>
      <c r="AH28">
        <f t="shared" si="3"/>
        <v>23003</v>
      </c>
      <c r="AI28">
        <f t="shared" si="4"/>
        <v>23003</v>
      </c>
    </row>
    <row r="29" spans="1:35" x14ac:dyDescent="0.25">
      <c r="A29" s="11">
        <v>38718</v>
      </c>
      <c r="B29" s="12">
        <v>2150</v>
      </c>
      <c r="C29" s="12" t="s">
        <v>3</v>
      </c>
      <c r="D29" s="1"/>
      <c r="F29" s="11">
        <v>38565</v>
      </c>
      <c r="G29" s="12">
        <v>133</v>
      </c>
      <c r="H29" s="12" t="s">
        <v>14</v>
      </c>
      <c r="L29" s="3">
        <v>39052</v>
      </c>
      <c r="M29" s="5">
        <v>2877</v>
      </c>
      <c r="N29" s="5"/>
      <c r="O29" s="5">
        <v>21853</v>
      </c>
      <c r="P29" s="5"/>
      <c r="Q29" s="5"/>
      <c r="R29" s="5">
        <v>24730</v>
      </c>
      <c r="V29" s="3">
        <v>39052</v>
      </c>
      <c r="W29" s="5">
        <v>1652</v>
      </c>
      <c r="X29" s="5">
        <v>1</v>
      </c>
      <c r="Y29" s="5">
        <v>17359</v>
      </c>
      <c r="Z29" s="5">
        <v>5718</v>
      </c>
      <c r="AA29" s="5">
        <v>24730</v>
      </c>
      <c r="AD29" s="3">
        <v>39052</v>
      </c>
      <c r="AE29">
        <f t="shared" si="0"/>
        <v>1652</v>
      </c>
      <c r="AF29">
        <f t="shared" si="1"/>
        <v>0</v>
      </c>
      <c r="AG29">
        <f t="shared" si="2"/>
        <v>0</v>
      </c>
      <c r="AH29">
        <f t="shared" si="3"/>
        <v>24730</v>
      </c>
      <c r="AI29">
        <f t="shared" si="4"/>
        <v>24730</v>
      </c>
    </row>
    <row r="30" spans="1:35" x14ac:dyDescent="0.25">
      <c r="A30" s="11">
        <v>38718</v>
      </c>
      <c r="B30" s="12">
        <v>18474</v>
      </c>
      <c r="C30" s="12" t="s">
        <v>2</v>
      </c>
      <c r="D30" s="1"/>
      <c r="F30" s="11">
        <v>38596</v>
      </c>
      <c r="G30" s="12">
        <v>177</v>
      </c>
      <c r="H30" s="12" t="s">
        <v>15</v>
      </c>
      <c r="L30" s="3">
        <v>39083</v>
      </c>
      <c r="M30" s="5">
        <v>2665</v>
      </c>
      <c r="N30" s="5"/>
      <c r="O30" s="5">
        <v>20334</v>
      </c>
      <c r="P30" s="5"/>
      <c r="Q30" s="5"/>
      <c r="R30" s="5">
        <v>22999</v>
      </c>
      <c r="V30" s="3">
        <v>39083</v>
      </c>
      <c r="W30" s="5">
        <v>1465</v>
      </c>
      <c r="X30" s="5"/>
      <c r="Y30" s="5">
        <v>16251</v>
      </c>
      <c r="Z30" s="5">
        <v>5283</v>
      </c>
      <c r="AA30" s="5">
        <v>22999</v>
      </c>
      <c r="AD30" s="3">
        <v>39083</v>
      </c>
      <c r="AE30">
        <f t="shared" si="0"/>
        <v>1465</v>
      </c>
      <c r="AF30">
        <f t="shared" si="1"/>
        <v>0</v>
      </c>
      <c r="AG30">
        <f t="shared" si="2"/>
        <v>0</v>
      </c>
      <c r="AH30">
        <f t="shared" si="3"/>
        <v>22999</v>
      </c>
      <c r="AI30">
        <f t="shared" si="4"/>
        <v>22999</v>
      </c>
    </row>
    <row r="31" spans="1:35" x14ac:dyDescent="0.25">
      <c r="A31" s="11">
        <v>38749</v>
      </c>
      <c r="B31" s="12">
        <v>2140</v>
      </c>
      <c r="C31" s="12" t="s">
        <v>3</v>
      </c>
      <c r="D31" s="1"/>
      <c r="F31" s="11">
        <v>38596</v>
      </c>
      <c r="G31" s="12">
        <v>1349</v>
      </c>
      <c r="H31" s="12" t="s">
        <v>16</v>
      </c>
      <c r="L31" s="3">
        <v>39114</v>
      </c>
      <c r="M31" s="5">
        <v>3049</v>
      </c>
      <c r="N31" s="5"/>
      <c r="O31" s="5">
        <v>20359</v>
      </c>
      <c r="P31" s="5"/>
      <c r="Q31" s="5"/>
      <c r="R31" s="5">
        <v>23408</v>
      </c>
      <c r="V31" s="3">
        <v>39114</v>
      </c>
      <c r="W31" s="5">
        <v>1437</v>
      </c>
      <c r="X31" s="5">
        <v>2</v>
      </c>
      <c r="Y31" s="5">
        <v>15987</v>
      </c>
      <c r="Z31" s="5">
        <v>5982</v>
      </c>
      <c r="AA31" s="5">
        <v>23408</v>
      </c>
      <c r="AD31" s="3">
        <v>39114</v>
      </c>
      <c r="AE31">
        <f t="shared" si="0"/>
        <v>1437</v>
      </c>
      <c r="AF31">
        <f t="shared" si="1"/>
        <v>0</v>
      </c>
      <c r="AG31">
        <f t="shared" si="2"/>
        <v>0</v>
      </c>
      <c r="AH31">
        <f t="shared" si="3"/>
        <v>23408</v>
      </c>
      <c r="AI31">
        <f t="shared" si="4"/>
        <v>23408</v>
      </c>
    </row>
    <row r="32" spans="1:35" x14ac:dyDescent="0.25">
      <c r="A32" s="11">
        <v>38749</v>
      </c>
      <c r="B32" s="12">
        <v>17527</v>
      </c>
      <c r="C32" s="12" t="s">
        <v>2</v>
      </c>
      <c r="D32" s="1"/>
      <c r="F32" s="11">
        <v>38596</v>
      </c>
      <c r="G32" s="12">
        <v>145</v>
      </c>
      <c r="H32" s="12" t="s">
        <v>14</v>
      </c>
      <c r="L32" s="3">
        <v>39142</v>
      </c>
      <c r="M32" s="5">
        <v>3206</v>
      </c>
      <c r="N32" s="5"/>
      <c r="O32" s="5">
        <v>18696</v>
      </c>
      <c r="P32" s="5"/>
      <c r="Q32" s="5"/>
      <c r="R32" s="5">
        <v>21902</v>
      </c>
      <c r="V32" s="3">
        <v>39142</v>
      </c>
      <c r="W32" s="5">
        <v>1409</v>
      </c>
      <c r="X32" s="5">
        <v>2</v>
      </c>
      <c r="Y32" s="5">
        <v>14337</v>
      </c>
      <c r="Z32" s="5">
        <v>6154</v>
      </c>
      <c r="AA32" s="5">
        <v>21902</v>
      </c>
      <c r="AD32" s="3">
        <v>39142</v>
      </c>
      <c r="AE32">
        <f t="shared" si="0"/>
        <v>1409</v>
      </c>
      <c r="AF32">
        <f t="shared" si="1"/>
        <v>0</v>
      </c>
      <c r="AG32">
        <f t="shared" si="2"/>
        <v>0</v>
      </c>
      <c r="AH32">
        <f t="shared" si="3"/>
        <v>21902</v>
      </c>
      <c r="AI32">
        <f t="shared" si="4"/>
        <v>21902</v>
      </c>
    </row>
    <row r="33" spans="1:35" x14ac:dyDescent="0.25">
      <c r="A33" s="11">
        <v>38777</v>
      </c>
      <c r="B33" s="12">
        <v>1937</v>
      </c>
      <c r="C33" s="12" t="s">
        <v>3</v>
      </c>
      <c r="D33" s="1"/>
      <c r="F33" s="11">
        <v>38626</v>
      </c>
      <c r="G33" s="12">
        <v>247</v>
      </c>
      <c r="H33" s="12" t="s">
        <v>15</v>
      </c>
      <c r="L33" s="3">
        <v>39173</v>
      </c>
      <c r="M33" s="5">
        <v>3031</v>
      </c>
      <c r="N33" s="5"/>
      <c r="O33" s="5">
        <v>21692</v>
      </c>
      <c r="P33" s="5"/>
      <c r="Q33" s="5"/>
      <c r="R33" s="5">
        <v>24723</v>
      </c>
      <c r="V33" s="3">
        <v>39173</v>
      </c>
      <c r="W33" s="5">
        <v>1286</v>
      </c>
      <c r="X33" s="5">
        <v>1</v>
      </c>
      <c r="Y33" s="5">
        <v>17636</v>
      </c>
      <c r="Z33" s="5">
        <v>5800</v>
      </c>
      <c r="AA33" s="5">
        <v>24723</v>
      </c>
      <c r="AD33" s="3">
        <v>39173</v>
      </c>
      <c r="AE33">
        <f t="shared" si="0"/>
        <v>1286</v>
      </c>
      <c r="AF33">
        <f t="shared" si="1"/>
        <v>0</v>
      </c>
      <c r="AG33">
        <f t="shared" si="2"/>
        <v>0</v>
      </c>
      <c r="AH33">
        <f t="shared" si="3"/>
        <v>24723</v>
      </c>
      <c r="AI33">
        <f t="shared" si="4"/>
        <v>24723</v>
      </c>
    </row>
    <row r="34" spans="1:35" x14ac:dyDescent="0.25">
      <c r="A34" s="11">
        <v>38777</v>
      </c>
      <c r="B34" s="12">
        <v>14676</v>
      </c>
      <c r="C34" s="12" t="s">
        <v>2</v>
      </c>
      <c r="D34" s="1"/>
      <c r="F34" s="11">
        <v>38626</v>
      </c>
      <c r="G34" s="12">
        <v>1937</v>
      </c>
      <c r="H34" s="12" t="s">
        <v>16</v>
      </c>
      <c r="L34" s="3">
        <v>39203</v>
      </c>
      <c r="M34" s="5">
        <v>4195</v>
      </c>
      <c r="N34" s="5"/>
      <c r="O34" s="5">
        <v>29819</v>
      </c>
      <c r="P34" s="5"/>
      <c r="Q34" s="5"/>
      <c r="R34" s="5">
        <v>34014</v>
      </c>
      <c r="V34" s="3">
        <v>39203</v>
      </c>
      <c r="W34" s="5">
        <v>1594</v>
      </c>
      <c r="X34" s="5">
        <v>2</v>
      </c>
      <c r="Y34" s="5">
        <v>24500</v>
      </c>
      <c r="Z34" s="5">
        <v>7918</v>
      </c>
      <c r="AA34" s="5">
        <v>34014</v>
      </c>
      <c r="AD34" s="3">
        <v>39203</v>
      </c>
      <c r="AE34">
        <f t="shared" si="0"/>
        <v>1594</v>
      </c>
      <c r="AF34">
        <f t="shared" si="1"/>
        <v>0</v>
      </c>
      <c r="AG34">
        <f t="shared" si="2"/>
        <v>0</v>
      </c>
      <c r="AH34">
        <f t="shared" si="3"/>
        <v>34014</v>
      </c>
      <c r="AI34">
        <f t="shared" si="4"/>
        <v>34014</v>
      </c>
    </row>
    <row r="35" spans="1:35" x14ac:dyDescent="0.25">
      <c r="A35" s="11">
        <v>38808</v>
      </c>
      <c r="B35" s="12">
        <v>2043</v>
      </c>
      <c r="C35" s="12" t="s">
        <v>3</v>
      </c>
      <c r="D35" s="1"/>
      <c r="F35" s="11">
        <v>38626</v>
      </c>
      <c r="G35" s="12">
        <v>230</v>
      </c>
      <c r="H35" s="12" t="s">
        <v>14</v>
      </c>
      <c r="L35" s="3">
        <v>39234</v>
      </c>
      <c r="M35" s="5">
        <v>4924</v>
      </c>
      <c r="N35" s="5"/>
      <c r="O35" s="5">
        <v>33413</v>
      </c>
      <c r="P35" s="5"/>
      <c r="Q35" s="5"/>
      <c r="R35" s="5">
        <v>38337</v>
      </c>
      <c r="V35" s="3">
        <v>39234</v>
      </c>
      <c r="W35" s="5">
        <v>1586</v>
      </c>
      <c r="X35" s="5">
        <v>3</v>
      </c>
      <c r="Y35" s="5">
        <v>27518</v>
      </c>
      <c r="Z35" s="5">
        <v>9230</v>
      </c>
      <c r="AA35" s="5">
        <v>38337</v>
      </c>
      <c r="AD35" s="3">
        <v>39234</v>
      </c>
      <c r="AE35">
        <f t="shared" si="0"/>
        <v>1586</v>
      </c>
      <c r="AF35">
        <f t="shared" si="1"/>
        <v>0</v>
      </c>
      <c r="AG35">
        <f t="shared" si="2"/>
        <v>0</v>
      </c>
      <c r="AH35">
        <f t="shared" si="3"/>
        <v>38337</v>
      </c>
      <c r="AI35">
        <f t="shared" si="4"/>
        <v>38337</v>
      </c>
    </row>
    <row r="36" spans="1:35" x14ac:dyDescent="0.25">
      <c r="A36" s="11">
        <v>38808</v>
      </c>
      <c r="B36" s="12">
        <v>15946</v>
      </c>
      <c r="C36" s="12" t="s">
        <v>2</v>
      </c>
      <c r="D36" s="1"/>
      <c r="F36" s="11">
        <v>38657</v>
      </c>
      <c r="G36" s="12">
        <v>593</v>
      </c>
      <c r="H36" s="12" t="s">
        <v>15</v>
      </c>
      <c r="L36" s="3">
        <v>39264</v>
      </c>
      <c r="M36" s="5">
        <v>4856</v>
      </c>
      <c r="N36" s="5"/>
      <c r="O36" s="5">
        <v>39616</v>
      </c>
      <c r="P36" s="5"/>
      <c r="Q36" s="5"/>
      <c r="R36" s="5">
        <v>44472</v>
      </c>
      <c r="V36" s="3">
        <v>39264</v>
      </c>
      <c r="W36" s="5">
        <v>1610</v>
      </c>
      <c r="X36" s="5"/>
      <c r="Y36" s="5">
        <v>33978</v>
      </c>
      <c r="Z36" s="5">
        <v>8884</v>
      </c>
      <c r="AA36" s="5">
        <v>44472</v>
      </c>
      <c r="AD36" s="3">
        <v>39264</v>
      </c>
      <c r="AE36">
        <f t="shared" si="0"/>
        <v>1610</v>
      </c>
      <c r="AF36">
        <f t="shared" si="1"/>
        <v>0</v>
      </c>
      <c r="AG36">
        <f t="shared" si="2"/>
        <v>0</v>
      </c>
      <c r="AH36">
        <f t="shared" si="3"/>
        <v>44472</v>
      </c>
      <c r="AI36">
        <f t="shared" si="4"/>
        <v>44472</v>
      </c>
    </row>
    <row r="37" spans="1:35" x14ac:dyDescent="0.25">
      <c r="A37" s="11">
        <v>38838</v>
      </c>
      <c r="B37" s="12">
        <v>2033</v>
      </c>
      <c r="C37" s="12" t="s">
        <v>3</v>
      </c>
      <c r="D37" s="1"/>
      <c r="F37" s="11">
        <v>38657</v>
      </c>
      <c r="G37" s="12">
        <v>2881</v>
      </c>
      <c r="H37" s="12" t="s">
        <v>16</v>
      </c>
      <c r="L37" s="3">
        <v>39295</v>
      </c>
      <c r="M37" s="5">
        <v>4324</v>
      </c>
      <c r="N37" s="5"/>
      <c r="O37" s="5">
        <v>42328</v>
      </c>
      <c r="P37" s="5"/>
      <c r="Q37" s="5"/>
      <c r="R37" s="5">
        <v>46652</v>
      </c>
      <c r="V37" s="3">
        <v>39295</v>
      </c>
      <c r="W37" s="5">
        <v>1480</v>
      </c>
      <c r="X37" s="5"/>
      <c r="Y37" s="5">
        <v>37140</v>
      </c>
      <c r="Z37" s="5">
        <v>8032</v>
      </c>
      <c r="AA37" s="5">
        <v>46652</v>
      </c>
      <c r="AD37" s="3">
        <v>39295</v>
      </c>
      <c r="AE37">
        <f t="shared" si="0"/>
        <v>1480</v>
      </c>
      <c r="AF37">
        <f t="shared" si="1"/>
        <v>0</v>
      </c>
      <c r="AG37">
        <f t="shared" si="2"/>
        <v>0</v>
      </c>
      <c r="AH37">
        <f t="shared" si="3"/>
        <v>46652</v>
      </c>
      <c r="AI37">
        <f t="shared" si="4"/>
        <v>46652</v>
      </c>
    </row>
    <row r="38" spans="1:35" x14ac:dyDescent="0.25">
      <c r="A38" s="11">
        <v>38838</v>
      </c>
      <c r="B38" s="12">
        <v>19020</v>
      </c>
      <c r="C38" s="12" t="s">
        <v>2</v>
      </c>
      <c r="D38" s="1"/>
      <c r="F38" s="11">
        <v>38657</v>
      </c>
      <c r="G38" s="12">
        <v>445</v>
      </c>
      <c r="H38" s="12" t="s">
        <v>14</v>
      </c>
      <c r="L38" s="3">
        <v>39326</v>
      </c>
      <c r="M38" s="5">
        <v>4046</v>
      </c>
      <c r="N38" s="5"/>
      <c r="O38" s="5">
        <v>42572</v>
      </c>
      <c r="P38" s="5"/>
      <c r="Q38" s="5"/>
      <c r="R38" s="5">
        <v>46618</v>
      </c>
      <c r="V38" s="3">
        <v>39326</v>
      </c>
      <c r="W38" s="5">
        <v>1553</v>
      </c>
      <c r="X38" s="5">
        <v>1</v>
      </c>
      <c r="Y38" s="5">
        <v>37613</v>
      </c>
      <c r="Z38" s="5">
        <v>7451</v>
      </c>
      <c r="AA38" s="5">
        <v>46618</v>
      </c>
      <c r="AD38" s="3">
        <v>39326</v>
      </c>
      <c r="AE38">
        <f t="shared" si="0"/>
        <v>1553</v>
      </c>
      <c r="AF38">
        <f t="shared" si="1"/>
        <v>0</v>
      </c>
      <c r="AG38">
        <f t="shared" si="2"/>
        <v>0</v>
      </c>
      <c r="AH38">
        <f t="shared" si="3"/>
        <v>46618</v>
      </c>
      <c r="AI38">
        <f t="shared" si="4"/>
        <v>46618</v>
      </c>
    </row>
    <row r="39" spans="1:35" x14ac:dyDescent="0.25">
      <c r="A39" s="11">
        <v>38869</v>
      </c>
      <c r="B39" s="12">
        <v>1886</v>
      </c>
      <c r="C39" s="12" t="s">
        <v>3</v>
      </c>
      <c r="D39" s="1"/>
      <c r="F39" s="11">
        <v>38687</v>
      </c>
      <c r="G39" s="12">
        <v>2994</v>
      </c>
      <c r="H39" s="12" t="s">
        <v>15</v>
      </c>
      <c r="L39" s="3">
        <v>39356</v>
      </c>
      <c r="M39" s="5">
        <v>4178</v>
      </c>
      <c r="N39" s="5"/>
      <c r="O39" s="5">
        <v>43628</v>
      </c>
      <c r="P39" s="5"/>
      <c r="Q39" s="5"/>
      <c r="R39" s="5">
        <v>47806</v>
      </c>
      <c r="V39" s="3">
        <v>39356</v>
      </c>
      <c r="W39" s="5">
        <v>1532</v>
      </c>
      <c r="X39" s="5">
        <v>2</v>
      </c>
      <c r="Y39" s="5">
        <v>39075</v>
      </c>
      <c r="Z39" s="5">
        <v>7197</v>
      </c>
      <c r="AA39" s="5">
        <v>47806</v>
      </c>
      <c r="AD39" s="3">
        <v>39356</v>
      </c>
      <c r="AE39">
        <f t="shared" si="0"/>
        <v>1532</v>
      </c>
      <c r="AF39">
        <f t="shared" si="1"/>
        <v>0</v>
      </c>
      <c r="AG39">
        <f t="shared" si="2"/>
        <v>0</v>
      </c>
      <c r="AH39">
        <f t="shared" si="3"/>
        <v>47806</v>
      </c>
      <c r="AI39">
        <f t="shared" si="4"/>
        <v>47806</v>
      </c>
    </row>
    <row r="40" spans="1:35" x14ac:dyDescent="0.25">
      <c r="A40" s="11">
        <v>38869</v>
      </c>
      <c r="B40" s="12">
        <v>19132</v>
      </c>
      <c r="C40" s="12" t="s">
        <v>2</v>
      </c>
      <c r="D40" s="1"/>
      <c r="F40" s="11">
        <v>38687</v>
      </c>
      <c r="G40" s="12">
        <v>8239</v>
      </c>
      <c r="H40" s="12" t="s">
        <v>16</v>
      </c>
      <c r="L40" s="3">
        <v>39387</v>
      </c>
      <c r="M40" s="5">
        <v>5239</v>
      </c>
      <c r="N40" s="5"/>
      <c r="O40" s="5">
        <v>40046</v>
      </c>
      <c r="P40" s="5"/>
      <c r="Q40" s="5"/>
      <c r="R40" s="5">
        <v>45285</v>
      </c>
      <c r="V40" s="3">
        <v>39387</v>
      </c>
      <c r="W40" s="5">
        <v>1645</v>
      </c>
      <c r="X40" s="5"/>
      <c r="Y40" s="5">
        <v>34709</v>
      </c>
      <c r="Z40" s="5">
        <v>8931</v>
      </c>
      <c r="AA40" s="5">
        <v>45285</v>
      </c>
      <c r="AD40" s="3">
        <v>39387</v>
      </c>
      <c r="AE40">
        <f t="shared" si="0"/>
        <v>1645</v>
      </c>
      <c r="AF40">
        <f t="shared" si="1"/>
        <v>0</v>
      </c>
      <c r="AG40">
        <f t="shared" si="2"/>
        <v>0</v>
      </c>
      <c r="AH40">
        <f t="shared" si="3"/>
        <v>45285</v>
      </c>
      <c r="AI40">
        <f t="shared" si="4"/>
        <v>45285</v>
      </c>
    </row>
    <row r="41" spans="1:35" x14ac:dyDescent="0.25">
      <c r="A41" s="11">
        <v>38899</v>
      </c>
      <c r="B41" s="12">
        <v>1871</v>
      </c>
      <c r="C41" s="12" t="s">
        <v>3</v>
      </c>
      <c r="D41" s="1"/>
      <c r="F41" s="11">
        <v>38687</v>
      </c>
      <c r="G41" s="12">
        <v>1387</v>
      </c>
      <c r="H41" s="12" t="s">
        <v>14</v>
      </c>
      <c r="L41" s="3">
        <v>39417</v>
      </c>
      <c r="M41" s="5">
        <v>6375</v>
      </c>
      <c r="N41" s="5"/>
      <c r="O41" s="5">
        <v>39243</v>
      </c>
      <c r="P41" s="5"/>
      <c r="Q41" s="5"/>
      <c r="R41" s="5">
        <v>45618</v>
      </c>
      <c r="V41" s="3">
        <v>39417</v>
      </c>
      <c r="W41" s="5">
        <v>1747</v>
      </c>
      <c r="X41" s="5">
        <v>1</v>
      </c>
      <c r="Y41" s="5">
        <v>32768</v>
      </c>
      <c r="Z41" s="5">
        <v>11102</v>
      </c>
      <c r="AA41" s="5">
        <v>45618</v>
      </c>
      <c r="AD41" s="3">
        <v>39417</v>
      </c>
      <c r="AE41">
        <f t="shared" si="0"/>
        <v>1747</v>
      </c>
      <c r="AF41">
        <f t="shared" si="1"/>
        <v>0</v>
      </c>
      <c r="AG41">
        <f t="shared" si="2"/>
        <v>0</v>
      </c>
      <c r="AH41">
        <f t="shared" si="3"/>
        <v>45618</v>
      </c>
      <c r="AI41">
        <f t="shared" si="4"/>
        <v>45618</v>
      </c>
    </row>
    <row r="42" spans="1:35" x14ac:dyDescent="0.25">
      <c r="A42" s="11">
        <v>38899</v>
      </c>
      <c r="B42" s="12">
        <v>20760</v>
      </c>
      <c r="C42" s="12" t="s">
        <v>2</v>
      </c>
      <c r="D42" s="1"/>
      <c r="F42" s="11">
        <v>38687</v>
      </c>
      <c r="G42" s="12">
        <v>1</v>
      </c>
      <c r="H42" s="12" t="s">
        <v>29</v>
      </c>
      <c r="L42" s="3">
        <v>39448</v>
      </c>
      <c r="M42" s="5">
        <v>5697</v>
      </c>
      <c r="N42" s="5"/>
      <c r="O42" s="5">
        <v>34408</v>
      </c>
      <c r="P42" s="5"/>
      <c r="Q42" s="5"/>
      <c r="R42" s="5">
        <v>40105</v>
      </c>
      <c r="V42" s="3">
        <v>39448</v>
      </c>
      <c r="W42" s="5">
        <v>1342</v>
      </c>
      <c r="X42" s="5">
        <v>2</v>
      </c>
      <c r="Y42" s="5">
        <v>29396</v>
      </c>
      <c r="Z42" s="5">
        <v>9365</v>
      </c>
      <c r="AA42" s="5">
        <v>40105</v>
      </c>
      <c r="AD42" s="3">
        <v>39448</v>
      </c>
      <c r="AE42">
        <f t="shared" si="0"/>
        <v>1342</v>
      </c>
      <c r="AF42">
        <f t="shared" si="1"/>
        <v>0</v>
      </c>
      <c r="AG42">
        <f t="shared" si="2"/>
        <v>0</v>
      </c>
      <c r="AH42">
        <f t="shared" si="3"/>
        <v>40105</v>
      </c>
      <c r="AI42">
        <f t="shared" si="4"/>
        <v>40105</v>
      </c>
    </row>
    <row r="43" spans="1:35" x14ac:dyDescent="0.25">
      <c r="A43" s="11">
        <v>38930</v>
      </c>
      <c r="B43" s="12">
        <v>1917</v>
      </c>
      <c r="C43" s="12" t="s">
        <v>3</v>
      </c>
      <c r="D43" s="1"/>
      <c r="F43" s="11">
        <v>38718</v>
      </c>
      <c r="G43" s="12">
        <v>4692</v>
      </c>
      <c r="H43" s="12" t="s">
        <v>15</v>
      </c>
      <c r="L43" s="3">
        <v>39479</v>
      </c>
      <c r="M43" s="5">
        <v>7319</v>
      </c>
      <c r="N43" s="5"/>
      <c r="O43" s="5">
        <v>33620</v>
      </c>
      <c r="P43" s="5"/>
      <c r="Q43" s="5"/>
      <c r="R43" s="5">
        <v>40939</v>
      </c>
      <c r="V43" s="3">
        <v>39479</v>
      </c>
      <c r="W43" s="5">
        <v>1534</v>
      </c>
      <c r="X43" s="5">
        <v>2</v>
      </c>
      <c r="Y43" s="5">
        <v>27830</v>
      </c>
      <c r="Z43" s="5">
        <v>11573</v>
      </c>
      <c r="AA43" s="5">
        <v>40939</v>
      </c>
      <c r="AD43" s="3">
        <v>39479</v>
      </c>
      <c r="AE43">
        <f t="shared" si="0"/>
        <v>1534</v>
      </c>
      <c r="AF43">
        <f t="shared" si="1"/>
        <v>0</v>
      </c>
      <c r="AG43">
        <f t="shared" si="2"/>
        <v>0</v>
      </c>
      <c r="AH43">
        <f t="shared" si="3"/>
        <v>40939</v>
      </c>
      <c r="AI43">
        <f t="shared" si="4"/>
        <v>40939</v>
      </c>
    </row>
    <row r="44" spans="1:35" x14ac:dyDescent="0.25">
      <c r="A44" s="11">
        <v>38930</v>
      </c>
      <c r="B44" s="12">
        <v>23340</v>
      </c>
      <c r="C44" s="12" t="s">
        <v>2</v>
      </c>
      <c r="D44" s="1"/>
      <c r="F44" s="11">
        <v>38718</v>
      </c>
      <c r="G44" s="12">
        <v>13637</v>
      </c>
      <c r="H44" s="12" t="s">
        <v>16</v>
      </c>
      <c r="L44" s="3">
        <v>39508</v>
      </c>
      <c r="M44" s="5">
        <v>7429</v>
      </c>
      <c r="N44" s="5"/>
      <c r="O44" s="5">
        <v>26224</v>
      </c>
      <c r="P44" s="5"/>
      <c r="Q44" s="5"/>
      <c r="R44" s="5">
        <v>33653</v>
      </c>
      <c r="V44" s="3">
        <v>39508</v>
      </c>
      <c r="W44" s="5">
        <v>1300</v>
      </c>
      <c r="X44" s="5">
        <v>5</v>
      </c>
      <c r="Y44" s="5">
        <v>21202</v>
      </c>
      <c r="Z44" s="5">
        <v>11146</v>
      </c>
      <c r="AA44" s="5">
        <v>33653</v>
      </c>
      <c r="AD44" s="3">
        <v>39508</v>
      </c>
      <c r="AE44">
        <f t="shared" si="0"/>
        <v>1300</v>
      </c>
      <c r="AF44">
        <f t="shared" si="1"/>
        <v>0</v>
      </c>
      <c r="AG44">
        <f t="shared" si="2"/>
        <v>0</v>
      </c>
      <c r="AH44">
        <f t="shared" si="3"/>
        <v>33653</v>
      </c>
      <c r="AI44">
        <f t="shared" si="4"/>
        <v>33653</v>
      </c>
    </row>
    <row r="45" spans="1:35" x14ac:dyDescent="0.25">
      <c r="A45" s="11">
        <v>38961</v>
      </c>
      <c r="B45" s="12">
        <v>1727</v>
      </c>
      <c r="C45" s="12" t="s">
        <v>3</v>
      </c>
      <c r="D45" s="1"/>
      <c r="F45" s="11">
        <v>38718</v>
      </c>
      <c r="G45" s="12">
        <v>2295</v>
      </c>
      <c r="H45" s="12" t="s">
        <v>14</v>
      </c>
      <c r="L45" s="3">
        <v>39539</v>
      </c>
      <c r="M45" s="5">
        <v>11002</v>
      </c>
      <c r="N45" s="5"/>
      <c r="O45" s="5">
        <v>30067</v>
      </c>
      <c r="P45" s="5"/>
      <c r="Q45" s="5"/>
      <c r="R45" s="5">
        <v>41069</v>
      </c>
      <c r="V45" s="3">
        <v>39539</v>
      </c>
      <c r="W45" s="5">
        <v>1805</v>
      </c>
      <c r="X45" s="5">
        <v>4</v>
      </c>
      <c r="Y45" s="5">
        <v>22274</v>
      </c>
      <c r="Z45" s="5">
        <v>16986</v>
      </c>
      <c r="AA45" s="5">
        <v>41069</v>
      </c>
      <c r="AD45" s="3">
        <v>39539</v>
      </c>
      <c r="AE45">
        <f t="shared" si="0"/>
        <v>1805</v>
      </c>
      <c r="AF45">
        <f t="shared" si="1"/>
        <v>0</v>
      </c>
      <c r="AG45">
        <f t="shared" si="2"/>
        <v>0</v>
      </c>
      <c r="AH45">
        <f t="shared" si="3"/>
        <v>41069</v>
      </c>
      <c r="AI45">
        <f t="shared" si="4"/>
        <v>41069</v>
      </c>
    </row>
    <row r="46" spans="1:35" x14ac:dyDescent="0.25">
      <c r="A46" s="11">
        <v>38961</v>
      </c>
      <c r="B46" s="12">
        <v>21542</v>
      </c>
      <c r="C46" s="12" t="s">
        <v>2</v>
      </c>
      <c r="D46" s="1"/>
      <c r="F46" s="11">
        <v>38749</v>
      </c>
      <c r="G46" s="12">
        <v>4221</v>
      </c>
      <c r="H46" s="12" t="s">
        <v>15</v>
      </c>
      <c r="L46" s="3">
        <v>39569</v>
      </c>
      <c r="M46" s="5">
        <v>8131</v>
      </c>
      <c r="N46" s="5"/>
      <c r="O46" s="5">
        <v>31075</v>
      </c>
      <c r="P46" s="5"/>
      <c r="Q46" s="5"/>
      <c r="R46" s="5">
        <v>39206</v>
      </c>
      <c r="V46" s="3">
        <v>39569</v>
      </c>
      <c r="W46" s="5">
        <v>1564</v>
      </c>
      <c r="X46" s="5">
        <v>3</v>
      </c>
      <c r="Y46" s="5">
        <v>24394</v>
      </c>
      <c r="Z46" s="5">
        <v>13245</v>
      </c>
      <c r="AA46" s="5">
        <v>39206</v>
      </c>
      <c r="AD46" s="3">
        <v>39569</v>
      </c>
      <c r="AE46">
        <f t="shared" si="0"/>
        <v>1564</v>
      </c>
      <c r="AF46">
        <f t="shared" si="1"/>
        <v>0</v>
      </c>
      <c r="AG46">
        <f t="shared" si="2"/>
        <v>0</v>
      </c>
      <c r="AH46">
        <f t="shared" si="3"/>
        <v>39206</v>
      </c>
      <c r="AI46">
        <f t="shared" si="4"/>
        <v>39206</v>
      </c>
    </row>
    <row r="47" spans="1:35" x14ac:dyDescent="0.25">
      <c r="A47" s="11">
        <v>38991</v>
      </c>
      <c r="B47" s="12">
        <v>1944</v>
      </c>
      <c r="C47" s="12" t="s">
        <v>3</v>
      </c>
      <c r="D47" s="1"/>
      <c r="F47" s="11">
        <v>38749</v>
      </c>
      <c r="G47" s="12">
        <v>13380</v>
      </c>
      <c r="H47" s="12" t="s">
        <v>16</v>
      </c>
      <c r="L47" s="3">
        <v>39600</v>
      </c>
      <c r="M47" s="5">
        <v>6360</v>
      </c>
      <c r="N47" s="5"/>
      <c r="O47" s="5">
        <v>25965</v>
      </c>
      <c r="P47" s="5"/>
      <c r="Q47" s="5"/>
      <c r="R47" s="5">
        <v>32325</v>
      </c>
      <c r="V47" s="3">
        <v>39600</v>
      </c>
      <c r="W47" s="5">
        <v>1309</v>
      </c>
      <c r="X47" s="5">
        <v>1</v>
      </c>
      <c r="Y47" s="5">
        <v>20711</v>
      </c>
      <c r="Z47" s="5">
        <v>10304</v>
      </c>
      <c r="AA47" s="5">
        <v>32325</v>
      </c>
      <c r="AD47" s="3">
        <v>39600</v>
      </c>
      <c r="AE47">
        <f t="shared" si="0"/>
        <v>1309</v>
      </c>
      <c r="AF47">
        <f t="shared" si="1"/>
        <v>0</v>
      </c>
      <c r="AG47">
        <f t="shared" si="2"/>
        <v>0</v>
      </c>
      <c r="AH47">
        <f t="shared" si="3"/>
        <v>32325</v>
      </c>
      <c r="AI47">
        <f t="shared" si="4"/>
        <v>32325</v>
      </c>
    </row>
    <row r="48" spans="1:35" x14ac:dyDescent="0.25">
      <c r="A48" s="11">
        <v>38991</v>
      </c>
      <c r="B48" s="12">
        <v>22345</v>
      </c>
      <c r="C48" s="12" t="s">
        <v>2</v>
      </c>
      <c r="D48" s="1"/>
      <c r="F48" s="11">
        <v>38749</v>
      </c>
      <c r="G48" s="12">
        <v>2065</v>
      </c>
      <c r="H48" s="12" t="s">
        <v>14</v>
      </c>
      <c r="L48" s="3">
        <v>39630</v>
      </c>
      <c r="M48" s="5">
        <v>3882</v>
      </c>
      <c r="N48" s="5"/>
      <c r="O48" s="5">
        <v>21930</v>
      </c>
      <c r="P48" s="5"/>
      <c r="Q48" s="5"/>
      <c r="R48" s="5">
        <v>25812</v>
      </c>
      <c r="V48" s="3">
        <v>39630</v>
      </c>
      <c r="W48" s="5">
        <v>811</v>
      </c>
      <c r="X48" s="5">
        <v>15</v>
      </c>
      <c r="Y48" s="5">
        <v>18873</v>
      </c>
      <c r="Z48" s="5">
        <v>6113</v>
      </c>
      <c r="AA48" s="5">
        <v>25812</v>
      </c>
      <c r="AD48" s="3">
        <v>39630</v>
      </c>
      <c r="AE48">
        <f t="shared" si="0"/>
        <v>811</v>
      </c>
      <c r="AF48">
        <f t="shared" si="1"/>
        <v>0</v>
      </c>
      <c r="AG48">
        <f t="shared" si="2"/>
        <v>0</v>
      </c>
      <c r="AH48">
        <f t="shared" si="3"/>
        <v>25812</v>
      </c>
      <c r="AI48">
        <f t="shared" si="4"/>
        <v>25812</v>
      </c>
    </row>
    <row r="49" spans="1:35" x14ac:dyDescent="0.25">
      <c r="A49" s="11">
        <v>39022</v>
      </c>
      <c r="B49" s="12">
        <v>20884</v>
      </c>
      <c r="C49" s="12" t="s">
        <v>2</v>
      </c>
      <c r="D49" s="1"/>
      <c r="F49" s="11">
        <v>38749</v>
      </c>
      <c r="G49" s="12">
        <v>1</v>
      </c>
      <c r="H49" s="12" t="s">
        <v>29</v>
      </c>
      <c r="L49" s="3">
        <v>39661</v>
      </c>
      <c r="M49" s="5">
        <v>3046</v>
      </c>
      <c r="N49" s="5"/>
      <c r="O49" s="5">
        <v>22165</v>
      </c>
      <c r="P49" s="5"/>
      <c r="Q49" s="5"/>
      <c r="R49" s="5">
        <v>25211</v>
      </c>
      <c r="V49" s="3">
        <v>39661</v>
      </c>
      <c r="W49" s="5">
        <v>631</v>
      </c>
      <c r="X49" s="5">
        <v>79</v>
      </c>
      <c r="Y49" s="5">
        <v>19877</v>
      </c>
      <c r="Z49" s="5">
        <v>4624</v>
      </c>
      <c r="AA49" s="5">
        <v>25211</v>
      </c>
      <c r="AD49" s="3">
        <v>39661</v>
      </c>
      <c r="AE49">
        <f t="shared" si="0"/>
        <v>631</v>
      </c>
      <c r="AF49">
        <f t="shared" si="1"/>
        <v>0</v>
      </c>
      <c r="AG49">
        <f t="shared" si="2"/>
        <v>0</v>
      </c>
      <c r="AH49">
        <f t="shared" si="3"/>
        <v>25211</v>
      </c>
      <c r="AI49">
        <f t="shared" si="4"/>
        <v>25211</v>
      </c>
    </row>
    <row r="50" spans="1:35" x14ac:dyDescent="0.25">
      <c r="A50" s="11">
        <v>39022</v>
      </c>
      <c r="B50" s="12">
        <v>2119</v>
      </c>
      <c r="C50" s="12" t="s">
        <v>3</v>
      </c>
      <c r="D50" s="1"/>
      <c r="F50" s="11">
        <v>38777</v>
      </c>
      <c r="G50" s="12">
        <v>4072</v>
      </c>
      <c r="H50" s="12" t="s">
        <v>15</v>
      </c>
      <c r="L50" s="3">
        <v>39692</v>
      </c>
      <c r="M50" s="5">
        <v>1940</v>
      </c>
      <c r="N50" s="5"/>
      <c r="O50" s="5">
        <v>17033</v>
      </c>
      <c r="P50" s="5"/>
      <c r="Q50" s="5"/>
      <c r="R50" s="5">
        <v>18973</v>
      </c>
      <c r="V50" s="3">
        <v>39692</v>
      </c>
      <c r="W50" s="5">
        <v>399</v>
      </c>
      <c r="X50" s="5">
        <v>49</v>
      </c>
      <c r="Y50" s="5">
        <v>15831</v>
      </c>
      <c r="Z50" s="5">
        <v>2694</v>
      </c>
      <c r="AA50" s="5">
        <v>18973</v>
      </c>
      <c r="AD50" s="3">
        <v>39692</v>
      </c>
      <c r="AE50">
        <f t="shared" si="0"/>
        <v>399</v>
      </c>
      <c r="AF50">
        <f t="shared" si="1"/>
        <v>0</v>
      </c>
      <c r="AG50">
        <f t="shared" si="2"/>
        <v>0</v>
      </c>
      <c r="AH50">
        <f t="shared" si="3"/>
        <v>18973</v>
      </c>
      <c r="AI50">
        <f t="shared" si="4"/>
        <v>18973</v>
      </c>
    </row>
    <row r="51" spans="1:35" x14ac:dyDescent="0.25">
      <c r="A51" s="11">
        <v>39052</v>
      </c>
      <c r="B51" s="12">
        <v>21853</v>
      </c>
      <c r="C51" s="12" t="s">
        <v>2</v>
      </c>
      <c r="D51" s="1"/>
      <c r="F51" s="11">
        <v>38777</v>
      </c>
      <c r="G51" s="12">
        <v>10719</v>
      </c>
      <c r="H51" s="12" t="s">
        <v>16</v>
      </c>
      <c r="L51" s="3">
        <v>39722</v>
      </c>
      <c r="M51" s="5">
        <v>1206</v>
      </c>
      <c r="N51" s="5"/>
      <c r="O51" s="5">
        <v>11722</v>
      </c>
      <c r="P51" s="5"/>
      <c r="Q51" s="5"/>
      <c r="R51" s="5">
        <v>12928</v>
      </c>
      <c r="V51" s="3">
        <v>39722</v>
      </c>
      <c r="W51" s="5">
        <v>287</v>
      </c>
      <c r="X51" s="5">
        <v>52</v>
      </c>
      <c r="Y51" s="5">
        <v>10860</v>
      </c>
      <c r="Z51" s="5">
        <v>1729</v>
      </c>
      <c r="AA51" s="5">
        <v>12928</v>
      </c>
      <c r="AD51" s="3">
        <v>39722</v>
      </c>
      <c r="AE51">
        <f t="shared" si="0"/>
        <v>287</v>
      </c>
      <c r="AF51">
        <f t="shared" si="1"/>
        <v>0</v>
      </c>
      <c r="AG51">
        <f t="shared" si="2"/>
        <v>0</v>
      </c>
      <c r="AH51">
        <f t="shared" si="3"/>
        <v>12928</v>
      </c>
      <c r="AI51">
        <f t="shared" si="4"/>
        <v>12928</v>
      </c>
    </row>
    <row r="52" spans="1:35" x14ac:dyDescent="0.25">
      <c r="A52" s="11">
        <v>39052</v>
      </c>
      <c r="B52" s="12">
        <v>2877</v>
      </c>
      <c r="C52" s="12" t="s">
        <v>3</v>
      </c>
      <c r="D52" s="1"/>
      <c r="F52" s="11">
        <v>38777</v>
      </c>
      <c r="G52" s="12">
        <v>1822</v>
      </c>
      <c r="H52" s="12" t="s">
        <v>14</v>
      </c>
      <c r="L52" s="3">
        <v>39753</v>
      </c>
      <c r="M52" s="5">
        <v>1438</v>
      </c>
      <c r="N52" s="5"/>
      <c r="O52" s="5">
        <v>11806</v>
      </c>
      <c r="P52" s="5"/>
      <c r="Q52" s="5"/>
      <c r="R52" s="5">
        <v>13244</v>
      </c>
      <c r="V52" s="3">
        <v>39753</v>
      </c>
      <c r="W52" s="5">
        <v>320</v>
      </c>
      <c r="X52" s="5">
        <v>210</v>
      </c>
      <c r="Y52" s="5">
        <v>10948</v>
      </c>
      <c r="Z52" s="5">
        <v>1766</v>
      </c>
      <c r="AA52" s="5">
        <v>13244</v>
      </c>
      <c r="AD52" s="3">
        <v>39753</v>
      </c>
      <c r="AE52">
        <f t="shared" si="0"/>
        <v>320</v>
      </c>
      <c r="AF52">
        <f t="shared" si="1"/>
        <v>0</v>
      </c>
      <c r="AG52">
        <f t="shared" si="2"/>
        <v>0</v>
      </c>
      <c r="AH52">
        <f t="shared" si="3"/>
        <v>13244</v>
      </c>
      <c r="AI52">
        <f t="shared" si="4"/>
        <v>13244</v>
      </c>
    </row>
    <row r="53" spans="1:35" x14ac:dyDescent="0.25">
      <c r="A53" s="11">
        <v>39083</v>
      </c>
      <c r="B53" s="12">
        <v>2665</v>
      </c>
      <c r="C53" s="12" t="s">
        <v>3</v>
      </c>
      <c r="D53" s="1"/>
      <c r="F53" s="11">
        <v>38808</v>
      </c>
      <c r="G53" s="12">
        <v>4387</v>
      </c>
      <c r="H53" s="12" t="s">
        <v>15</v>
      </c>
      <c r="L53" s="3">
        <v>39783</v>
      </c>
      <c r="M53" s="5">
        <v>1935</v>
      </c>
      <c r="N53" s="5"/>
      <c r="O53" s="5">
        <v>10941</v>
      </c>
      <c r="P53" s="5"/>
      <c r="Q53" s="5"/>
      <c r="R53" s="5">
        <v>12876</v>
      </c>
      <c r="V53" s="3">
        <v>39783</v>
      </c>
      <c r="W53" s="5">
        <v>501</v>
      </c>
      <c r="X53" s="5">
        <v>268</v>
      </c>
      <c r="Y53" s="5">
        <v>9981</v>
      </c>
      <c r="Z53" s="5">
        <v>2126</v>
      </c>
      <c r="AA53" s="5">
        <v>12876</v>
      </c>
      <c r="AD53" s="3">
        <v>39783</v>
      </c>
      <c r="AE53">
        <f t="shared" si="0"/>
        <v>501</v>
      </c>
      <c r="AF53">
        <f t="shared" si="1"/>
        <v>0</v>
      </c>
      <c r="AG53">
        <f t="shared" si="2"/>
        <v>0</v>
      </c>
      <c r="AH53">
        <f t="shared" si="3"/>
        <v>12876</v>
      </c>
      <c r="AI53">
        <f t="shared" si="4"/>
        <v>12876</v>
      </c>
    </row>
    <row r="54" spans="1:35" x14ac:dyDescent="0.25">
      <c r="A54" s="11">
        <v>39083</v>
      </c>
      <c r="B54" s="12">
        <v>20334</v>
      </c>
      <c r="C54" s="12" t="s">
        <v>2</v>
      </c>
      <c r="D54" s="1"/>
      <c r="F54" s="11">
        <v>38808</v>
      </c>
      <c r="G54" s="12">
        <v>11832</v>
      </c>
      <c r="H54" s="12" t="s">
        <v>16</v>
      </c>
      <c r="L54" s="3">
        <v>39814</v>
      </c>
      <c r="M54" s="5">
        <v>1037</v>
      </c>
      <c r="N54" s="5"/>
      <c r="O54" s="5">
        <v>7487</v>
      </c>
      <c r="P54" s="5"/>
      <c r="Q54" s="5"/>
      <c r="R54" s="5">
        <v>8524</v>
      </c>
      <c r="V54" s="3">
        <v>39814</v>
      </c>
      <c r="W54" s="5">
        <v>255</v>
      </c>
      <c r="X54" s="5">
        <v>365</v>
      </c>
      <c r="Y54" s="5">
        <v>6789</v>
      </c>
      <c r="Z54" s="5">
        <v>1115</v>
      </c>
      <c r="AA54" s="5">
        <v>8524</v>
      </c>
      <c r="AD54" s="3">
        <v>39814</v>
      </c>
      <c r="AE54">
        <f t="shared" si="0"/>
        <v>255</v>
      </c>
      <c r="AF54">
        <f t="shared" si="1"/>
        <v>0</v>
      </c>
      <c r="AG54">
        <f t="shared" si="2"/>
        <v>0</v>
      </c>
      <c r="AH54">
        <f t="shared" si="3"/>
        <v>8524</v>
      </c>
      <c r="AI54">
        <f t="shared" si="4"/>
        <v>8524</v>
      </c>
    </row>
    <row r="55" spans="1:35" x14ac:dyDescent="0.25">
      <c r="A55" s="11">
        <v>39114</v>
      </c>
      <c r="B55" s="12">
        <v>20359</v>
      </c>
      <c r="C55" s="12" t="s">
        <v>2</v>
      </c>
      <c r="D55" s="1"/>
      <c r="F55" s="11">
        <v>38808</v>
      </c>
      <c r="G55" s="12">
        <v>1770</v>
      </c>
      <c r="H55" s="12" t="s">
        <v>14</v>
      </c>
      <c r="L55" s="3">
        <v>39845</v>
      </c>
      <c r="M55" s="5">
        <v>2919</v>
      </c>
      <c r="N55" s="5"/>
      <c r="O55" s="5">
        <v>9892</v>
      </c>
      <c r="P55" s="5"/>
      <c r="Q55" s="5"/>
      <c r="R55" s="5">
        <v>12811</v>
      </c>
      <c r="V55" s="3">
        <v>39845</v>
      </c>
      <c r="W55" s="5">
        <v>859</v>
      </c>
      <c r="X55" s="5">
        <v>402</v>
      </c>
      <c r="Y55" s="5">
        <v>8887</v>
      </c>
      <c r="Z55" s="5">
        <v>2663</v>
      </c>
      <c r="AA55" s="5">
        <v>12811</v>
      </c>
      <c r="AD55" s="3">
        <v>39845</v>
      </c>
      <c r="AE55">
        <f t="shared" si="0"/>
        <v>859</v>
      </c>
      <c r="AF55">
        <f t="shared" si="1"/>
        <v>0</v>
      </c>
      <c r="AG55">
        <f t="shared" si="2"/>
        <v>0</v>
      </c>
      <c r="AH55">
        <f t="shared" si="3"/>
        <v>12811</v>
      </c>
      <c r="AI55">
        <f t="shared" si="4"/>
        <v>12811</v>
      </c>
    </row>
    <row r="56" spans="1:35" x14ac:dyDescent="0.25">
      <c r="A56" s="11">
        <v>39114</v>
      </c>
      <c r="B56" s="12">
        <v>3049</v>
      </c>
      <c r="C56" s="12" t="s">
        <v>3</v>
      </c>
      <c r="D56" s="1"/>
      <c r="F56" s="11">
        <v>38838</v>
      </c>
      <c r="G56" s="12">
        <v>4578</v>
      </c>
      <c r="H56" s="12" t="s">
        <v>15</v>
      </c>
      <c r="L56" s="3">
        <v>39873</v>
      </c>
      <c r="M56" s="5">
        <v>6865</v>
      </c>
      <c r="N56" s="5"/>
      <c r="O56" s="5">
        <v>7127</v>
      </c>
      <c r="P56" s="5"/>
      <c r="Q56" s="5"/>
      <c r="R56" s="5">
        <v>13992</v>
      </c>
      <c r="V56" s="3">
        <v>39873</v>
      </c>
      <c r="W56" s="5">
        <v>2080</v>
      </c>
      <c r="X56" s="5">
        <v>425</v>
      </c>
      <c r="Y56" s="5">
        <v>5388</v>
      </c>
      <c r="Z56" s="5">
        <v>6099</v>
      </c>
      <c r="AA56" s="5">
        <v>13992</v>
      </c>
      <c r="AD56" s="3">
        <v>39873</v>
      </c>
      <c r="AE56">
        <f t="shared" si="0"/>
        <v>2080</v>
      </c>
      <c r="AF56">
        <f t="shared" si="1"/>
        <v>0</v>
      </c>
      <c r="AG56">
        <f t="shared" si="2"/>
        <v>0</v>
      </c>
      <c r="AH56">
        <f t="shared" si="3"/>
        <v>13992</v>
      </c>
      <c r="AI56">
        <f t="shared" si="4"/>
        <v>13992</v>
      </c>
    </row>
    <row r="57" spans="1:35" x14ac:dyDescent="0.25">
      <c r="A57" s="11">
        <v>39142</v>
      </c>
      <c r="B57" s="12">
        <v>18696</v>
      </c>
      <c r="C57" s="12" t="s">
        <v>2</v>
      </c>
      <c r="D57" s="1"/>
      <c r="F57" s="11">
        <v>38838</v>
      </c>
      <c r="G57" s="12">
        <v>14676</v>
      </c>
      <c r="H57" s="12" t="s">
        <v>16</v>
      </c>
      <c r="L57" s="3">
        <v>39904</v>
      </c>
      <c r="M57" s="5">
        <v>8013</v>
      </c>
      <c r="N57" s="5"/>
      <c r="O57" s="5">
        <v>8374</v>
      </c>
      <c r="P57" s="5"/>
      <c r="Q57" s="5"/>
      <c r="R57" s="5">
        <v>16387</v>
      </c>
      <c r="V57" s="3">
        <v>39904</v>
      </c>
      <c r="W57" s="5">
        <v>2392</v>
      </c>
      <c r="X57" s="5">
        <v>430</v>
      </c>
      <c r="Y57" s="5">
        <v>6051</v>
      </c>
      <c r="Z57" s="5">
        <v>7514</v>
      </c>
      <c r="AA57" s="5">
        <v>16387</v>
      </c>
      <c r="AD57" s="3">
        <v>39904</v>
      </c>
      <c r="AE57">
        <f t="shared" si="0"/>
        <v>2392</v>
      </c>
      <c r="AF57">
        <f t="shared" si="1"/>
        <v>0</v>
      </c>
      <c r="AG57">
        <f t="shared" si="2"/>
        <v>0</v>
      </c>
      <c r="AH57">
        <f t="shared" si="3"/>
        <v>16387</v>
      </c>
      <c r="AI57">
        <f t="shared" si="4"/>
        <v>16387</v>
      </c>
    </row>
    <row r="58" spans="1:35" x14ac:dyDescent="0.25">
      <c r="A58" s="11">
        <v>39142</v>
      </c>
      <c r="B58" s="12">
        <v>3206</v>
      </c>
      <c r="C58" s="12" t="s">
        <v>3</v>
      </c>
      <c r="D58" s="1"/>
      <c r="F58" s="11">
        <v>38838</v>
      </c>
      <c r="G58" s="12">
        <v>1798</v>
      </c>
      <c r="H58" s="12" t="s">
        <v>14</v>
      </c>
      <c r="L58" s="3">
        <v>39934</v>
      </c>
      <c r="M58" s="5">
        <v>8042</v>
      </c>
      <c r="N58" s="5"/>
      <c r="O58" s="5">
        <v>10289</v>
      </c>
      <c r="P58" s="5"/>
      <c r="Q58" s="5"/>
      <c r="R58" s="5">
        <v>18331</v>
      </c>
      <c r="V58" s="3">
        <v>39934</v>
      </c>
      <c r="W58" s="5">
        <v>2486</v>
      </c>
      <c r="X58" s="5">
        <v>172</v>
      </c>
      <c r="Y58" s="5">
        <v>8287</v>
      </c>
      <c r="Z58" s="5">
        <v>7386</v>
      </c>
      <c r="AA58" s="5">
        <v>18331</v>
      </c>
      <c r="AD58" s="3">
        <v>39934</v>
      </c>
      <c r="AE58">
        <f t="shared" si="0"/>
        <v>2486</v>
      </c>
      <c r="AF58">
        <f t="shared" si="1"/>
        <v>0</v>
      </c>
      <c r="AG58">
        <f t="shared" si="2"/>
        <v>0</v>
      </c>
      <c r="AH58">
        <f t="shared" si="3"/>
        <v>18331</v>
      </c>
      <c r="AI58">
        <f t="shared" si="4"/>
        <v>18331</v>
      </c>
    </row>
    <row r="59" spans="1:35" x14ac:dyDescent="0.25">
      <c r="A59" s="11">
        <v>39173</v>
      </c>
      <c r="B59" s="12">
        <v>21692</v>
      </c>
      <c r="C59" s="12" t="s">
        <v>2</v>
      </c>
      <c r="D59" s="1"/>
      <c r="F59" s="11">
        <v>38838</v>
      </c>
      <c r="G59" s="12">
        <v>1</v>
      </c>
      <c r="H59" s="12" t="s">
        <v>29</v>
      </c>
      <c r="L59" s="3">
        <v>39965</v>
      </c>
      <c r="M59" s="5"/>
      <c r="N59" s="5">
        <v>3989</v>
      </c>
      <c r="O59" s="5">
        <v>9759</v>
      </c>
      <c r="P59" s="5">
        <v>5386</v>
      </c>
      <c r="Q59" s="5"/>
      <c r="R59" s="5">
        <v>19134</v>
      </c>
      <c r="V59" s="3">
        <v>39965</v>
      </c>
      <c r="W59" s="5">
        <v>5241</v>
      </c>
      <c r="X59" s="5">
        <v>146</v>
      </c>
      <c r="Y59" s="5">
        <v>7906</v>
      </c>
      <c r="Z59" s="5">
        <v>5841</v>
      </c>
      <c r="AA59" s="5">
        <v>19134</v>
      </c>
      <c r="AD59" s="3">
        <v>39965</v>
      </c>
      <c r="AE59">
        <f t="shared" si="0"/>
        <v>5241</v>
      </c>
      <c r="AF59">
        <f t="shared" si="1"/>
        <v>3989</v>
      </c>
      <c r="AG59">
        <f t="shared" si="2"/>
        <v>0.76111429116580809</v>
      </c>
      <c r="AH59">
        <f t="shared" si="3"/>
        <v>19134</v>
      </c>
      <c r="AI59">
        <f t="shared" si="4"/>
        <v>19134</v>
      </c>
    </row>
    <row r="60" spans="1:35" x14ac:dyDescent="0.25">
      <c r="A60" s="11">
        <v>39173</v>
      </c>
      <c r="B60" s="12">
        <v>3031</v>
      </c>
      <c r="C60" s="12" t="s">
        <v>3</v>
      </c>
      <c r="D60" s="1"/>
      <c r="F60" s="11">
        <v>38869</v>
      </c>
      <c r="G60" s="12">
        <v>3909</v>
      </c>
      <c r="H60" s="12" t="s">
        <v>15</v>
      </c>
      <c r="L60" s="3">
        <v>39995</v>
      </c>
      <c r="M60" s="5"/>
      <c r="N60" s="5">
        <v>9624</v>
      </c>
      <c r="O60" s="5">
        <v>10467</v>
      </c>
      <c r="P60" s="5">
        <v>4679</v>
      </c>
      <c r="Q60" s="5"/>
      <c r="R60" s="5">
        <v>24770</v>
      </c>
      <c r="V60" s="3">
        <v>39995</v>
      </c>
      <c r="W60" s="5">
        <v>10999</v>
      </c>
      <c r="X60" s="5">
        <v>95</v>
      </c>
      <c r="Y60" s="5">
        <v>8168</v>
      </c>
      <c r="Z60" s="5">
        <v>5508</v>
      </c>
      <c r="AA60" s="5">
        <v>24770</v>
      </c>
      <c r="AD60" s="3">
        <v>39995</v>
      </c>
      <c r="AE60">
        <f t="shared" si="0"/>
        <v>10999</v>
      </c>
      <c r="AF60">
        <f t="shared" si="1"/>
        <v>9624</v>
      </c>
      <c r="AG60">
        <f t="shared" si="2"/>
        <v>0.87498863533048454</v>
      </c>
      <c r="AH60">
        <f t="shared" si="3"/>
        <v>24770</v>
      </c>
      <c r="AI60">
        <f t="shared" si="4"/>
        <v>24770</v>
      </c>
    </row>
    <row r="61" spans="1:35" x14ac:dyDescent="0.25">
      <c r="A61" s="11">
        <v>39203</v>
      </c>
      <c r="B61" s="12">
        <v>4195</v>
      </c>
      <c r="C61" s="12" t="s">
        <v>3</v>
      </c>
      <c r="D61" s="1"/>
      <c r="F61" s="11">
        <v>38869</v>
      </c>
      <c r="G61" s="12">
        <v>15392</v>
      </c>
      <c r="H61" s="12" t="s">
        <v>16</v>
      </c>
      <c r="L61" s="3">
        <v>40026</v>
      </c>
      <c r="M61" s="5"/>
      <c r="N61" s="5">
        <v>15492</v>
      </c>
      <c r="O61" s="5">
        <v>11948</v>
      </c>
      <c r="P61" s="5">
        <v>4363</v>
      </c>
      <c r="Q61" s="5"/>
      <c r="R61" s="5">
        <v>31803</v>
      </c>
      <c r="V61" s="3">
        <v>40026</v>
      </c>
      <c r="W61" s="5">
        <v>17240</v>
      </c>
      <c r="X61" s="5">
        <v>94</v>
      </c>
      <c r="Y61" s="5">
        <v>9613</v>
      </c>
      <c r="Z61" s="5">
        <v>4856</v>
      </c>
      <c r="AA61" s="5">
        <v>31803</v>
      </c>
      <c r="AD61" s="3">
        <v>40026</v>
      </c>
      <c r="AE61">
        <f t="shared" si="0"/>
        <v>17240</v>
      </c>
      <c r="AF61">
        <f t="shared" si="1"/>
        <v>15492</v>
      </c>
      <c r="AG61">
        <f t="shared" si="2"/>
        <v>0.89860788863109053</v>
      </c>
      <c r="AH61">
        <f t="shared" si="3"/>
        <v>31803</v>
      </c>
      <c r="AI61">
        <f t="shared" si="4"/>
        <v>31803</v>
      </c>
    </row>
    <row r="62" spans="1:35" x14ac:dyDescent="0.25">
      <c r="A62" s="11">
        <v>39203</v>
      </c>
      <c r="B62" s="12">
        <v>29819</v>
      </c>
      <c r="C62" s="12" t="s">
        <v>2</v>
      </c>
      <c r="D62" s="1"/>
      <c r="F62" s="11">
        <v>38869</v>
      </c>
      <c r="G62" s="12">
        <v>1716</v>
      </c>
      <c r="H62" s="12" t="s">
        <v>14</v>
      </c>
      <c r="L62" s="3">
        <v>40057</v>
      </c>
      <c r="M62" s="5"/>
      <c r="N62" s="5">
        <v>14090</v>
      </c>
      <c r="O62" s="5">
        <v>12299</v>
      </c>
      <c r="P62" s="5">
        <v>2911</v>
      </c>
      <c r="Q62" s="5"/>
      <c r="R62" s="5">
        <v>29300</v>
      </c>
      <c r="V62" s="3">
        <v>40057</v>
      </c>
      <c r="W62" s="5">
        <v>15625</v>
      </c>
      <c r="X62" s="5">
        <v>126</v>
      </c>
      <c r="Y62" s="5">
        <v>10376</v>
      </c>
      <c r="Z62" s="5">
        <v>3173</v>
      </c>
      <c r="AA62" s="5">
        <v>29300</v>
      </c>
      <c r="AD62" s="3">
        <v>40057</v>
      </c>
      <c r="AE62">
        <f t="shared" si="0"/>
        <v>15625</v>
      </c>
      <c r="AF62">
        <f t="shared" si="1"/>
        <v>14090</v>
      </c>
      <c r="AG62">
        <f t="shared" si="2"/>
        <v>0.90176000000000001</v>
      </c>
      <c r="AH62">
        <f t="shared" si="3"/>
        <v>29300</v>
      </c>
      <c r="AI62">
        <f t="shared" si="4"/>
        <v>29300</v>
      </c>
    </row>
    <row r="63" spans="1:35" x14ac:dyDescent="0.25">
      <c r="A63" s="11">
        <v>39234</v>
      </c>
      <c r="B63" s="12">
        <v>4924</v>
      </c>
      <c r="C63" s="12" t="s">
        <v>3</v>
      </c>
      <c r="D63" s="1"/>
      <c r="F63" s="11">
        <v>38869</v>
      </c>
      <c r="G63" s="12">
        <v>1</v>
      </c>
      <c r="H63" s="12" t="s">
        <v>29</v>
      </c>
      <c r="L63" s="3">
        <v>40087</v>
      </c>
      <c r="M63" s="5"/>
      <c r="N63" s="5">
        <v>9201</v>
      </c>
      <c r="O63" s="5">
        <v>9965</v>
      </c>
      <c r="P63" s="5">
        <v>1784</v>
      </c>
      <c r="Q63" s="5"/>
      <c r="R63" s="5">
        <v>20950</v>
      </c>
      <c r="V63" s="3">
        <v>40087</v>
      </c>
      <c r="W63" s="5">
        <v>10307</v>
      </c>
      <c r="X63" s="5">
        <v>142</v>
      </c>
      <c r="Y63" s="5">
        <v>8541</v>
      </c>
      <c r="Z63" s="5">
        <v>1960</v>
      </c>
      <c r="AA63" s="5">
        <v>20950</v>
      </c>
      <c r="AD63" s="3">
        <v>40087</v>
      </c>
      <c r="AE63">
        <f t="shared" si="0"/>
        <v>10307</v>
      </c>
      <c r="AF63">
        <f t="shared" si="1"/>
        <v>9201</v>
      </c>
      <c r="AG63">
        <f t="shared" si="2"/>
        <v>0.89269428543708162</v>
      </c>
      <c r="AH63">
        <f t="shared" si="3"/>
        <v>20950</v>
      </c>
      <c r="AI63">
        <f t="shared" si="4"/>
        <v>20950</v>
      </c>
    </row>
    <row r="64" spans="1:35" x14ac:dyDescent="0.25">
      <c r="A64" s="11">
        <v>39234</v>
      </c>
      <c r="B64" s="12">
        <v>33413</v>
      </c>
      <c r="C64" s="12" t="s">
        <v>2</v>
      </c>
      <c r="D64" s="1"/>
      <c r="F64" s="11">
        <v>38899</v>
      </c>
      <c r="G64" s="12">
        <v>3799</v>
      </c>
      <c r="H64" s="12" t="s">
        <v>15</v>
      </c>
      <c r="L64" s="3">
        <v>40118</v>
      </c>
      <c r="M64" s="5"/>
      <c r="N64" s="5">
        <v>6917</v>
      </c>
      <c r="O64" s="5">
        <v>9283</v>
      </c>
      <c r="P64" s="5">
        <v>1393</v>
      </c>
      <c r="Q64" s="5"/>
      <c r="R64" s="5">
        <v>17593</v>
      </c>
      <c r="V64" s="3">
        <v>40118</v>
      </c>
      <c r="W64" s="5">
        <v>7916</v>
      </c>
      <c r="X64" s="5">
        <v>145</v>
      </c>
      <c r="Y64" s="5">
        <v>8041</v>
      </c>
      <c r="Z64" s="5">
        <v>1491</v>
      </c>
      <c r="AA64" s="5">
        <v>17593</v>
      </c>
      <c r="AD64" s="3">
        <v>40118</v>
      </c>
      <c r="AE64">
        <f t="shared" si="0"/>
        <v>7916</v>
      </c>
      <c r="AF64">
        <f t="shared" si="1"/>
        <v>6917</v>
      </c>
      <c r="AG64">
        <f t="shared" si="2"/>
        <v>0.87379989893885801</v>
      </c>
      <c r="AH64">
        <f t="shared" si="3"/>
        <v>17593</v>
      </c>
      <c r="AI64">
        <f t="shared" si="4"/>
        <v>17593</v>
      </c>
    </row>
    <row r="65" spans="1:35" x14ac:dyDescent="0.25">
      <c r="A65" s="11">
        <v>39264</v>
      </c>
      <c r="B65" s="12">
        <v>4856</v>
      </c>
      <c r="C65" s="12" t="s">
        <v>3</v>
      </c>
      <c r="D65" s="1"/>
      <c r="F65" s="11">
        <v>38899</v>
      </c>
      <c r="G65" s="12">
        <v>17111</v>
      </c>
      <c r="H65" s="12" t="s">
        <v>16</v>
      </c>
      <c r="L65" s="3">
        <v>40148</v>
      </c>
      <c r="M65" s="5"/>
      <c r="N65" s="5">
        <v>9301</v>
      </c>
      <c r="O65" s="5">
        <v>10153</v>
      </c>
      <c r="P65" s="5">
        <v>1727</v>
      </c>
      <c r="Q65" s="5"/>
      <c r="R65" s="5">
        <v>21181</v>
      </c>
      <c r="V65" s="3">
        <v>40148</v>
      </c>
      <c r="W65" s="5">
        <v>10797</v>
      </c>
      <c r="X65" s="5">
        <v>189</v>
      </c>
      <c r="Y65" s="5">
        <v>8345</v>
      </c>
      <c r="Z65" s="5">
        <v>1850</v>
      </c>
      <c r="AA65" s="5">
        <v>21181</v>
      </c>
      <c r="AD65" s="3">
        <v>40148</v>
      </c>
      <c r="AE65">
        <f t="shared" si="0"/>
        <v>10797</v>
      </c>
      <c r="AF65">
        <f t="shared" si="1"/>
        <v>9301</v>
      </c>
      <c r="AG65">
        <f t="shared" si="2"/>
        <v>0.86144299342409925</v>
      </c>
      <c r="AH65">
        <f t="shared" si="3"/>
        <v>21181</v>
      </c>
      <c r="AI65">
        <f t="shared" si="4"/>
        <v>21181</v>
      </c>
    </row>
    <row r="66" spans="1:35" x14ac:dyDescent="0.25">
      <c r="A66" s="11">
        <v>39264</v>
      </c>
      <c r="B66" s="12">
        <v>39616</v>
      </c>
      <c r="C66" s="12" t="s">
        <v>2</v>
      </c>
      <c r="D66" s="1"/>
      <c r="F66" s="11">
        <v>38899</v>
      </c>
      <c r="G66" s="12">
        <v>1721</v>
      </c>
      <c r="H66" s="12" t="s">
        <v>14</v>
      </c>
      <c r="L66" s="3">
        <v>40179</v>
      </c>
      <c r="M66" s="5"/>
      <c r="N66" s="5">
        <v>11962</v>
      </c>
      <c r="O66" s="5">
        <v>10500</v>
      </c>
      <c r="P66" s="5">
        <v>1990</v>
      </c>
      <c r="Q66" s="5"/>
      <c r="R66" s="5">
        <v>24452</v>
      </c>
      <c r="V66" s="3">
        <v>40179</v>
      </c>
      <c r="W66" s="5">
        <v>14023</v>
      </c>
      <c r="X66" s="5">
        <v>211</v>
      </c>
      <c r="Y66" s="5">
        <v>8087</v>
      </c>
      <c r="Z66" s="5">
        <v>2131</v>
      </c>
      <c r="AA66" s="5">
        <v>24452</v>
      </c>
      <c r="AD66" s="3">
        <v>40179</v>
      </c>
      <c r="AE66">
        <f t="shared" si="0"/>
        <v>14023</v>
      </c>
      <c r="AF66">
        <f t="shared" si="1"/>
        <v>11962</v>
      </c>
      <c r="AG66">
        <f t="shared" si="2"/>
        <v>0.85302716964986092</v>
      </c>
      <c r="AH66">
        <f t="shared" si="3"/>
        <v>24452</v>
      </c>
      <c r="AI66">
        <f t="shared" si="4"/>
        <v>24452</v>
      </c>
    </row>
    <row r="67" spans="1:35" x14ac:dyDescent="0.25">
      <c r="A67" s="11">
        <v>39295</v>
      </c>
      <c r="B67" s="12">
        <v>4324</v>
      </c>
      <c r="C67" s="12" t="s">
        <v>3</v>
      </c>
      <c r="D67" s="1"/>
      <c r="F67" s="11">
        <v>38930</v>
      </c>
      <c r="G67" s="12">
        <v>3768</v>
      </c>
      <c r="H67" s="12" t="s">
        <v>15</v>
      </c>
      <c r="L67" s="3">
        <v>40210</v>
      </c>
      <c r="M67" s="5"/>
      <c r="N67" s="5">
        <v>14238</v>
      </c>
      <c r="O67" s="5">
        <v>9633</v>
      </c>
      <c r="P67" s="5">
        <v>2022</v>
      </c>
      <c r="Q67" s="5"/>
      <c r="R67" s="5">
        <v>25893</v>
      </c>
      <c r="V67" s="3">
        <v>40210</v>
      </c>
      <c r="W67" s="5">
        <v>16981</v>
      </c>
      <c r="X67" s="5">
        <v>1184</v>
      </c>
      <c r="Y67" s="5">
        <v>5452</v>
      </c>
      <c r="Z67" s="5">
        <v>2276</v>
      </c>
      <c r="AA67" s="5">
        <v>25893</v>
      </c>
      <c r="AD67" s="3">
        <v>40210</v>
      </c>
      <c r="AE67">
        <f t="shared" si="0"/>
        <v>16981</v>
      </c>
      <c r="AF67">
        <f t="shared" si="1"/>
        <v>14238</v>
      </c>
      <c r="AG67">
        <f t="shared" si="2"/>
        <v>0.83846652140627764</v>
      </c>
      <c r="AH67">
        <f t="shared" si="3"/>
        <v>25893</v>
      </c>
      <c r="AI67">
        <f t="shared" si="4"/>
        <v>25893</v>
      </c>
    </row>
    <row r="68" spans="1:35" x14ac:dyDescent="0.25">
      <c r="A68" s="11">
        <v>39295</v>
      </c>
      <c r="B68" s="12">
        <v>42328</v>
      </c>
      <c r="C68" s="12" t="s">
        <v>2</v>
      </c>
      <c r="D68" s="1"/>
      <c r="F68" s="11">
        <v>38930</v>
      </c>
      <c r="G68" s="12">
        <v>19855</v>
      </c>
      <c r="H68" s="12" t="s">
        <v>16</v>
      </c>
      <c r="L68" s="3">
        <v>40238</v>
      </c>
      <c r="M68" s="5"/>
      <c r="N68" s="5">
        <v>13429</v>
      </c>
      <c r="O68" s="5">
        <v>7593</v>
      </c>
      <c r="P68" s="5">
        <v>1769</v>
      </c>
      <c r="Q68" s="5"/>
      <c r="R68" s="5">
        <v>22791</v>
      </c>
      <c r="V68" s="3">
        <v>40238</v>
      </c>
      <c r="W68" s="5">
        <v>15865</v>
      </c>
      <c r="X68" s="5">
        <v>1022</v>
      </c>
      <c r="Y68" s="5">
        <v>3720</v>
      </c>
      <c r="Z68" s="5">
        <v>2184</v>
      </c>
      <c r="AA68" s="5">
        <v>22791</v>
      </c>
      <c r="AD68" s="3">
        <v>40238</v>
      </c>
      <c r="AE68">
        <f t="shared" si="0"/>
        <v>15865</v>
      </c>
      <c r="AF68">
        <f t="shared" si="1"/>
        <v>13429</v>
      </c>
      <c r="AG68">
        <f t="shared" si="2"/>
        <v>0.84645445950204856</v>
      </c>
      <c r="AH68">
        <f t="shared" si="3"/>
        <v>22791</v>
      </c>
      <c r="AI68">
        <f t="shared" si="4"/>
        <v>22791</v>
      </c>
    </row>
    <row r="69" spans="1:35" x14ac:dyDescent="0.25">
      <c r="A69" s="11">
        <v>39326</v>
      </c>
      <c r="B69" s="12">
        <v>4046</v>
      </c>
      <c r="C69" s="12" t="s">
        <v>3</v>
      </c>
      <c r="D69" s="1"/>
      <c r="F69" s="11">
        <v>38930</v>
      </c>
      <c r="G69" s="12">
        <v>1634</v>
      </c>
      <c r="H69" s="12" t="s">
        <v>14</v>
      </c>
      <c r="L69" s="3">
        <v>40269</v>
      </c>
      <c r="M69" s="5"/>
      <c r="N69" s="5">
        <v>10378</v>
      </c>
      <c r="O69" s="5">
        <v>7549</v>
      </c>
      <c r="P69" s="5">
        <v>1278</v>
      </c>
      <c r="Q69" s="5"/>
      <c r="R69" s="5">
        <v>19205</v>
      </c>
      <c r="V69" s="3">
        <v>40269</v>
      </c>
      <c r="W69" s="5">
        <v>12471</v>
      </c>
      <c r="X69" s="5">
        <v>979</v>
      </c>
      <c r="Y69" s="5">
        <v>4108</v>
      </c>
      <c r="Z69" s="5">
        <v>1647</v>
      </c>
      <c r="AA69" s="5">
        <v>19205</v>
      </c>
      <c r="AD69" s="3">
        <v>40269</v>
      </c>
      <c r="AE69">
        <f t="shared" si="0"/>
        <v>12471</v>
      </c>
      <c r="AF69">
        <f t="shared" si="1"/>
        <v>10378</v>
      </c>
      <c r="AG69">
        <f t="shared" si="2"/>
        <v>0.83217063587523055</v>
      </c>
      <c r="AH69">
        <f t="shared" si="3"/>
        <v>19205</v>
      </c>
      <c r="AI69">
        <f t="shared" si="4"/>
        <v>19205</v>
      </c>
    </row>
    <row r="70" spans="1:35" x14ac:dyDescent="0.25">
      <c r="A70" s="11">
        <v>39326</v>
      </c>
      <c r="B70" s="12">
        <v>42572</v>
      </c>
      <c r="C70" s="12" t="s">
        <v>2</v>
      </c>
      <c r="D70" s="1"/>
      <c r="F70" s="11">
        <v>38961</v>
      </c>
      <c r="G70" s="12">
        <v>3325</v>
      </c>
      <c r="H70" s="12" t="s">
        <v>15</v>
      </c>
      <c r="L70" s="3">
        <v>40299</v>
      </c>
      <c r="M70" s="5"/>
      <c r="N70" s="5">
        <v>12269</v>
      </c>
      <c r="O70" s="5">
        <v>10075</v>
      </c>
      <c r="P70" s="5">
        <v>1354</v>
      </c>
      <c r="Q70" s="5"/>
      <c r="R70" s="5">
        <v>23698</v>
      </c>
      <c r="V70" s="3">
        <v>40299</v>
      </c>
      <c r="W70" s="5">
        <v>15106</v>
      </c>
      <c r="X70" s="5">
        <v>1119</v>
      </c>
      <c r="Y70" s="5">
        <v>5734</v>
      </c>
      <c r="Z70" s="5">
        <v>1739</v>
      </c>
      <c r="AA70" s="5">
        <v>23698</v>
      </c>
      <c r="AD70" s="3">
        <v>40299</v>
      </c>
      <c r="AE70">
        <f t="shared" si="0"/>
        <v>15106</v>
      </c>
      <c r="AF70">
        <f t="shared" si="1"/>
        <v>12269</v>
      </c>
      <c r="AG70">
        <f t="shared" si="2"/>
        <v>0.81219383026611947</v>
      </c>
      <c r="AH70">
        <f t="shared" si="3"/>
        <v>23698</v>
      </c>
      <c r="AI70">
        <f t="shared" si="4"/>
        <v>23698</v>
      </c>
    </row>
    <row r="71" spans="1:35" x14ac:dyDescent="0.25">
      <c r="A71" s="11">
        <v>39356</v>
      </c>
      <c r="B71" s="12">
        <v>4178</v>
      </c>
      <c r="C71" s="12" t="s">
        <v>3</v>
      </c>
      <c r="D71" s="1"/>
      <c r="F71" s="11">
        <v>38961</v>
      </c>
      <c r="G71" s="12">
        <v>18481</v>
      </c>
      <c r="H71" s="12" t="s">
        <v>16</v>
      </c>
      <c r="L71" s="3">
        <v>40330</v>
      </c>
      <c r="M71" s="5"/>
      <c r="N71" s="5">
        <v>11418</v>
      </c>
      <c r="O71" s="5">
        <v>10966</v>
      </c>
      <c r="P71" s="5">
        <v>1243</v>
      </c>
      <c r="Q71" s="5"/>
      <c r="R71" s="5">
        <v>23627</v>
      </c>
      <c r="V71" s="3">
        <v>40330</v>
      </c>
      <c r="W71" s="5">
        <v>13999</v>
      </c>
      <c r="X71" s="5">
        <v>1010</v>
      </c>
      <c r="Y71" s="5">
        <v>6954</v>
      </c>
      <c r="Z71" s="5">
        <v>1664</v>
      </c>
      <c r="AA71" s="5">
        <v>23627</v>
      </c>
      <c r="AD71" s="3">
        <v>40330</v>
      </c>
      <c r="AE71">
        <f t="shared" ref="AE71:AE134" si="5">VLOOKUP(AD71,V:AA,2,0)</f>
        <v>13999</v>
      </c>
      <c r="AF71">
        <f t="shared" ref="AF71:AF134" si="6">VLOOKUP(AD71,L:R,3,0)</f>
        <v>11418</v>
      </c>
      <c r="AG71">
        <f t="shared" ref="AG71:AG134" si="7">AF71/AE71</f>
        <v>0.81562968783484535</v>
      </c>
      <c r="AH71">
        <f t="shared" ref="AH71:AH134" si="8">VLOOKUP(AD71,V:AA,6,0)</f>
        <v>23627</v>
      </c>
      <c r="AI71">
        <f t="shared" ref="AI71:AI134" si="9">VLOOKUP(AD71,L:R,7,0)</f>
        <v>23627</v>
      </c>
    </row>
    <row r="72" spans="1:35" x14ac:dyDescent="0.25">
      <c r="A72" s="11">
        <v>39356</v>
      </c>
      <c r="B72" s="12">
        <v>43628</v>
      </c>
      <c r="C72" s="12" t="s">
        <v>2</v>
      </c>
      <c r="D72" s="1"/>
      <c r="F72" s="11">
        <v>38961</v>
      </c>
      <c r="G72" s="12">
        <v>1463</v>
      </c>
      <c r="H72" s="12" t="s">
        <v>14</v>
      </c>
      <c r="L72" s="3">
        <v>40360</v>
      </c>
      <c r="M72" s="5"/>
      <c r="N72" s="5">
        <v>8920</v>
      </c>
      <c r="O72" s="5">
        <v>10928</v>
      </c>
      <c r="P72" s="5">
        <v>965</v>
      </c>
      <c r="Q72" s="5"/>
      <c r="R72" s="5">
        <v>20813</v>
      </c>
      <c r="V72" s="3">
        <v>40360</v>
      </c>
      <c r="W72" s="5">
        <v>10738</v>
      </c>
      <c r="X72" s="5">
        <v>873</v>
      </c>
      <c r="Y72" s="5">
        <v>7840</v>
      </c>
      <c r="Z72" s="5">
        <v>1362</v>
      </c>
      <c r="AA72" s="5">
        <v>20813</v>
      </c>
      <c r="AD72" s="3">
        <v>40360</v>
      </c>
      <c r="AE72">
        <f t="shared" si="5"/>
        <v>10738</v>
      </c>
      <c r="AF72">
        <f t="shared" si="6"/>
        <v>8920</v>
      </c>
      <c r="AG72">
        <f t="shared" si="7"/>
        <v>0.83069472899981378</v>
      </c>
      <c r="AH72">
        <f t="shared" si="8"/>
        <v>20813</v>
      </c>
      <c r="AI72">
        <f t="shared" si="9"/>
        <v>20813</v>
      </c>
    </row>
    <row r="73" spans="1:35" x14ac:dyDescent="0.25">
      <c r="A73" s="11">
        <v>39387</v>
      </c>
      <c r="B73" s="12">
        <v>5239</v>
      </c>
      <c r="C73" s="12" t="s">
        <v>3</v>
      </c>
      <c r="D73" s="1"/>
      <c r="F73" s="11">
        <v>38991</v>
      </c>
      <c r="G73" s="12">
        <v>3870</v>
      </c>
      <c r="H73" s="12" t="s">
        <v>15</v>
      </c>
      <c r="L73" s="3">
        <v>40391</v>
      </c>
      <c r="M73" s="5"/>
      <c r="N73" s="5">
        <v>11465</v>
      </c>
      <c r="O73" s="5">
        <v>11705</v>
      </c>
      <c r="P73" s="5">
        <v>1461</v>
      </c>
      <c r="Q73" s="5"/>
      <c r="R73" s="5">
        <v>24631</v>
      </c>
      <c r="V73" s="3">
        <v>40391</v>
      </c>
      <c r="W73" s="5">
        <v>13788</v>
      </c>
      <c r="X73" s="5">
        <v>590</v>
      </c>
      <c r="Y73" s="5">
        <v>8295</v>
      </c>
      <c r="Z73" s="5">
        <v>1958</v>
      </c>
      <c r="AA73" s="5">
        <v>24631</v>
      </c>
      <c r="AD73" s="3">
        <v>40391</v>
      </c>
      <c r="AE73">
        <f t="shared" si="5"/>
        <v>13788</v>
      </c>
      <c r="AF73">
        <f t="shared" si="6"/>
        <v>11465</v>
      </c>
      <c r="AG73">
        <f t="shared" si="7"/>
        <v>0.83152016246011029</v>
      </c>
      <c r="AH73">
        <f t="shared" si="8"/>
        <v>24631</v>
      </c>
      <c r="AI73">
        <f t="shared" si="9"/>
        <v>24631</v>
      </c>
    </row>
    <row r="74" spans="1:35" x14ac:dyDescent="0.25">
      <c r="A74" s="11">
        <v>39387</v>
      </c>
      <c r="B74" s="12">
        <v>40046</v>
      </c>
      <c r="C74" s="12" t="s">
        <v>2</v>
      </c>
      <c r="D74" s="1"/>
      <c r="F74" s="11">
        <v>38991</v>
      </c>
      <c r="G74" s="12">
        <v>18928</v>
      </c>
      <c r="H74" s="12" t="s">
        <v>16</v>
      </c>
      <c r="L74" s="3">
        <v>40422</v>
      </c>
      <c r="M74" s="5"/>
      <c r="N74" s="5">
        <v>14145</v>
      </c>
      <c r="O74" s="5">
        <v>9087</v>
      </c>
      <c r="P74" s="5">
        <v>2033</v>
      </c>
      <c r="Q74" s="5"/>
      <c r="R74" s="5">
        <v>25265</v>
      </c>
      <c r="V74" s="3">
        <v>40422</v>
      </c>
      <c r="W74" s="5">
        <v>17097</v>
      </c>
      <c r="X74" s="5">
        <v>739</v>
      </c>
      <c r="Y74" s="5">
        <v>4677</v>
      </c>
      <c r="Z74" s="5">
        <v>2752</v>
      </c>
      <c r="AA74" s="5">
        <v>25265</v>
      </c>
      <c r="AD74" s="3">
        <v>40422</v>
      </c>
      <c r="AE74">
        <f t="shared" si="5"/>
        <v>17097</v>
      </c>
      <c r="AF74">
        <f t="shared" si="6"/>
        <v>14145</v>
      </c>
      <c r="AG74">
        <f t="shared" si="7"/>
        <v>0.82733812949640284</v>
      </c>
      <c r="AH74">
        <f t="shared" si="8"/>
        <v>25265</v>
      </c>
      <c r="AI74">
        <f t="shared" si="9"/>
        <v>25265</v>
      </c>
    </row>
    <row r="75" spans="1:35" x14ac:dyDescent="0.25">
      <c r="A75" s="11">
        <v>39417</v>
      </c>
      <c r="B75" s="12">
        <v>6375</v>
      </c>
      <c r="C75" s="12" t="s">
        <v>3</v>
      </c>
      <c r="D75" s="1"/>
      <c r="F75" s="11">
        <v>38991</v>
      </c>
      <c r="G75" s="12">
        <v>1491</v>
      </c>
      <c r="H75" s="12" t="s">
        <v>14</v>
      </c>
      <c r="L75" s="3">
        <v>40452</v>
      </c>
      <c r="M75" s="5"/>
      <c r="N75" s="5">
        <v>16225</v>
      </c>
      <c r="O75" s="5">
        <v>10222</v>
      </c>
      <c r="P75" s="5">
        <v>2689</v>
      </c>
      <c r="Q75" s="5"/>
      <c r="R75" s="5">
        <v>29136</v>
      </c>
      <c r="V75" s="3">
        <v>40452</v>
      </c>
      <c r="W75" s="5">
        <v>19801</v>
      </c>
      <c r="X75" s="5">
        <v>736</v>
      </c>
      <c r="Y75" s="5">
        <v>4562</v>
      </c>
      <c r="Z75" s="5">
        <v>4037</v>
      </c>
      <c r="AA75" s="5">
        <v>29136</v>
      </c>
      <c r="AD75" s="3">
        <v>40452</v>
      </c>
      <c r="AE75">
        <f t="shared" si="5"/>
        <v>19801</v>
      </c>
      <c r="AF75">
        <f t="shared" si="6"/>
        <v>16225</v>
      </c>
      <c r="AG75">
        <f t="shared" si="7"/>
        <v>0.81940306045149236</v>
      </c>
      <c r="AH75">
        <f t="shared" si="8"/>
        <v>29136</v>
      </c>
      <c r="AI75">
        <f t="shared" si="9"/>
        <v>29136</v>
      </c>
    </row>
    <row r="76" spans="1:35" x14ac:dyDescent="0.25">
      <c r="A76" s="11">
        <v>39417</v>
      </c>
      <c r="B76" s="12">
        <v>39243</v>
      </c>
      <c r="C76" s="12" t="s">
        <v>2</v>
      </c>
      <c r="D76" s="1"/>
      <c r="F76" s="11">
        <v>39022</v>
      </c>
      <c r="G76" s="12">
        <v>4345</v>
      </c>
      <c r="H76" s="12" t="s">
        <v>15</v>
      </c>
      <c r="L76" s="3">
        <v>40483</v>
      </c>
      <c r="M76" s="5"/>
      <c r="N76" s="5">
        <v>17136</v>
      </c>
      <c r="O76" s="5">
        <v>10705</v>
      </c>
      <c r="P76" s="5">
        <v>3023</v>
      </c>
      <c r="Q76" s="5"/>
      <c r="R76" s="5">
        <v>30864</v>
      </c>
      <c r="V76" s="3">
        <v>40483</v>
      </c>
      <c r="W76" s="5">
        <v>21283</v>
      </c>
      <c r="X76" s="5">
        <v>637</v>
      </c>
      <c r="Y76" s="5">
        <v>4283</v>
      </c>
      <c r="Z76" s="5">
        <v>4661</v>
      </c>
      <c r="AA76" s="5">
        <v>30864</v>
      </c>
      <c r="AD76" s="3">
        <v>40483</v>
      </c>
      <c r="AE76">
        <f t="shared" si="5"/>
        <v>21283</v>
      </c>
      <c r="AF76">
        <f t="shared" si="6"/>
        <v>17136</v>
      </c>
      <c r="AG76">
        <f t="shared" si="7"/>
        <v>0.80514964995536342</v>
      </c>
      <c r="AH76">
        <f t="shared" si="8"/>
        <v>30864</v>
      </c>
      <c r="AI76">
        <f t="shared" si="9"/>
        <v>30864</v>
      </c>
    </row>
    <row r="77" spans="1:35" x14ac:dyDescent="0.25">
      <c r="A77" s="11">
        <v>39448</v>
      </c>
      <c r="B77" s="12">
        <v>5697</v>
      </c>
      <c r="C77" s="12" t="s">
        <v>3</v>
      </c>
      <c r="D77" s="1"/>
      <c r="F77" s="11">
        <v>39022</v>
      </c>
      <c r="G77" s="12">
        <v>17242</v>
      </c>
      <c r="H77" s="12" t="s">
        <v>16</v>
      </c>
      <c r="L77" s="3">
        <v>40513</v>
      </c>
      <c r="M77" s="5"/>
      <c r="N77" s="5">
        <v>19481</v>
      </c>
      <c r="O77" s="5">
        <v>11420</v>
      </c>
      <c r="P77" s="5">
        <v>3476</v>
      </c>
      <c r="Q77" s="5"/>
      <c r="R77" s="5">
        <v>34377</v>
      </c>
      <c r="V77" s="3">
        <v>40513</v>
      </c>
      <c r="W77" s="5">
        <v>23970</v>
      </c>
      <c r="X77" s="5">
        <v>708</v>
      </c>
      <c r="Y77" s="5">
        <v>4398</v>
      </c>
      <c r="Z77" s="5">
        <v>5301</v>
      </c>
      <c r="AA77" s="5">
        <v>34377</v>
      </c>
      <c r="AD77" s="3">
        <v>40513</v>
      </c>
      <c r="AE77">
        <f t="shared" si="5"/>
        <v>23970</v>
      </c>
      <c r="AF77">
        <f t="shared" si="6"/>
        <v>19481</v>
      </c>
      <c r="AG77">
        <f t="shared" si="7"/>
        <v>0.81272423863162291</v>
      </c>
      <c r="AH77">
        <f t="shared" si="8"/>
        <v>34377</v>
      </c>
      <c r="AI77">
        <f t="shared" si="9"/>
        <v>34377</v>
      </c>
    </row>
    <row r="78" spans="1:35" x14ac:dyDescent="0.25">
      <c r="A78" s="11">
        <v>39448</v>
      </c>
      <c r="B78" s="12">
        <v>34408</v>
      </c>
      <c r="C78" s="12" t="s">
        <v>2</v>
      </c>
      <c r="D78" s="1"/>
      <c r="F78" s="11">
        <v>39022</v>
      </c>
      <c r="G78" s="12">
        <v>1415</v>
      </c>
      <c r="H78" s="12" t="s">
        <v>14</v>
      </c>
      <c r="L78" s="3">
        <v>40544</v>
      </c>
      <c r="M78" s="5"/>
      <c r="N78" s="5">
        <v>21472</v>
      </c>
      <c r="O78" s="5">
        <v>11990</v>
      </c>
      <c r="P78" s="5">
        <v>3223</v>
      </c>
      <c r="Q78" s="5"/>
      <c r="R78" s="5">
        <v>36685</v>
      </c>
      <c r="V78" s="3">
        <v>40544</v>
      </c>
      <c r="W78" s="5">
        <v>26744</v>
      </c>
      <c r="X78" s="5">
        <v>761</v>
      </c>
      <c r="Y78" s="5">
        <v>4295</v>
      </c>
      <c r="Z78" s="5">
        <v>4885</v>
      </c>
      <c r="AA78" s="5">
        <v>36685</v>
      </c>
      <c r="AD78" s="3">
        <v>40544</v>
      </c>
      <c r="AE78">
        <f t="shared" si="5"/>
        <v>26744</v>
      </c>
      <c r="AF78">
        <f t="shared" si="6"/>
        <v>21472</v>
      </c>
      <c r="AG78">
        <f t="shared" si="7"/>
        <v>0.80287167215076283</v>
      </c>
      <c r="AH78">
        <f t="shared" si="8"/>
        <v>36685</v>
      </c>
      <c r="AI78">
        <f t="shared" si="9"/>
        <v>36685</v>
      </c>
    </row>
    <row r="79" spans="1:35" x14ac:dyDescent="0.25">
      <c r="A79" s="11">
        <v>39479</v>
      </c>
      <c r="B79" s="12">
        <v>7319</v>
      </c>
      <c r="C79" s="12" t="s">
        <v>3</v>
      </c>
      <c r="D79" s="1"/>
      <c r="F79" s="11">
        <v>39022</v>
      </c>
      <c r="G79" s="12">
        <v>1</v>
      </c>
      <c r="H79" s="12" t="s">
        <v>29</v>
      </c>
      <c r="L79" s="3">
        <v>40575</v>
      </c>
      <c r="M79" s="5"/>
      <c r="N79" s="5">
        <v>20596</v>
      </c>
      <c r="O79" s="5">
        <v>12179</v>
      </c>
      <c r="P79" s="5">
        <v>3437</v>
      </c>
      <c r="Q79" s="5"/>
      <c r="R79" s="5">
        <v>36212</v>
      </c>
      <c r="V79" s="3">
        <v>40575</v>
      </c>
      <c r="W79" s="5">
        <v>25576</v>
      </c>
      <c r="X79" s="5">
        <v>820</v>
      </c>
      <c r="Y79" s="5">
        <v>4920</v>
      </c>
      <c r="Z79" s="5">
        <v>4896</v>
      </c>
      <c r="AA79" s="5">
        <v>36212</v>
      </c>
      <c r="AD79" s="3">
        <v>40575</v>
      </c>
      <c r="AE79">
        <f t="shared" si="5"/>
        <v>25576</v>
      </c>
      <c r="AF79">
        <f t="shared" si="6"/>
        <v>20596</v>
      </c>
      <c r="AG79">
        <f t="shared" si="7"/>
        <v>0.80528620581795429</v>
      </c>
      <c r="AH79">
        <f t="shared" si="8"/>
        <v>36212</v>
      </c>
      <c r="AI79">
        <f t="shared" si="9"/>
        <v>36212</v>
      </c>
    </row>
    <row r="80" spans="1:35" x14ac:dyDescent="0.25">
      <c r="A80" s="11">
        <v>39479</v>
      </c>
      <c r="B80" s="12">
        <v>33620</v>
      </c>
      <c r="C80" s="12" t="s">
        <v>2</v>
      </c>
      <c r="D80" s="1"/>
      <c r="F80" s="11">
        <v>39052</v>
      </c>
      <c r="G80" s="12">
        <v>5718</v>
      </c>
      <c r="H80" s="12" t="s">
        <v>15</v>
      </c>
      <c r="L80" s="3">
        <v>40603</v>
      </c>
      <c r="M80" s="5"/>
      <c r="N80" s="5">
        <v>19129</v>
      </c>
      <c r="O80" s="5">
        <v>9844</v>
      </c>
      <c r="P80" s="5">
        <v>2289</v>
      </c>
      <c r="Q80" s="5"/>
      <c r="R80" s="5">
        <v>31262</v>
      </c>
      <c r="V80" s="3">
        <v>40603</v>
      </c>
      <c r="W80" s="5">
        <v>23483</v>
      </c>
      <c r="X80" s="5">
        <v>1196</v>
      </c>
      <c r="Y80" s="5">
        <v>3245</v>
      </c>
      <c r="Z80" s="5">
        <v>3338</v>
      </c>
      <c r="AA80" s="5">
        <v>31262</v>
      </c>
      <c r="AD80" s="3">
        <v>40603</v>
      </c>
      <c r="AE80">
        <f t="shared" si="5"/>
        <v>23483</v>
      </c>
      <c r="AF80">
        <f t="shared" si="6"/>
        <v>19129</v>
      </c>
      <c r="AG80">
        <f t="shared" si="7"/>
        <v>0.81458927734957198</v>
      </c>
      <c r="AH80">
        <f t="shared" si="8"/>
        <v>31262</v>
      </c>
      <c r="AI80">
        <f t="shared" si="9"/>
        <v>31262</v>
      </c>
    </row>
    <row r="81" spans="1:35" x14ac:dyDescent="0.25">
      <c r="A81" s="11">
        <v>39508</v>
      </c>
      <c r="B81" s="12">
        <v>7429</v>
      </c>
      <c r="C81" s="12" t="s">
        <v>3</v>
      </c>
      <c r="D81" s="1"/>
      <c r="F81" s="11">
        <v>39052</v>
      </c>
      <c r="G81" s="12">
        <v>17359</v>
      </c>
      <c r="H81" s="12" t="s">
        <v>16</v>
      </c>
      <c r="L81" s="3">
        <v>40634</v>
      </c>
      <c r="M81" s="5"/>
      <c r="N81" s="5">
        <v>14334</v>
      </c>
      <c r="O81" s="5">
        <v>7742</v>
      </c>
      <c r="P81" s="5">
        <v>1049</v>
      </c>
      <c r="Q81" s="5"/>
      <c r="R81" s="5">
        <v>23125</v>
      </c>
      <c r="V81" s="3">
        <v>40634</v>
      </c>
      <c r="W81" s="5">
        <v>17904</v>
      </c>
      <c r="X81" s="5">
        <v>1250</v>
      </c>
      <c r="Y81" s="5">
        <v>2280</v>
      </c>
      <c r="Z81" s="5">
        <v>1691</v>
      </c>
      <c r="AA81" s="5">
        <v>23125</v>
      </c>
      <c r="AD81" s="3">
        <v>40634</v>
      </c>
      <c r="AE81">
        <f t="shared" si="5"/>
        <v>17904</v>
      </c>
      <c r="AF81">
        <f t="shared" si="6"/>
        <v>14334</v>
      </c>
      <c r="AG81">
        <f t="shared" si="7"/>
        <v>0.80060321715817695</v>
      </c>
      <c r="AH81">
        <f t="shared" si="8"/>
        <v>23125</v>
      </c>
      <c r="AI81">
        <f t="shared" si="9"/>
        <v>23125</v>
      </c>
    </row>
    <row r="82" spans="1:35" x14ac:dyDescent="0.25">
      <c r="A82" s="11">
        <v>39508</v>
      </c>
      <c r="B82" s="12">
        <v>26224</v>
      </c>
      <c r="C82" s="12" t="s">
        <v>2</v>
      </c>
      <c r="D82" s="1"/>
      <c r="F82" s="11">
        <v>39052</v>
      </c>
      <c r="G82" s="12">
        <v>1652</v>
      </c>
      <c r="H82" s="12" t="s">
        <v>14</v>
      </c>
      <c r="L82" s="3">
        <v>40664</v>
      </c>
      <c r="M82" s="5"/>
      <c r="N82" s="5">
        <v>10378</v>
      </c>
      <c r="O82" s="5">
        <v>8335</v>
      </c>
      <c r="P82" s="5">
        <v>1123</v>
      </c>
      <c r="Q82" s="5"/>
      <c r="R82" s="5">
        <v>19836</v>
      </c>
      <c r="V82" s="3">
        <v>40664</v>
      </c>
      <c r="W82" s="5">
        <v>13374</v>
      </c>
      <c r="X82" s="5">
        <v>946</v>
      </c>
      <c r="Y82" s="5">
        <v>3924</v>
      </c>
      <c r="Z82" s="5">
        <v>1592</v>
      </c>
      <c r="AA82" s="5">
        <v>19836</v>
      </c>
      <c r="AD82" s="3">
        <v>40664</v>
      </c>
      <c r="AE82">
        <f t="shared" si="5"/>
        <v>13374</v>
      </c>
      <c r="AF82">
        <f t="shared" si="6"/>
        <v>10378</v>
      </c>
      <c r="AG82">
        <f t="shared" si="7"/>
        <v>0.77598325108419319</v>
      </c>
      <c r="AH82">
        <f t="shared" si="8"/>
        <v>19836</v>
      </c>
      <c r="AI82">
        <f t="shared" si="9"/>
        <v>19836</v>
      </c>
    </row>
    <row r="83" spans="1:35" x14ac:dyDescent="0.25">
      <c r="A83" s="11">
        <v>39539</v>
      </c>
      <c r="B83" s="12">
        <v>30067</v>
      </c>
      <c r="C83" s="12" t="s">
        <v>2</v>
      </c>
      <c r="D83" s="1"/>
      <c r="F83" s="11">
        <v>39052</v>
      </c>
      <c r="G83" s="12">
        <v>1</v>
      </c>
      <c r="H83" s="12" t="s">
        <v>29</v>
      </c>
      <c r="L83" s="3">
        <v>40695</v>
      </c>
      <c r="M83" s="5"/>
      <c r="N83" s="5">
        <v>9254</v>
      </c>
      <c r="O83" s="5">
        <v>9229</v>
      </c>
      <c r="P83" s="5">
        <v>944</v>
      </c>
      <c r="Q83" s="5"/>
      <c r="R83" s="5">
        <v>19427</v>
      </c>
      <c r="V83" s="3">
        <v>40695</v>
      </c>
      <c r="W83" s="5">
        <v>12054</v>
      </c>
      <c r="X83" s="5">
        <v>1099</v>
      </c>
      <c r="Y83" s="5">
        <v>4876</v>
      </c>
      <c r="Z83" s="5">
        <v>1398</v>
      </c>
      <c r="AA83" s="5">
        <v>19427</v>
      </c>
      <c r="AD83" s="3">
        <v>40695</v>
      </c>
      <c r="AE83">
        <f t="shared" si="5"/>
        <v>12054</v>
      </c>
      <c r="AF83">
        <f t="shared" si="6"/>
        <v>9254</v>
      </c>
      <c r="AG83">
        <f t="shared" si="7"/>
        <v>0.76771196283391407</v>
      </c>
      <c r="AH83">
        <f t="shared" si="8"/>
        <v>19427</v>
      </c>
      <c r="AI83">
        <f t="shared" si="9"/>
        <v>19427</v>
      </c>
    </row>
    <row r="84" spans="1:35" x14ac:dyDescent="0.25">
      <c r="A84" s="11">
        <v>39539</v>
      </c>
      <c r="B84" s="12">
        <v>11002</v>
      </c>
      <c r="C84" s="12" t="s">
        <v>3</v>
      </c>
      <c r="D84" s="1"/>
      <c r="F84" s="11">
        <v>39083</v>
      </c>
      <c r="G84" s="12">
        <v>5283</v>
      </c>
      <c r="H84" s="12" t="s">
        <v>15</v>
      </c>
      <c r="L84" s="3">
        <v>40725</v>
      </c>
      <c r="M84" s="5"/>
      <c r="N84" s="5">
        <v>8125</v>
      </c>
      <c r="O84" s="5">
        <v>9883</v>
      </c>
      <c r="P84" s="5">
        <v>913</v>
      </c>
      <c r="Q84" s="5"/>
      <c r="R84" s="5">
        <v>18921</v>
      </c>
      <c r="V84" s="3">
        <v>40725</v>
      </c>
      <c r="W84" s="5">
        <v>10483</v>
      </c>
      <c r="X84" s="5">
        <v>991</v>
      </c>
      <c r="Y84" s="5">
        <v>6095</v>
      </c>
      <c r="Z84" s="5">
        <v>1352</v>
      </c>
      <c r="AA84" s="5">
        <v>18921</v>
      </c>
      <c r="AD84" s="3">
        <v>40725</v>
      </c>
      <c r="AE84">
        <f t="shared" si="5"/>
        <v>10483</v>
      </c>
      <c r="AF84">
        <f t="shared" si="6"/>
        <v>8125</v>
      </c>
      <c r="AG84">
        <f t="shared" si="7"/>
        <v>0.77506438996470473</v>
      </c>
      <c r="AH84">
        <f t="shared" si="8"/>
        <v>18921</v>
      </c>
      <c r="AI84">
        <f t="shared" si="9"/>
        <v>18921</v>
      </c>
    </row>
    <row r="85" spans="1:35" x14ac:dyDescent="0.25">
      <c r="A85" s="11">
        <v>39569</v>
      </c>
      <c r="B85" s="12">
        <v>31075</v>
      </c>
      <c r="C85" s="12" t="s">
        <v>2</v>
      </c>
      <c r="D85" s="1"/>
      <c r="F85" s="11">
        <v>39083</v>
      </c>
      <c r="G85" s="12">
        <v>16251</v>
      </c>
      <c r="H85" s="12" t="s">
        <v>16</v>
      </c>
      <c r="L85" s="3">
        <v>40756</v>
      </c>
      <c r="M85" s="5"/>
      <c r="N85" s="5">
        <v>8682</v>
      </c>
      <c r="O85" s="5">
        <v>12783</v>
      </c>
      <c r="P85" s="5">
        <v>1124</v>
      </c>
      <c r="Q85" s="5"/>
      <c r="R85" s="5">
        <v>22589</v>
      </c>
      <c r="V85" s="3">
        <v>40756</v>
      </c>
      <c r="W85" s="5">
        <v>11570</v>
      </c>
      <c r="X85" s="5">
        <v>884</v>
      </c>
      <c r="Y85" s="5">
        <v>8333</v>
      </c>
      <c r="Z85" s="5">
        <v>1802</v>
      </c>
      <c r="AA85" s="5">
        <v>22589</v>
      </c>
      <c r="AD85" s="3">
        <v>40756</v>
      </c>
      <c r="AE85">
        <f t="shared" si="5"/>
        <v>11570</v>
      </c>
      <c r="AF85">
        <f t="shared" si="6"/>
        <v>8682</v>
      </c>
      <c r="AG85">
        <f t="shared" si="7"/>
        <v>0.75038893690579089</v>
      </c>
      <c r="AH85">
        <f t="shared" si="8"/>
        <v>22589</v>
      </c>
      <c r="AI85">
        <f t="shared" si="9"/>
        <v>22589</v>
      </c>
    </row>
    <row r="86" spans="1:35" x14ac:dyDescent="0.25">
      <c r="A86" s="11">
        <v>39569</v>
      </c>
      <c r="B86" s="12">
        <v>8131</v>
      </c>
      <c r="C86" s="12" t="s">
        <v>3</v>
      </c>
      <c r="D86" s="1"/>
      <c r="F86" s="11">
        <v>39083</v>
      </c>
      <c r="G86" s="12">
        <v>1465</v>
      </c>
      <c r="H86" s="12" t="s">
        <v>14</v>
      </c>
      <c r="L86" s="3">
        <v>40787</v>
      </c>
      <c r="M86" s="5"/>
      <c r="N86" s="5">
        <v>9175</v>
      </c>
      <c r="O86" s="5">
        <v>12304</v>
      </c>
      <c r="P86" s="5">
        <v>1275</v>
      </c>
      <c r="Q86" s="5"/>
      <c r="R86" s="5">
        <v>22754</v>
      </c>
      <c r="V86" s="3">
        <v>40787</v>
      </c>
      <c r="W86" s="5">
        <v>12293</v>
      </c>
      <c r="X86" s="5">
        <v>819</v>
      </c>
      <c r="Y86" s="5">
        <v>7623</v>
      </c>
      <c r="Z86" s="5">
        <v>2019</v>
      </c>
      <c r="AA86" s="5">
        <v>22754</v>
      </c>
      <c r="AD86" s="3">
        <v>40787</v>
      </c>
      <c r="AE86">
        <f t="shared" si="5"/>
        <v>12293</v>
      </c>
      <c r="AF86">
        <f t="shared" si="6"/>
        <v>9175</v>
      </c>
      <c r="AG86">
        <f t="shared" si="7"/>
        <v>0.74635971691206382</v>
      </c>
      <c r="AH86">
        <f t="shared" si="8"/>
        <v>22754</v>
      </c>
      <c r="AI86">
        <f t="shared" si="9"/>
        <v>22754</v>
      </c>
    </row>
    <row r="87" spans="1:35" x14ac:dyDescent="0.25">
      <c r="A87" s="11">
        <v>39600</v>
      </c>
      <c r="B87" s="12">
        <v>6360</v>
      </c>
      <c r="C87" s="12" t="s">
        <v>3</v>
      </c>
      <c r="D87" s="1"/>
      <c r="F87" s="11">
        <v>39114</v>
      </c>
      <c r="G87" s="12">
        <v>5982</v>
      </c>
      <c r="H87" s="12" t="s">
        <v>15</v>
      </c>
      <c r="L87" s="3">
        <v>40817</v>
      </c>
      <c r="M87" s="5"/>
      <c r="N87" s="5">
        <v>9463</v>
      </c>
      <c r="O87" s="5">
        <v>13007</v>
      </c>
      <c r="P87" s="5">
        <v>1436</v>
      </c>
      <c r="Q87" s="5"/>
      <c r="R87" s="5">
        <v>23906</v>
      </c>
      <c r="V87" s="3">
        <v>40817</v>
      </c>
      <c r="W87" s="5">
        <v>13197</v>
      </c>
      <c r="X87" s="5">
        <v>640</v>
      </c>
      <c r="Y87" s="5">
        <v>7738</v>
      </c>
      <c r="Z87" s="5">
        <v>2331</v>
      </c>
      <c r="AA87" s="5">
        <v>23906</v>
      </c>
      <c r="AD87" s="3">
        <v>40817</v>
      </c>
      <c r="AE87">
        <f t="shared" si="5"/>
        <v>13197</v>
      </c>
      <c r="AF87">
        <f t="shared" si="6"/>
        <v>9463</v>
      </c>
      <c r="AG87">
        <f t="shared" si="7"/>
        <v>0.71705690687277412</v>
      </c>
      <c r="AH87">
        <f t="shared" si="8"/>
        <v>23906</v>
      </c>
      <c r="AI87">
        <f t="shared" si="9"/>
        <v>23906</v>
      </c>
    </row>
    <row r="88" spans="1:35" x14ac:dyDescent="0.25">
      <c r="A88" s="11">
        <v>39600</v>
      </c>
      <c r="B88" s="12">
        <v>25965</v>
      </c>
      <c r="C88" s="12" t="s">
        <v>2</v>
      </c>
      <c r="D88" s="1"/>
      <c r="F88" s="11">
        <v>39114</v>
      </c>
      <c r="G88" s="12">
        <v>15987</v>
      </c>
      <c r="H88" s="12" t="s">
        <v>16</v>
      </c>
      <c r="L88" s="3">
        <v>40848</v>
      </c>
      <c r="M88" s="5"/>
      <c r="N88" s="5">
        <v>10505</v>
      </c>
      <c r="O88" s="5">
        <v>13522</v>
      </c>
      <c r="P88" s="5">
        <v>2096</v>
      </c>
      <c r="Q88" s="5"/>
      <c r="R88" s="5">
        <v>26123</v>
      </c>
      <c r="V88" s="3">
        <v>40848</v>
      </c>
      <c r="W88" s="5">
        <v>15246</v>
      </c>
      <c r="X88" s="5">
        <v>639</v>
      </c>
      <c r="Y88" s="5">
        <v>6573</v>
      </c>
      <c r="Z88" s="5">
        <v>3665</v>
      </c>
      <c r="AA88" s="5">
        <v>26123</v>
      </c>
      <c r="AD88" s="3">
        <v>40848</v>
      </c>
      <c r="AE88">
        <f t="shared" si="5"/>
        <v>15246</v>
      </c>
      <c r="AF88">
        <f t="shared" si="6"/>
        <v>10505</v>
      </c>
      <c r="AG88">
        <f t="shared" si="7"/>
        <v>0.689033189033189</v>
      </c>
      <c r="AH88">
        <f t="shared" si="8"/>
        <v>26123</v>
      </c>
      <c r="AI88">
        <f t="shared" si="9"/>
        <v>26123</v>
      </c>
    </row>
    <row r="89" spans="1:35" x14ac:dyDescent="0.25">
      <c r="A89" s="11">
        <v>39630</v>
      </c>
      <c r="B89" s="12">
        <v>21930</v>
      </c>
      <c r="C89" s="12" t="s">
        <v>2</v>
      </c>
      <c r="D89" s="1"/>
      <c r="F89" s="11">
        <v>39114</v>
      </c>
      <c r="G89" s="12">
        <v>1437</v>
      </c>
      <c r="H89" s="12" t="s">
        <v>14</v>
      </c>
      <c r="L89" s="3">
        <v>40878</v>
      </c>
      <c r="M89" s="5"/>
      <c r="N89" s="5">
        <v>12243</v>
      </c>
      <c r="O89" s="5">
        <v>12615</v>
      </c>
      <c r="P89" s="5">
        <v>2179</v>
      </c>
      <c r="Q89" s="5"/>
      <c r="R89" s="5">
        <v>27037</v>
      </c>
      <c r="V89" s="3">
        <v>40878</v>
      </c>
      <c r="W89" s="5">
        <v>17511</v>
      </c>
      <c r="X89" s="5">
        <v>646</v>
      </c>
      <c r="Y89" s="5">
        <v>4716</v>
      </c>
      <c r="Z89" s="5">
        <v>4164</v>
      </c>
      <c r="AA89" s="5">
        <v>27037</v>
      </c>
      <c r="AD89" s="3">
        <v>40878</v>
      </c>
      <c r="AE89">
        <f t="shared" si="5"/>
        <v>17511</v>
      </c>
      <c r="AF89">
        <f t="shared" si="6"/>
        <v>12243</v>
      </c>
      <c r="AG89">
        <f t="shared" si="7"/>
        <v>0.69916052766832282</v>
      </c>
      <c r="AH89">
        <f t="shared" si="8"/>
        <v>27037</v>
      </c>
      <c r="AI89">
        <f t="shared" si="9"/>
        <v>27037</v>
      </c>
    </row>
    <row r="90" spans="1:35" x14ac:dyDescent="0.25">
      <c r="A90" s="11">
        <v>39630</v>
      </c>
      <c r="B90" s="12">
        <v>3882</v>
      </c>
      <c r="C90" s="12" t="s">
        <v>3</v>
      </c>
      <c r="D90" s="1"/>
      <c r="F90" s="11">
        <v>39114</v>
      </c>
      <c r="G90" s="12">
        <v>2</v>
      </c>
      <c r="H90" s="12" t="s">
        <v>29</v>
      </c>
      <c r="L90" s="3">
        <v>40909</v>
      </c>
      <c r="M90" s="5"/>
      <c r="N90" s="5">
        <v>12815</v>
      </c>
      <c r="O90" s="5">
        <v>12585</v>
      </c>
      <c r="P90" s="5">
        <v>2423</v>
      </c>
      <c r="Q90" s="5"/>
      <c r="R90" s="5">
        <v>27823</v>
      </c>
      <c r="V90" s="3">
        <v>40909</v>
      </c>
      <c r="W90" s="5">
        <v>17965</v>
      </c>
      <c r="X90" s="5">
        <v>564</v>
      </c>
      <c r="Y90" s="5">
        <v>5159</v>
      </c>
      <c r="Z90" s="5">
        <v>4135</v>
      </c>
      <c r="AA90" s="5">
        <v>27823</v>
      </c>
      <c r="AD90" s="3">
        <v>40909</v>
      </c>
      <c r="AE90">
        <f t="shared" si="5"/>
        <v>17965</v>
      </c>
      <c r="AF90">
        <f t="shared" si="6"/>
        <v>12815</v>
      </c>
      <c r="AG90">
        <f t="shared" si="7"/>
        <v>0.71333147787364315</v>
      </c>
      <c r="AH90">
        <f t="shared" si="8"/>
        <v>27823</v>
      </c>
      <c r="AI90">
        <f t="shared" si="9"/>
        <v>27823</v>
      </c>
    </row>
    <row r="91" spans="1:35" x14ac:dyDescent="0.25">
      <c r="A91" s="11">
        <v>39661</v>
      </c>
      <c r="B91" s="12">
        <v>22165</v>
      </c>
      <c r="C91" s="12" t="s">
        <v>2</v>
      </c>
      <c r="D91" s="1"/>
      <c r="F91" s="11">
        <v>39142</v>
      </c>
      <c r="G91" s="12">
        <v>6154</v>
      </c>
      <c r="H91" s="12" t="s">
        <v>15</v>
      </c>
      <c r="L91" s="3">
        <v>40940</v>
      </c>
      <c r="M91" s="5"/>
      <c r="N91" s="5">
        <v>12292</v>
      </c>
      <c r="O91" s="5">
        <v>12911</v>
      </c>
      <c r="P91" s="5">
        <v>2627</v>
      </c>
      <c r="Q91" s="5"/>
      <c r="R91" s="5">
        <v>27830</v>
      </c>
      <c r="V91" s="3">
        <v>40940</v>
      </c>
      <c r="W91" s="5">
        <v>17000</v>
      </c>
      <c r="X91" s="5">
        <v>550</v>
      </c>
      <c r="Y91" s="5">
        <v>5882</v>
      </c>
      <c r="Z91" s="5">
        <v>4398</v>
      </c>
      <c r="AA91" s="5">
        <v>27830</v>
      </c>
      <c r="AD91" s="3">
        <v>40940</v>
      </c>
      <c r="AE91">
        <f t="shared" si="5"/>
        <v>17000</v>
      </c>
      <c r="AF91">
        <f t="shared" si="6"/>
        <v>12292</v>
      </c>
      <c r="AG91">
        <f t="shared" si="7"/>
        <v>0.72305882352941175</v>
      </c>
      <c r="AH91">
        <f t="shared" si="8"/>
        <v>27830</v>
      </c>
      <c r="AI91">
        <f t="shared" si="9"/>
        <v>27830</v>
      </c>
    </row>
    <row r="92" spans="1:35" x14ac:dyDescent="0.25">
      <c r="A92" s="11">
        <v>39661</v>
      </c>
      <c r="B92" s="12">
        <v>3046</v>
      </c>
      <c r="C92" s="12" t="s">
        <v>3</v>
      </c>
      <c r="D92" s="1"/>
      <c r="F92" s="11">
        <v>39142</v>
      </c>
      <c r="G92" s="12">
        <v>14337</v>
      </c>
      <c r="H92" s="12" t="s">
        <v>16</v>
      </c>
      <c r="L92" s="3">
        <v>40969</v>
      </c>
      <c r="M92" s="5"/>
      <c r="N92" s="5">
        <v>16201</v>
      </c>
      <c r="O92" s="5">
        <v>10963</v>
      </c>
      <c r="P92" s="5">
        <v>2188</v>
      </c>
      <c r="Q92" s="5"/>
      <c r="R92" s="5">
        <v>29352</v>
      </c>
      <c r="V92" s="3">
        <v>40969</v>
      </c>
      <c r="W92" s="5">
        <v>21322</v>
      </c>
      <c r="X92" s="5">
        <v>564</v>
      </c>
      <c r="Y92" s="5">
        <v>3552</v>
      </c>
      <c r="Z92" s="5">
        <v>3914</v>
      </c>
      <c r="AA92" s="5">
        <v>29352</v>
      </c>
      <c r="AD92" s="3">
        <v>40969</v>
      </c>
      <c r="AE92">
        <f t="shared" si="5"/>
        <v>21322</v>
      </c>
      <c r="AF92">
        <f t="shared" si="6"/>
        <v>16201</v>
      </c>
      <c r="AG92">
        <f t="shared" si="7"/>
        <v>0.75982553231404182</v>
      </c>
      <c r="AH92">
        <f t="shared" si="8"/>
        <v>29352</v>
      </c>
      <c r="AI92">
        <f t="shared" si="9"/>
        <v>29352</v>
      </c>
    </row>
    <row r="93" spans="1:35" x14ac:dyDescent="0.25">
      <c r="A93" s="11">
        <v>39692</v>
      </c>
      <c r="B93" s="12">
        <v>17033</v>
      </c>
      <c r="C93" s="12" t="s">
        <v>2</v>
      </c>
      <c r="D93" s="1"/>
      <c r="F93" s="11">
        <v>39142</v>
      </c>
      <c r="G93" s="12">
        <v>1409</v>
      </c>
      <c r="H93" s="12" t="s">
        <v>14</v>
      </c>
      <c r="L93" s="3">
        <v>41000</v>
      </c>
      <c r="M93" s="5"/>
      <c r="N93" s="5">
        <v>23479</v>
      </c>
      <c r="O93" s="5">
        <v>14120</v>
      </c>
      <c r="P93" s="5">
        <v>2297</v>
      </c>
      <c r="Q93" s="5"/>
      <c r="R93" s="5">
        <v>39896</v>
      </c>
      <c r="V93" s="3">
        <v>41000</v>
      </c>
      <c r="W93" s="5">
        <v>31372</v>
      </c>
      <c r="X93" s="5">
        <v>478</v>
      </c>
      <c r="Y93" s="5">
        <v>3747</v>
      </c>
      <c r="Z93" s="5">
        <v>4299</v>
      </c>
      <c r="AA93" s="5">
        <v>39896</v>
      </c>
      <c r="AD93" s="3">
        <v>41000</v>
      </c>
      <c r="AE93">
        <f t="shared" si="5"/>
        <v>31372</v>
      </c>
      <c r="AF93">
        <f t="shared" si="6"/>
        <v>23479</v>
      </c>
      <c r="AG93">
        <f t="shared" si="7"/>
        <v>0.74840622210888685</v>
      </c>
      <c r="AH93">
        <f t="shared" si="8"/>
        <v>39896</v>
      </c>
      <c r="AI93">
        <f t="shared" si="9"/>
        <v>39896</v>
      </c>
    </row>
    <row r="94" spans="1:35" x14ac:dyDescent="0.25">
      <c r="A94" s="11">
        <v>39692</v>
      </c>
      <c r="B94" s="12">
        <v>1940</v>
      </c>
      <c r="C94" s="12" t="s">
        <v>3</v>
      </c>
      <c r="D94" s="1"/>
      <c r="F94" s="11">
        <v>39142</v>
      </c>
      <c r="G94" s="12">
        <v>2</v>
      </c>
      <c r="H94" s="12" t="s">
        <v>29</v>
      </c>
      <c r="L94" s="3">
        <v>41030</v>
      </c>
      <c r="M94" s="5"/>
      <c r="N94" s="5">
        <v>26624</v>
      </c>
      <c r="O94" s="5">
        <v>17374</v>
      </c>
      <c r="P94" s="5">
        <v>2473</v>
      </c>
      <c r="Q94" s="5"/>
      <c r="R94" s="5">
        <v>46471</v>
      </c>
      <c r="V94" s="3">
        <v>41030</v>
      </c>
      <c r="W94" s="5">
        <v>36518</v>
      </c>
      <c r="X94" s="5">
        <v>444</v>
      </c>
      <c r="Y94" s="5">
        <v>5114</v>
      </c>
      <c r="Z94" s="5">
        <v>4395</v>
      </c>
      <c r="AA94" s="5">
        <v>46471</v>
      </c>
      <c r="AD94" s="3">
        <v>41030</v>
      </c>
      <c r="AE94">
        <f t="shared" si="5"/>
        <v>36518</v>
      </c>
      <c r="AF94">
        <f t="shared" si="6"/>
        <v>26624</v>
      </c>
      <c r="AG94">
        <f t="shared" si="7"/>
        <v>0.72906511857166334</v>
      </c>
      <c r="AH94">
        <f t="shared" si="8"/>
        <v>46471</v>
      </c>
      <c r="AI94">
        <f t="shared" si="9"/>
        <v>46471</v>
      </c>
    </row>
    <row r="95" spans="1:35" x14ac:dyDescent="0.25">
      <c r="A95" s="11">
        <v>39722</v>
      </c>
      <c r="B95" s="12">
        <v>1206</v>
      </c>
      <c r="C95" s="12" t="s">
        <v>3</v>
      </c>
      <c r="D95" s="1"/>
      <c r="F95" s="11">
        <v>39173</v>
      </c>
      <c r="G95" s="12">
        <v>5800</v>
      </c>
      <c r="H95" s="12" t="s">
        <v>15</v>
      </c>
      <c r="L95" s="3">
        <v>41061</v>
      </c>
      <c r="M95" s="5"/>
      <c r="N95" s="5">
        <v>32318</v>
      </c>
      <c r="O95" s="5">
        <v>21360</v>
      </c>
      <c r="P95" s="5">
        <v>2333</v>
      </c>
      <c r="Q95" s="5"/>
      <c r="R95" s="5">
        <v>56011</v>
      </c>
      <c r="V95" s="3">
        <v>41061</v>
      </c>
      <c r="W95" s="5">
        <v>42915</v>
      </c>
      <c r="X95" s="5">
        <v>681</v>
      </c>
      <c r="Y95" s="5">
        <v>8240</v>
      </c>
      <c r="Z95" s="5">
        <v>4175</v>
      </c>
      <c r="AA95" s="5">
        <v>56011</v>
      </c>
      <c r="AD95" s="3">
        <v>41061</v>
      </c>
      <c r="AE95">
        <f t="shared" si="5"/>
        <v>42915</v>
      </c>
      <c r="AF95">
        <f t="shared" si="6"/>
        <v>32318</v>
      </c>
      <c r="AG95">
        <f t="shared" si="7"/>
        <v>0.75307002213678198</v>
      </c>
      <c r="AH95">
        <f t="shared" si="8"/>
        <v>56011</v>
      </c>
      <c r="AI95">
        <f t="shared" si="9"/>
        <v>56011</v>
      </c>
    </row>
    <row r="96" spans="1:35" x14ac:dyDescent="0.25">
      <c r="A96" s="11">
        <v>39722</v>
      </c>
      <c r="B96" s="12">
        <v>11722</v>
      </c>
      <c r="C96" s="12" t="s">
        <v>2</v>
      </c>
      <c r="D96" s="1"/>
      <c r="F96" s="11">
        <v>39173</v>
      </c>
      <c r="G96" s="12">
        <v>17636</v>
      </c>
      <c r="H96" s="12" t="s">
        <v>16</v>
      </c>
      <c r="L96" s="3">
        <v>41091</v>
      </c>
      <c r="M96" s="5"/>
      <c r="N96" s="5">
        <v>34641</v>
      </c>
      <c r="O96" s="5">
        <v>23277</v>
      </c>
      <c r="P96" s="5">
        <v>1991</v>
      </c>
      <c r="Q96" s="5"/>
      <c r="R96" s="5">
        <v>59909</v>
      </c>
      <c r="V96" s="3">
        <v>41091</v>
      </c>
      <c r="W96" s="5">
        <v>45971</v>
      </c>
      <c r="X96" s="5">
        <v>733</v>
      </c>
      <c r="Y96" s="5">
        <v>9745</v>
      </c>
      <c r="Z96" s="5">
        <v>3460</v>
      </c>
      <c r="AA96" s="5">
        <v>59909</v>
      </c>
      <c r="AD96" s="3">
        <v>41091</v>
      </c>
      <c r="AE96">
        <f t="shared" si="5"/>
        <v>45971</v>
      </c>
      <c r="AF96">
        <f t="shared" si="6"/>
        <v>34641</v>
      </c>
      <c r="AG96">
        <f t="shared" si="7"/>
        <v>0.75354027539100732</v>
      </c>
      <c r="AH96">
        <f t="shared" si="8"/>
        <v>59909</v>
      </c>
      <c r="AI96">
        <f t="shared" si="9"/>
        <v>59909</v>
      </c>
    </row>
    <row r="97" spans="1:35" x14ac:dyDescent="0.25">
      <c r="A97" s="11">
        <v>39753</v>
      </c>
      <c r="B97" s="12">
        <v>1438</v>
      </c>
      <c r="C97" s="12" t="s">
        <v>3</v>
      </c>
      <c r="D97" s="1"/>
      <c r="F97" s="11">
        <v>39173</v>
      </c>
      <c r="G97" s="12">
        <v>1286</v>
      </c>
      <c r="H97" s="12" t="s">
        <v>14</v>
      </c>
      <c r="L97" s="3">
        <v>41122</v>
      </c>
      <c r="M97" s="5"/>
      <c r="N97" s="5">
        <v>31882</v>
      </c>
      <c r="O97" s="5">
        <v>25495</v>
      </c>
      <c r="P97" s="5">
        <v>2142</v>
      </c>
      <c r="Q97" s="5"/>
      <c r="R97" s="5">
        <v>59519</v>
      </c>
      <c r="V97" s="3">
        <v>41122</v>
      </c>
      <c r="W97" s="5">
        <v>43691</v>
      </c>
      <c r="X97" s="5">
        <v>672</v>
      </c>
      <c r="Y97" s="5">
        <v>11531</v>
      </c>
      <c r="Z97" s="5">
        <v>3625</v>
      </c>
      <c r="AA97" s="5">
        <v>59519</v>
      </c>
      <c r="AD97" s="3">
        <v>41122</v>
      </c>
      <c r="AE97">
        <f t="shared" si="5"/>
        <v>43691</v>
      </c>
      <c r="AF97">
        <f t="shared" si="6"/>
        <v>31882</v>
      </c>
      <c r="AG97">
        <f t="shared" si="7"/>
        <v>0.72971550204847679</v>
      </c>
      <c r="AH97">
        <f t="shared" si="8"/>
        <v>59519</v>
      </c>
      <c r="AI97">
        <f t="shared" si="9"/>
        <v>59519</v>
      </c>
    </row>
    <row r="98" spans="1:35" x14ac:dyDescent="0.25">
      <c r="A98" s="11">
        <v>39753</v>
      </c>
      <c r="B98" s="12">
        <v>11806</v>
      </c>
      <c r="C98" s="12" t="s">
        <v>2</v>
      </c>
      <c r="D98" s="1"/>
      <c r="F98" s="11">
        <v>39173</v>
      </c>
      <c r="G98" s="12">
        <v>1</v>
      </c>
      <c r="H98" s="12" t="s">
        <v>29</v>
      </c>
      <c r="L98" s="3">
        <v>41153</v>
      </c>
      <c r="M98" s="5"/>
      <c r="N98" s="5">
        <v>30538</v>
      </c>
      <c r="O98" s="5">
        <v>24895</v>
      </c>
      <c r="P98" s="5">
        <v>3257</v>
      </c>
      <c r="Q98" s="5"/>
      <c r="R98" s="5">
        <v>58690</v>
      </c>
      <c r="V98" s="3">
        <v>41153</v>
      </c>
      <c r="W98" s="5">
        <v>40793</v>
      </c>
      <c r="X98" s="5">
        <v>803</v>
      </c>
      <c r="Y98" s="5">
        <v>12049</v>
      </c>
      <c r="Z98" s="5">
        <v>5045</v>
      </c>
      <c r="AA98" s="5">
        <v>58690</v>
      </c>
      <c r="AD98" s="3">
        <v>41153</v>
      </c>
      <c r="AE98">
        <f t="shared" si="5"/>
        <v>40793</v>
      </c>
      <c r="AF98">
        <f t="shared" si="6"/>
        <v>30538</v>
      </c>
      <c r="AG98">
        <f t="shared" si="7"/>
        <v>0.74860882994631428</v>
      </c>
      <c r="AH98">
        <f t="shared" si="8"/>
        <v>58690</v>
      </c>
      <c r="AI98">
        <f t="shared" si="9"/>
        <v>58690</v>
      </c>
    </row>
    <row r="99" spans="1:35" x14ac:dyDescent="0.25">
      <c r="A99" s="11">
        <v>39783</v>
      </c>
      <c r="B99" s="12">
        <v>1935</v>
      </c>
      <c r="C99" s="12" t="s">
        <v>3</v>
      </c>
      <c r="D99" s="1"/>
      <c r="F99" s="11">
        <v>39203</v>
      </c>
      <c r="G99" s="12">
        <v>7918</v>
      </c>
      <c r="H99" s="12" t="s">
        <v>15</v>
      </c>
      <c r="L99" s="3">
        <v>41183</v>
      </c>
      <c r="M99" s="5"/>
      <c r="N99" s="5">
        <v>30467</v>
      </c>
      <c r="O99" s="5">
        <v>24373</v>
      </c>
      <c r="P99" s="5">
        <v>4621</v>
      </c>
      <c r="Q99" s="5"/>
      <c r="R99" s="5">
        <v>59461</v>
      </c>
      <c r="V99" s="3">
        <v>41183</v>
      </c>
      <c r="W99" s="5">
        <v>40118</v>
      </c>
      <c r="X99" s="5">
        <v>687</v>
      </c>
      <c r="Y99" s="5">
        <v>11880</v>
      </c>
      <c r="Z99" s="5">
        <v>6776</v>
      </c>
      <c r="AA99" s="5">
        <v>59461</v>
      </c>
      <c r="AD99" s="3">
        <v>41183</v>
      </c>
      <c r="AE99">
        <f t="shared" si="5"/>
        <v>40118</v>
      </c>
      <c r="AF99">
        <f t="shared" si="6"/>
        <v>30467</v>
      </c>
      <c r="AG99">
        <f t="shared" si="7"/>
        <v>0.75943466773019597</v>
      </c>
      <c r="AH99">
        <f t="shared" si="8"/>
        <v>59461</v>
      </c>
      <c r="AI99">
        <f t="shared" si="9"/>
        <v>59461</v>
      </c>
    </row>
    <row r="100" spans="1:35" x14ac:dyDescent="0.25">
      <c r="A100" s="11">
        <v>39783</v>
      </c>
      <c r="B100" s="12">
        <v>10941</v>
      </c>
      <c r="C100" s="12" t="s">
        <v>2</v>
      </c>
      <c r="D100" s="1"/>
      <c r="F100" s="11">
        <v>39203</v>
      </c>
      <c r="G100" s="12">
        <v>24500</v>
      </c>
      <c r="H100" s="12" t="s">
        <v>16</v>
      </c>
      <c r="L100" s="3">
        <v>41214</v>
      </c>
      <c r="M100" s="5"/>
      <c r="N100" s="5">
        <v>26984</v>
      </c>
      <c r="O100" s="5">
        <v>23294</v>
      </c>
      <c r="P100" s="5">
        <v>5447</v>
      </c>
      <c r="Q100" s="5"/>
      <c r="R100" s="5">
        <v>55725</v>
      </c>
      <c r="V100" s="3">
        <v>41214</v>
      </c>
      <c r="W100" s="5">
        <v>35669</v>
      </c>
      <c r="X100" s="5">
        <v>781</v>
      </c>
      <c r="Y100" s="5">
        <v>11467</v>
      </c>
      <c r="Z100" s="5">
        <v>7808</v>
      </c>
      <c r="AA100" s="5">
        <v>55725</v>
      </c>
      <c r="AD100" s="3">
        <v>41214</v>
      </c>
      <c r="AE100">
        <f t="shared" si="5"/>
        <v>35669</v>
      </c>
      <c r="AF100">
        <f t="shared" si="6"/>
        <v>26984</v>
      </c>
      <c r="AG100">
        <f t="shared" si="7"/>
        <v>0.75651125627295412</v>
      </c>
      <c r="AH100">
        <f t="shared" si="8"/>
        <v>55725</v>
      </c>
      <c r="AI100">
        <f t="shared" si="9"/>
        <v>55725</v>
      </c>
    </row>
    <row r="101" spans="1:35" x14ac:dyDescent="0.25">
      <c r="A101" s="11">
        <v>39814</v>
      </c>
      <c r="B101" s="12">
        <v>1037</v>
      </c>
      <c r="C101" s="12" t="s">
        <v>3</v>
      </c>
      <c r="D101" s="1"/>
      <c r="F101" s="11">
        <v>39203</v>
      </c>
      <c r="G101" s="12">
        <v>1594</v>
      </c>
      <c r="H101" s="12" t="s">
        <v>14</v>
      </c>
      <c r="L101" s="3">
        <v>41244</v>
      </c>
      <c r="M101" s="5"/>
      <c r="N101" s="5">
        <v>31254</v>
      </c>
      <c r="O101" s="5">
        <v>24734</v>
      </c>
      <c r="P101" s="5">
        <v>5737</v>
      </c>
      <c r="Q101" s="5"/>
      <c r="R101" s="5">
        <v>61725</v>
      </c>
      <c r="V101" s="3">
        <v>41244</v>
      </c>
      <c r="W101" s="5">
        <v>41177</v>
      </c>
      <c r="X101" s="5">
        <v>703</v>
      </c>
      <c r="Y101" s="5">
        <v>11551</v>
      </c>
      <c r="Z101" s="5">
        <v>8294</v>
      </c>
      <c r="AA101" s="5">
        <v>61725</v>
      </c>
      <c r="AD101" s="3">
        <v>41244</v>
      </c>
      <c r="AE101">
        <f t="shared" si="5"/>
        <v>41177</v>
      </c>
      <c r="AF101">
        <f t="shared" si="6"/>
        <v>31254</v>
      </c>
      <c r="AG101">
        <f t="shared" si="7"/>
        <v>0.75901595550914347</v>
      </c>
      <c r="AH101">
        <f t="shared" si="8"/>
        <v>61725</v>
      </c>
      <c r="AI101">
        <f t="shared" si="9"/>
        <v>61725</v>
      </c>
    </row>
    <row r="102" spans="1:35" x14ac:dyDescent="0.25">
      <c r="A102" s="11">
        <v>39814</v>
      </c>
      <c r="B102" s="12">
        <v>7487</v>
      </c>
      <c r="C102" s="12" t="s">
        <v>2</v>
      </c>
      <c r="D102" s="1"/>
      <c r="F102" s="11">
        <v>39203</v>
      </c>
      <c r="G102" s="12">
        <v>2</v>
      </c>
      <c r="H102" s="12" t="s">
        <v>29</v>
      </c>
      <c r="L102" s="3">
        <v>41275</v>
      </c>
      <c r="M102" s="5"/>
      <c r="N102" s="5">
        <v>26414</v>
      </c>
      <c r="O102" s="5">
        <v>20342</v>
      </c>
      <c r="P102" s="5">
        <v>5676</v>
      </c>
      <c r="Q102" s="5"/>
      <c r="R102" s="5">
        <v>52432</v>
      </c>
      <c r="V102" s="3">
        <v>41275</v>
      </c>
      <c r="W102" s="5">
        <v>34074</v>
      </c>
      <c r="X102" s="5">
        <v>787</v>
      </c>
      <c r="Y102" s="5">
        <v>9585</v>
      </c>
      <c r="Z102" s="5">
        <v>7986</v>
      </c>
      <c r="AA102" s="5">
        <v>52432</v>
      </c>
      <c r="AD102" s="3">
        <v>41275</v>
      </c>
      <c r="AE102">
        <f t="shared" si="5"/>
        <v>34074</v>
      </c>
      <c r="AF102">
        <f t="shared" si="6"/>
        <v>26414</v>
      </c>
      <c r="AG102">
        <f t="shared" si="7"/>
        <v>0.77519516346774664</v>
      </c>
      <c r="AH102">
        <f t="shared" si="8"/>
        <v>52432</v>
      </c>
      <c r="AI102">
        <f t="shared" si="9"/>
        <v>52432</v>
      </c>
    </row>
    <row r="103" spans="1:35" x14ac:dyDescent="0.25">
      <c r="A103" s="11">
        <v>39845</v>
      </c>
      <c r="B103" s="12">
        <v>2919</v>
      </c>
      <c r="C103" s="12" t="s">
        <v>3</v>
      </c>
      <c r="D103" s="1"/>
      <c r="F103" s="11">
        <v>39234</v>
      </c>
      <c r="G103" s="12">
        <v>9230</v>
      </c>
      <c r="H103" s="12" t="s">
        <v>15</v>
      </c>
      <c r="L103" s="3">
        <v>41306</v>
      </c>
      <c r="M103" s="5"/>
      <c r="N103" s="5">
        <v>26723</v>
      </c>
      <c r="O103" s="5">
        <v>21567</v>
      </c>
      <c r="P103" s="5">
        <v>6950</v>
      </c>
      <c r="Q103" s="5"/>
      <c r="R103" s="5">
        <v>55240</v>
      </c>
      <c r="V103" s="3">
        <v>41306</v>
      </c>
      <c r="W103" s="5">
        <v>34581</v>
      </c>
      <c r="X103" s="5">
        <v>822</v>
      </c>
      <c r="Y103" s="5">
        <v>10220</v>
      </c>
      <c r="Z103" s="5">
        <v>9617</v>
      </c>
      <c r="AA103" s="5">
        <v>55240</v>
      </c>
      <c r="AD103" s="3">
        <v>41306</v>
      </c>
      <c r="AE103">
        <f t="shared" si="5"/>
        <v>34581</v>
      </c>
      <c r="AF103">
        <f t="shared" si="6"/>
        <v>26723</v>
      </c>
      <c r="AG103">
        <f t="shared" si="7"/>
        <v>0.77276539139990164</v>
      </c>
      <c r="AH103">
        <f t="shared" si="8"/>
        <v>55240</v>
      </c>
      <c r="AI103">
        <f t="shared" si="9"/>
        <v>55240</v>
      </c>
    </row>
    <row r="104" spans="1:35" x14ac:dyDescent="0.25">
      <c r="A104" s="11">
        <v>39845</v>
      </c>
      <c r="B104" s="12">
        <v>9892</v>
      </c>
      <c r="C104" s="12" t="s">
        <v>2</v>
      </c>
      <c r="D104" s="1"/>
      <c r="F104" s="11">
        <v>39234</v>
      </c>
      <c r="G104" s="12">
        <v>27518</v>
      </c>
      <c r="H104" s="12" t="s">
        <v>16</v>
      </c>
      <c r="L104" s="3">
        <v>41334</v>
      </c>
      <c r="M104" s="5"/>
      <c r="N104" s="5">
        <v>29060</v>
      </c>
      <c r="O104" s="5">
        <v>20754</v>
      </c>
      <c r="P104" s="5">
        <v>7312</v>
      </c>
      <c r="Q104" s="5"/>
      <c r="R104" s="5">
        <v>57126</v>
      </c>
      <c r="V104" s="3">
        <v>41334</v>
      </c>
      <c r="W104" s="5">
        <v>37309</v>
      </c>
      <c r="X104" s="5">
        <v>634</v>
      </c>
      <c r="Y104" s="5">
        <v>8974</v>
      </c>
      <c r="Z104" s="5">
        <v>10209</v>
      </c>
      <c r="AA104" s="5">
        <v>57126</v>
      </c>
      <c r="AD104" s="3">
        <v>41334</v>
      </c>
      <c r="AE104">
        <f t="shared" si="5"/>
        <v>37309</v>
      </c>
      <c r="AF104">
        <f t="shared" si="6"/>
        <v>29060</v>
      </c>
      <c r="AG104">
        <f t="shared" si="7"/>
        <v>0.77890053338336596</v>
      </c>
      <c r="AH104">
        <f t="shared" si="8"/>
        <v>57126</v>
      </c>
      <c r="AI104">
        <f t="shared" si="9"/>
        <v>57126</v>
      </c>
    </row>
    <row r="105" spans="1:35" x14ac:dyDescent="0.25">
      <c r="A105" s="11">
        <v>39873</v>
      </c>
      <c r="B105" s="12">
        <v>6865</v>
      </c>
      <c r="C105" s="12" t="s">
        <v>3</v>
      </c>
      <c r="D105" s="1"/>
      <c r="F105" s="11">
        <v>39234</v>
      </c>
      <c r="G105" s="12">
        <v>1586</v>
      </c>
      <c r="H105" s="12" t="s">
        <v>14</v>
      </c>
      <c r="L105" s="3">
        <v>41365</v>
      </c>
      <c r="M105" s="5"/>
      <c r="N105" s="5">
        <v>29562</v>
      </c>
      <c r="O105" s="5">
        <v>22704</v>
      </c>
      <c r="P105" s="5">
        <v>6139</v>
      </c>
      <c r="Q105" s="5"/>
      <c r="R105" s="5">
        <v>58405</v>
      </c>
      <c r="V105" s="3">
        <v>41365</v>
      </c>
      <c r="W105" s="5">
        <v>38148</v>
      </c>
      <c r="X105" s="5">
        <v>616</v>
      </c>
      <c r="Y105" s="5">
        <v>10666</v>
      </c>
      <c r="Z105" s="5">
        <v>8975</v>
      </c>
      <c r="AA105" s="5">
        <v>58405</v>
      </c>
      <c r="AD105" s="3">
        <v>41365</v>
      </c>
      <c r="AE105">
        <f t="shared" si="5"/>
        <v>38148</v>
      </c>
      <c r="AF105">
        <f t="shared" si="6"/>
        <v>29562</v>
      </c>
      <c r="AG105">
        <f t="shared" si="7"/>
        <v>0.77492922302610889</v>
      </c>
      <c r="AH105">
        <f t="shared" si="8"/>
        <v>58405</v>
      </c>
      <c r="AI105">
        <f t="shared" si="9"/>
        <v>58405</v>
      </c>
    </row>
    <row r="106" spans="1:35" x14ac:dyDescent="0.25">
      <c r="A106" s="11">
        <v>39873</v>
      </c>
      <c r="B106" s="12">
        <v>7127</v>
      </c>
      <c r="C106" s="12" t="s">
        <v>2</v>
      </c>
      <c r="D106" s="1"/>
      <c r="F106" s="11">
        <v>39234</v>
      </c>
      <c r="G106" s="12">
        <v>3</v>
      </c>
      <c r="H106" s="12" t="s">
        <v>29</v>
      </c>
      <c r="L106" s="3">
        <v>41395</v>
      </c>
      <c r="M106" s="5"/>
      <c r="N106" s="5">
        <v>29526</v>
      </c>
      <c r="O106" s="5">
        <v>24658</v>
      </c>
      <c r="P106" s="5">
        <v>5237</v>
      </c>
      <c r="Q106" s="5"/>
      <c r="R106" s="5">
        <v>59421</v>
      </c>
      <c r="V106" s="3">
        <v>41395</v>
      </c>
      <c r="W106" s="5">
        <v>38694</v>
      </c>
      <c r="X106" s="5">
        <v>595</v>
      </c>
      <c r="Y106" s="5">
        <v>11941</v>
      </c>
      <c r="Z106" s="5">
        <v>8191</v>
      </c>
      <c r="AA106" s="5">
        <v>59421</v>
      </c>
      <c r="AD106" s="3">
        <v>41395</v>
      </c>
      <c r="AE106">
        <f t="shared" si="5"/>
        <v>38694</v>
      </c>
      <c r="AF106">
        <f t="shared" si="6"/>
        <v>29526</v>
      </c>
      <c r="AG106">
        <f t="shared" si="7"/>
        <v>0.76306404093657931</v>
      </c>
      <c r="AH106">
        <f t="shared" si="8"/>
        <v>59421</v>
      </c>
      <c r="AI106">
        <f t="shared" si="9"/>
        <v>59421</v>
      </c>
    </row>
    <row r="107" spans="1:35" x14ac:dyDescent="0.25">
      <c r="A107" s="11">
        <v>39904</v>
      </c>
      <c r="B107" s="12">
        <v>8013</v>
      </c>
      <c r="C107" s="12" t="s">
        <v>3</v>
      </c>
      <c r="D107" s="1"/>
      <c r="F107" s="11">
        <v>39264</v>
      </c>
      <c r="G107" s="12">
        <v>8884</v>
      </c>
      <c r="H107" s="12" t="s">
        <v>15</v>
      </c>
      <c r="L107" s="3">
        <v>41426</v>
      </c>
      <c r="M107" s="5"/>
      <c r="N107" s="5">
        <v>27067</v>
      </c>
      <c r="O107" s="5">
        <v>25744</v>
      </c>
      <c r="P107" s="5">
        <v>5065</v>
      </c>
      <c r="Q107" s="5"/>
      <c r="R107" s="5">
        <v>57876</v>
      </c>
      <c r="V107" s="3">
        <v>41426</v>
      </c>
      <c r="W107" s="5">
        <v>36066</v>
      </c>
      <c r="X107" s="5">
        <v>532</v>
      </c>
      <c r="Y107" s="5">
        <v>13239</v>
      </c>
      <c r="Z107" s="5">
        <v>8039</v>
      </c>
      <c r="AA107" s="5">
        <v>57876</v>
      </c>
      <c r="AD107" s="3">
        <v>41426</v>
      </c>
      <c r="AE107">
        <f t="shared" si="5"/>
        <v>36066</v>
      </c>
      <c r="AF107">
        <f t="shared" si="6"/>
        <v>27067</v>
      </c>
      <c r="AG107">
        <f t="shared" si="7"/>
        <v>0.75048522153829089</v>
      </c>
      <c r="AH107">
        <f t="shared" si="8"/>
        <v>57876</v>
      </c>
      <c r="AI107">
        <f t="shared" si="9"/>
        <v>57876</v>
      </c>
    </row>
    <row r="108" spans="1:35" x14ac:dyDescent="0.25">
      <c r="A108" s="11">
        <v>39904</v>
      </c>
      <c r="B108" s="12">
        <v>8374</v>
      </c>
      <c r="C108" s="12" t="s">
        <v>2</v>
      </c>
      <c r="D108" s="1"/>
      <c r="F108" s="11">
        <v>39264</v>
      </c>
      <c r="G108" s="12">
        <v>33978</v>
      </c>
      <c r="H108" s="12" t="s">
        <v>16</v>
      </c>
      <c r="L108" s="3">
        <v>41456</v>
      </c>
      <c r="M108" s="5"/>
      <c r="N108" s="5">
        <v>23805</v>
      </c>
      <c r="O108" s="5">
        <v>29501</v>
      </c>
      <c r="P108" s="5">
        <v>5449</v>
      </c>
      <c r="Q108" s="5"/>
      <c r="R108" s="5">
        <v>58755</v>
      </c>
      <c r="V108" s="3">
        <v>41456</v>
      </c>
      <c r="W108" s="5">
        <v>32031</v>
      </c>
      <c r="X108" s="5">
        <v>373</v>
      </c>
      <c r="Y108" s="5">
        <v>17893</v>
      </c>
      <c r="Z108" s="5">
        <v>8458</v>
      </c>
      <c r="AA108" s="5">
        <v>58755</v>
      </c>
      <c r="AD108" s="3">
        <v>41456</v>
      </c>
      <c r="AE108">
        <f t="shared" si="5"/>
        <v>32031</v>
      </c>
      <c r="AF108">
        <f t="shared" si="6"/>
        <v>23805</v>
      </c>
      <c r="AG108">
        <f t="shared" si="7"/>
        <v>0.74318628828322564</v>
      </c>
      <c r="AH108">
        <f t="shared" si="8"/>
        <v>58755</v>
      </c>
      <c r="AI108">
        <f t="shared" si="9"/>
        <v>58755</v>
      </c>
    </row>
    <row r="109" spans="1:35" x14ac:dyDescent="0.25">
      <c r="A109" s="11">
        <v>39934</v>
      </c>
      <c r="B109" s="12">
        <v>8042</v>
      </c>
      <c r="C109" s="12" t="s">
        <v>3</v>
      </c>
      <c r="D109" s="1"/>
      <c r="F109" s="11">
        <v>39264</v>
      </c>
      <c r="G109" s="12">
        <v>1610</v>
      </c>
      <c r="H109" s="12" t="s">
        <v>14</v>
      </c>
      <c r="L109" s="3">
        <v>41487</v>
      </c>
      <c r="M109" s="5"/>
      <c r="N109" s="5">
        <v>20234</v>
      </c>
      <c r="O109" s="5">
        <v>28233</v>
      </c>
      <c r="P109" s="5">
        <v>4313</v>
      </c>
      <c r="Q109" s="5"/>
      <c r="R109" s="5">
        <v>52780</v>
      </c>
      <c r="V109" s="3">
        <v>41487</v>
      </c>
      <c r="W109" s="5">
        <v>28050</v>
      </c>
      <c r="X109" s="5">
        <v>427</v>
      </c>
      <c r="Y109" s="5">
        <v>17608</v>
      </c>
      <c r="Z109" s="5">
        <v>6695</v>
      </c>
      <c r="AA109" s="5">
        <v>52780</v>
      </c>
      <c r="AD109" s="3">
        <v>41487</v>
      </c>
      <c r="AE109">
        <f t="shared" si="5"/>
        <v>28050</v>
      </c>
      <c r="AF109">
        <f t="shared" si="6"/>
        <v>20234</v>
      </c>
      <c r="AG109">
        <f t="shared" si="7"/>
        <v>0.72135472370766485</v>
      </c>
      <c r="AH109">
        <f t="shared" si="8"/>
        <v>52780</v>
      </c>
      <c r="AI109">
        <f t="shared" si="9"/>
        <v>52780</v>
      </c>
    </row>
    <row r="110" spans="1:35" x14ac:dyDescent="0.25">
      <c r="A110" s="11">
        <v>39934</v>
      </c>
      <c r="B110" s="12">
        <v>10289</v>
      </c>
      <c r="C110" s="12" t="s">
        <v>2</v>
      </c>
      <c r="D110" s="1"/>
      <c r="F110" s="11">
        <v>39295</v>
      </c>
      <c r="G110" s="12">
        <v>8032</v>
      </c>
      <c r="H110" s="12" t="s">
        <v>15</v>
      </c>
      <c r="L110" s="3">
        <v>41518</v>
      </c>
      <c r="M110" s="5"/>
      <c r="N110" s="5">
        <v>18538</v>
      </c>
      <c r="O110" s="5">
        <v>27498</v>
      </c>
      <c r="P110" s="5">
        <v>3353</v>
      </c>
      <c r="Q110" s="5"/>
      <c r="R110" s="5">
        <v>49389</v>
      </c>
      <c r="V110" s="3">
        <v>41518</v>
      </c>
      <c r="W110" s="5">
        <v>26408</v>
      </c>
      <c r="X110" s="5">
        <v>496</v>
      </c>
      <c r="Y110" s="5">
        <v>17096</v>
      </c>
      <c r="Z110" s="5">
        <v>5389</v>
      </c>
      <c r="AA110" s="5">
        <v>49389</v>
      </c>
      <c r="AD110" s="3">
        <v>41518</v>
      </c>
      <c r="AE110">
        <f t="shared" si="5"/>
        <v>26408</v>
      </c>
      <c r="AF110">
        <f t="shared" si="6"/>
        <v>18538</v>
      </c>
      <c r="AG110">
        <f t="shared" si="7"/>
        <v>0.70198424719781882</v>
      </c>
      <c r="AH110">
        <f t="shared" si="8"/>
        <v>49389</v>
      </c>
      <c r="AI110">
        <f t="shared" si="9"/>
        <v>49389</v>
      </c>
    </row>
    <row r="111" spans="1:35" x14ac:dyDescent="0.25">
      <c r="A111" s="11">
        <v>39965</v>
      </c>
      <c r="B111" s="12">
        <v>5386</v>
      </c>
      <c r="C111" s="12" t="s">
        <v>4</v>
      </c>
      <c r="D111" s="1"/>
      <c r="F111" s="11">
        <v>39295</v>
      </c>
      <c r="G111" s="12">
        <v>37140</v>
      </c>
      <c r="H111" s="12" t="s">
        <v>16</v>
      </c>
      <c r="L111" s="3">
        <v>41548</v>
      </c>
      <c r="M111" s="5"/>
      <c r="N111" s="5">
        <v>14776</v>
      </c>
      <c r="O111" s="5">
        <v>24286</v>
      </c>
      <c r="P111" s="5">
        <v>1926</v>
      </c>
      <c r="Q111" s="5"/>
      <c r="R111" s="5">
        <v>40988</v>
      </c>
      <c r="V111" s="3">
        <v>41548</v>
      </c>
      <c r="W111" s="5">
        <v>21270</v>
      </c>
      <c r="X111" s="5">
        <v>421</v>
      </c>
      <c r="Y111" s="5">
        <v>15807</v>
      </c>
      <c r="Z111" s="5">
        <v>3490</v>
      </c>
      <c r="AA111" s="5">
        <v>40988</v>
      </c>
      <c r="AD111" s="3">
        <v>41548</v>
      </c>
      <c r="AE111">
        <f t="shared" si="5"/>
        <v>21270</v>
      </c>
      <c r="AF111">
        <f t="shared" si="6"/>
        <v>14776</v>
      </c>
      <c r="AG111">
        <f t="shared" si="7"/>
        <v>0.69468735307945462</v>
      </c>
      <c r="AH111">
        <f t="shared" si="8"/>
        <v>40988</v>
      </c>
      <c r="AI111">
        <f t="shared" si="9"/>
        <v>40988</v>
      </c>
    </row>
    <row r="112" spans="1:35" x14ac:dyDescent="0.25">
      <c r="A112" s="11">
        <v>39965</v>
      </c>
      <c r="B112" s="12">
        <v>3989</v>
      </c>
      <c r="C112" s="12" t="s">
        <v>5</v>
      </c>
      <c r="D112" s="1"/>
      <c r="F112" s="11">
        <v>39295</v>
      </c>
      <c r="G112" s="12">
        <v>1480</v>
      </c>
      <c r="H112" s="12" t="s">
        <v>14</v>
      </c>
      <c r="L112" s="3">
        <v>41579</v>
      </c>
      <c r="M112" s="5"/>
      <c r="N112" s="5">
        <v>10645</v>
      </c>
      <c r="O112" s="5">
        <v>20320</v>
      </c>
      <c r="P112" s="5">
        <v>1315</v>
      </c>
      <c r="Q112" s="5"/>
      <c r="R112" s="5">
        <v>32280</v>
      </c>
      <c r="V112" s="3">
        <v>41579</v>
      </c>
      <c r="W112" s="5">
        <v>15568</v>
      </c>
      <c r="X112" s="5">
        <v>554</v>
      </c>
      <c r="Y112" s="5">
        <v>13719</v>
      </c>
      <c r="Z112" s="5">
        <v>2439</v>
      </c>
      <c r="AA112" s="5">
        <v>32280</v>
      </c>
      <c r="AD112" s="3">
        <v>41579</v>
      </c>
      <c r="AE112">
        <f t="shared" si="5"/>
        <v>15568</v>
      </c>
      <c r="AF112">
        <f t="shared" si="6"/>
        <v>10645</v>
      </c>
      <c r="AG112">
        <f t="shared" si="7"/>
        <v>0.68377440904419318</v>
      </c>
      <c r="AH112">
        <f t="shared" si="8"/>
        <v>32280</v>
      </c>
      <c r="AI112">
        <f t="shared" si="9"/>
        <v>32280</v>
      </c>
    </row>
    <row r="113" spans="1:35" x14ac:dyDescent="0.25">
      <c r="A113" s="11">
        <v>39965</v>
      </c>
      <c r="B113" s="12">
        <v>9759</v>
      </c>
      <c r="C113" s="12" t="s">
        <v>2</v>
      </c>
      <c r="D113" s="1"/>
      <c r="F113" s="11">
        <v>39326</v>
      </c>
      <c r="G113" s="12">
        <v>7451</v>
      </c>
      <c r="H113" s="12" t="s">
        <v>15</v>
      </c>
      <c r="L113" s="3">
        <v>41609</v>
      </c>
      <c r="M113" s="5"/>
      <c r="N113" s="5">
        <v>9145</v>
      </c>
      <c r="O113" s="5">
        <v>20401</v>
      </c>
      <c r="P113" s="5">
        <v>1368</v>
      </c>
      <c r="Q113" s="5"/>
      <c r="R113" s="5">
        <v>30914</v>
      </c>
      <c r="V113" s="3">
        <v>41609</v>
      </c>
      <c r="W113" s="5">
        <v>13435</v>
      </c>
      <c r="X113" s="5">
        <v>556</v>
      </c>
      <c r="Y113" s="5">
        <v>14605</v>
      </c>
      <c r="Z113" s="5">
        <v>2318</v>
      </c>
      <c r="AA113" s="5">
        <v>30914</v>
      </c>
      <c r="AD113" s="3">
        <v>41609</v>
      </c>
      <c r="AE113">
        <f t="shared" si="5"/>
        <v>13435</v>
      </c>
      <c r="AF113">
        <f t="shared" si="6"/>
        <v>9145</v>
      </c>
      <c r="AG113">
        <f t="shared" si="7"/>
        <v>0.68068477856345366</v>
      </c>
      <c r="AH113">
        <f t="shared" si="8"/>
        <v>30914</v>
      </c>
      <c r="AI113">
        <f t="shared" si="9"/>
        <v>30914</v>
      </c>
    </row>
    <row r="114" spans="1:35" x14ac:dyDescent="0.25">
      <c r="A114" s="11">
        <v>39995</v>
      </c>
      <c r="B114" s="12">
        <v>4679</v>
      </c>
      <c r="C114" s="12" t="s">
        <v>4</v>
      </c>
      <c r="D114" s="1"/>
      <c r="F114" s="11">
        <v>39326</v>
      </c>
      <c r="G114" s="12">
        <v>37613</v>
      </c>
      <c r="H114" s="12" t="s">
        <v>16</v>
      </c>
      <c r="L114" s="3">
        <v>41640</v>
      </c>
      <c r="M114" s="5"/>
      <c r="N114" s="5">
        <v>7887</v>
      </c>
      <c r="O114" s="5">
        <v>19749</v>
      </c>
      <c r="P114" s="5">
        <v>1777</v>
      </c>
      <c r="Q114" s="5"/>
      <c r="R114" s="5">
        <v>29413</v>
      </c>
      <c r="V114" s="3">
        <v>41640</v>
      </c>
      <c r="W114" s="5">
        <v>11391</v>
      </c>
      <c r="X114" s="5">
        <v>435</v>
      </c>
      <c r="Y114" s="5">
        <v>14684</v>
      </c>
      <c r="Z114" s="5">
        <v>2903</v>
      </c>
      <c r="AA114" s="5">
        <v>29413</v>
      </c>
      <c r="AD114" s="3">
        <v>41640</v>
      </c>
      <c r="AE114">
        <f t="shared" si="5"/>
        <v>11391</v>
      </c>
      <c r="AF114">
        <f t="shared" si="6"/>
        <v>7887</v>
      </c>
      <c r="AG114">
        <f t="shared" si="7"/>
        <v>0.69238872794311301</v>
      </c>
      <c r="AH114">
        <f t="shared" si="8"/>
        <v>29413</v>
      </c>
      <c r="AI114">
        <f t="shared" si="9"/>
        <v>29413</v>
      </c>
    </row>
    <row r="115" spans="1:35" x14ac:dyDescent="0.25">
      <c r="A115" s="11">
        <v>39995</v>
      </c>
      <c r="B115" s="12">
        <v>9624</v>
      </c>
      <c r="C115" s="12" t="s">
        <v>5</v>
      </c>
      <c r="D115" s="1"/>
      <c r="F115" s="11">
        <v>39326</v>
      </c>
      <c r="G115" s="12">
        <v>1553</v>
      </c>
      <c r="H115" s="12" t="s">
        <v>14</v>
      </c>
      <c r="L115" s="3">
        <v>41671</v>
      </c>
      <c r="M115" s="5"/>
      <c r="N115" s="5">
        <v>7706</v>
      </c>
      <c r="O115" s="5">
        <v>20542</v>
      </c>
      <c r="P115" s="5">
        <v>1875</v>
      </c>
      <c r="Q115" s="5"/>
      <c r="R115" s="5">
        <v>30123</v>
      </c>
      <c r="V115" s="3">
        <v>41671</v>
      </c>
      <c r="W115" s="5">
        <v>11123</v>
      </c>
      <c r="X115" s="5">
        <v>353</v>
      </c>
      <c r="Y115" s="5">
        <v>15754</v>
      </c>
      <c r="Z115" s="5">
        <v>2893</v>
      </c>
      <c r="AA115" s="5">
        <v>30123</v>
      </c>
      <c r="AD115" s="3">
        <v>41671</v>
      </c>
      <c r="AE115">
        <f t="shared" si="5"/>
        <v>11123</v>
      </c>
      <c r="AF115">
        <f t="shared" si="6"/>
        <v>7706</v>
      </c>
      <c r="AG115">
        <f t="shared" si="7"/>
        <v>0.6927987053852378</v>
      </c>
      <c r="AH115">
        <f t="shared" si="8"/>
        <v>30123</v>
      </c>
      <c r="AI115">
        <f t="shared" si="9"/>
        <v>30123</v>
      </c>
    </row>
    <row r="116" spans="1:35" x14ac:dyDescent="0.25">
      <c r="A116" s="11">
        <v>39995</v>
      </c>
      <c r="B116" s="12">
        <v>10467</v>
      </c>
      <c r="C116" s="12" t="s">
        <v>2</v>
      </c>
      <c r="D116" s="1"/>
      <c r="F116" s="11">
        <v>39326</v>
      </c>
      <c r="G116" s="12">
        <v>1</v>
      </c>
      <c r="H116" s="12" t="s">
        <v>29</v>
      </c>
      <c r="L116" s="3">
        <v>41699</v>
      </c>
      <c r="M116" s="5"/>
      <c r="N116" s="5">
        <v>6401</v>
      </c>
      <c r="O116" s="5">
        <v>14202</v>
      </c>
      <c r="P116" s="5">
        <v>1173</v>
      </c>
      <c r="Q116" s="5"/>
      <c r="R116" s="5">
        <v>21776</v>
      </c>
      <c r="V116" s="3">
        <v>41699</v>
      </c>
      <c r="W116" s="5">
        <v>9232</v>
      </c>
      <c r="X116" s="5">
        <v>408</v>
      </c>
      <c r="Y116" s="5">
        <v>10246</v>
      </c>
      <c r="Z116" s="5">
        <v>1890</v>
      </c>
      <c r="AA116" s="5">
        <v>21776</v>
      </c>
      <c r="AD116" s="3">
        <v>41699</v>
      </c>
      <c r="AE116">
        <f t="shared" si="5"/>
        <v>9232</v>
      </c>
      <c r="AF116">
        <f t="shared" si="6"/>
        <v>6401</v>
      </c>
      <c r="AG116">
        <f t="shared" si="7"/>
        <v>0.69334922010398614</v>
      </c>
      <c r="AH116">
        <f t="shared" si="8"/>
        <v>21776</v>
      </c>
      <c r="AI116">
        <f t="shared" si="9"/>
        <v>21776</v>
      </c>
    </row>
    <row r="117" spans="1:35" x14ac:dyDescent="0.25">
      <c r="A117" s="11">
        <v>40026</v>
      </c>
      <c r="B117" s="12">
        <v>4363</v>
      </c>
      <c r="C117" s="12" t="s">
        <v>4</v>
      </c>
      <c r="D117" s="1"/>
      <c r="F117" s="11">
        <v>39356</v>
      </c>
      <c r="G117" s="12">
        <v>7197</v>
      </c>
      <c r="H117" s="12" t="s">
        <v>15</v>
      </c>
      <c r="L117" s="3">
        <v>41730</v>
      </c>
      <c r="M117" s="5"/>
      <c r="N117" s="5"/>
      <c r="O117" s="5">
        <v>15120</v>
      </c>
      <c r="P117" s="5"/>
      <c r="Q117" s="5">
        <v>6351</v>
      </c>
      <c r="R117" s="5">
        <v>21471</v>
      </c>
      <c r="V117" s="3">
        <v>41730</v>
      </c>
      <c r="W117" s="5">
        <v>7551</v>
      </c>
      <c r="X117" s="5">
        <v>391</v>
      </c>
      <c r="Y117" s="5">
        <v>11775</v>
      </c>
      <c r="Z117" s="5">
        <v>1754</v>
      </c>
      <c r="AA117" s="5">
        <v>21471</v>
      </c>
      <c r="AD117" s="3">
        <v>41730</v>
      </c>
      <c r="AE117">
        <f t="shared" si="5"/>
        <v>7551</v>
      </c>
      <c r="AF117">
        <f t="shared" si="6"/>
        <v>0</v>
      </c>
      <c r="AG117">
        <f t="shared" si="7"/>
        <v>0</v>
      </c>
      <c r="AH117">
        <f t="shared" si="8"/>
        <v>21471</v>
      </c>
      <c r="AI117">
        <f t="shared" si="9"/>
        <v>21471</v>
      </c>
    </row>
    <row r="118" spans="1:35" x14ac:dyDescent="0.25">
      <c r="A118" s="11">
        <v>40026</v>
      </c>
      <c r="B118" s="12">
        <v>15492</v>
      </c>
      <c r="C118" s="12" t="s">
        <v>5</v>
      </c>
      <c r="D118" s="1"/>
      <c r="F118" s="11">
        <v>39356</v>
      </c>
      <c r="G118" s="12">
        <v>39075</v>
      </c>
      <c r="H118" s="12" t="s">
        <v>16</v>
      </c>
      <c r="L118" s="3">
        <v>41760</v>
      </c>
      <c r="M118" s="5"/>
      <c r="N118" s="5"/>
      <c r="O118" s="5">
        <v>20187</v>
      </c>
      <c r="P118" s="5"/>
      <c r="Q118" s="5">
        <v>6984</v>
      </c>
      <c r="R118" s="5">
        <v>27171</v>
      </c>
      <c r="V118" s="3">
        <v>41760</v>
      </c>
      <c r="W118" s="5">
        <v>7864</v>
      </c>
      <c r="X118" s="5">
        <v>270</v>
      </c>
      <c r="Y118" s="5">
        <v>16480</v>
      </c>
      <c r="Z118" s="5">
        <v>2557</v>
      </c>
      <c r="AA118" s="5">
        <v>27171</v>
      </c>
      <c r="AD118" s="3">
        <v>41760</v>
      </c>
      <c r="AE118">
        <f t="shared" si="5"/>
        <v>7864</v>
      </c>
      <c r="AF118">
        <f t="shared" si="6"/>
        <v>0</v>
      </c>
      <c r="AG118">
        <f t="shared" si="7"/>
        <v>0</v>
      </c>
      <c r="AH118">
        <f t="shared" si="8"/>
        <v>27171</v>
      </c>
      <c r="AI118">
        <f t="shared" si="9"/>
        <v>27171</v>
      </c>
    </row>
    <row r="119" spans="1:35" x14ac:dyDescent="0.25">
      <c r="A119" s="11">
        <v>40026</v>
      </c>
      <c r="B119" s="12">
        <v>11948</v>
      </c>
      <c r="C119" s="12" t="s">
        <v>2</v>
      </c>
      <c r="D119" s="1"/>
      <c r="F119" s="11">
        <v>39356</v>
      </c>
      <c r="G119" s="12">
        <v>1532</v>
      </c>
      <c r="H119" s="12" t="s">
        <v>14</v>
      </c>
      <c r="L119" s="3">
        <v>41791</v>
      </c>
      <c r="M119" s="5"/>
      <c r="N119" s="5"/>
      <c r="O119" s="5">
        <v>21803</v>
      </c>
      <c r="P119" s="5"/>
      <c r="Q119" s="5">
        <v>6497</v>
      </c>
      <c r="R119" s="5">
        <v>28300</v>
      </c>
      <c r="V119" s="3">
        <v>41791</v>
      </c>
      <c r="W119" s="5">
        <v>7314</v>
      </c>
      <c r="X119" s="5">
        <v>45</v>
      </c>
      <c r="Y119" s="5">
        <v>18577</v>
      </c>
      <c r="Z119" s="5">
        <v>2364</v>
      </c>
      <c r="AA119" s="5">
        <v>28300</v>
      </c>
      <c r="AD119" s="3">
        <v>41791</v>
      </c>
      <c r="AE119">
        <f t="shared" si="5"/>
        <v>7314</v>
      </c>
      <c r="AF119">
        <f t="shared" si="6"/>
        <v>0</v>
      </c>
      <c r="AG119">
        <f t="shared" si="7"/>
        <v>0</v>
      </c>
      <c r="AH119">
        <f t="shared" si="8"/>
        <v>28300</v>
      </c>
      <c r="AI119">
        <f t="shared" si="9"/>
        <v>28300</v>
      </c>
    </row>
    <row r="120" spans="1:35" x14ac:dyDescent="0.25">
      <c r="A120" s="11">
        <v>40057</v>
      </c>
      <c r="B120" s="12">
        <v>2911</v>
      </c>
      <c r="C120" s="12" t="s">
        <v>4</v>
      </c>
      <c r="D120" s="1"/>
      <c r="F120" s="11">
        <v>39356</v>
      </c>
      <c r="G120" s="12">
        <v>2</v>
      </c>
      <c r="H120" s="12" t="s">
        <v>29</v>
      </c>
      <c r="L120" s="3">
        <v>41821</v>
      </c>
      <c r="M120" s="5"/>
      <c r="N120" s="5"/>
      <c r="O120" s="5">
        <v>24262</v>
      </c>
      <c r="P120" s="5"/>
      <c r="Q120" s="5">
        <v>5703</v>
      </c>
      <c r="R120" s="5">
        <v>29965</v>
      </c>
      <c r="V120" s="3">
        <v>41821</v>
      </c>
      <c r="W120" s="5">
        <v>6129</v>
      </c>
      <c r="X120" s="5">
        <v>28</v>
      </c>
      <c r="Y120" s="5">
        <v>21492</v>
      </c>
      <c r="Z120" s="5">
        <v>2316</v>
      </c>
      <c r="AA120" s="5">
        <v>29965</v>
      </c>
      <c r="AD120" s="3">
        <v>41821</v>
      </c>
      <c r="AE120">
        <f t="shared" si="5"/>
        <v>6129</v>
      </c>
      <c r="AF120">
        <f t="shared" si="6"/>
        <v>0</v>
      </c>
      <c r="AG120">
        <f t="shared" si="7"/>
        <v>0</v>
      </c>
      <c r="AH120">
        <f t="shared" si="8"/>
        <v>29965</v>
      </c>
      <c r="AI120">
        <f t="shared" si="9"/>
        <v>29965</v>
      </c>
    </row>
    <row r="121" spans="1:35" x14ac:dyDescent="0.25">
      <c r="A121" s="11">
        <v>40057</v>
      </c>
      <c r="B121" s="12">
        <v>14090</v>
      </c>
      <c r="C121" s="12" t="s">
        <v>5</v>
      </c>
      <c r="D121" s="1"/>
      <c r="F121" s="11">
        <v>39387</v>
      </c>
      <c r="G121" s="12">
        <v>8931</v>
      </c>
      <c r="H121" s="12" t="s">
        <v>15</v>
      </c>
      <c r="L121" s="3">
        <v>41852</v>
      </c>
      <c r="M121" s="5"/>
      <c r="N121" s="5"/>
      <c r="O121" s="5">
        <v>28674</v>
      </c>
      <c r="P121" s="5"/>
      <c r="Q121" s="5">
        <v>5871</v>
      </c>
      <c r="R121" s="5">
        <v>34545</v>
      </c>
      <c r="V121" s="3">
        <v>41852</v>
      </c>
      <c r="W121" s="5">
        <v>5322</v>
      </c>
      <c r="X121" s="5"/>
      <c r="Y121" s="5">
        <v>25985</v>
      </c>
      <c r="Z121" s="5">
        <v>3238</v>
      </c>
      <c r="AA121" s="5">
        <v>34545</v>
      </c>
      <c r="AD121" s="3">
        <v>41852</v>
      </c>
      <c r="AE121">
        <f t="shared" si="5"/>
        <v>5322</v>
      </c>
      <c r="AF121">
        <f t="shared" si="6"/>
        <v>0</v>
      </c>
      <c r="AG121">
        <f t="shared" si="7"/>
        <v>0</v>
      </c>
      <c r="AH121">
        <f t="shared" si="8"/>
        <v>34545</v>
      </c>
      <c r="AI121">
        <f t="shared" si="9"/>
        <v>34545</v>
      </c>
    </row>
    <row r="122" spans="1:35" x14ac:dyDescent="0.25">
      <c r="A122" s="11">
        <v>40057</v>
      </c>
      <c r="B122" s="12">
        <v>12299</v>
      </c>
      <c r="C122" s="12" t="s">
        <v>2</v>
      </c>
      <c r="D122" s="1"/>
      <c r="F122" s="11">
        <v>39387</v>
      </c>
      <c r="G122" s="12">
        <v>34709</v>
      </c>
      <c r="H122" s="12" t="s">
        <v>16</v>
      </c>
      <c r="L122" s="3">
        <v>41883</v>
      </c>
      <c r="M122" s="5"/>
      <c r="N122" s="5"/>
      <c r="O122" s="5">
        <v>28213</v>
      </c>
      <c r="P122" s="5"/>
      <c r="Q122" s="5">
        <v>5697</v>
      </c>
      <c r="R122" s="5">
        <v>33910</v>
      </c>
      <c r="V122" s="3">
        <v>41883</v>
      </c>
      <c r="W122" s="5">
        <v>4924</v>
      </c>
      <c r="X122" s="5"/>
      <c r="Y122" s="5">
        <v>25782</v>
      </c>
      <c r="Z122" s="5">
        <v>3204</v>
      </c>
      <c r="AA122" s="5">
        <v>33910</v>
      </c>
      <c r="AD122" s="3">
        <v>41883</v>
      </c>
      <c r="AE122">
        <f t="shared" si="5"/>
        <v>4924</v>
      </c>
      <c r="AF122">
        <f t="shared" si="6"/>
        <v>0</v>
      </c>
      <c r="AG122">
        <f t="shared" si="7"/>
        <v>0</v>
      </c>
      <c r="AH122">
        <f t="shared" si="8"/>
        <v>33910</v>
      </c>
      <c r="AI122">
        <f t="shared" si="9"/>
        <v>33910</v>
      </c>
    </row>
    <row r="123" spans="1:35" x14ac:dyDescent="0.25">
      <c r="A123" s="11">
        <v>40087</v>
      </c>
      <c r="B123" s="12">
        <v>1784</v>
      </c>
      <c r="C123" s="12" t="s">
        <v>4</v>
      </c>
      <c r="D123" s="1"/>
      <c r="F123" s="11">
        <v>39387</v>
      </c>
      <c r="G123" s="12">
        <v>1645</v>
      </c>
      <c r="H123" s="12" t="s">
        <v>14</v>
      </c>
      <c r="L123" s="3">
        <v>41913</v>
      </c>
      <c r="M123" s="5"/>
      <c r="N123" s="5"/>
      <c r="O123" s="5">
        <v>26562</v>
      </c>
      <c r="P123" s="5"/>
      <c r="Q123" s="5">
        <v>5967</v>
      </c>
      <c r="R123" s="5">
        <v>32529</v>
      </c>
      <c r="V123" s="3">
        <v>41913</v>
      </c>
      <c r="W123" s="5">
        <v>5035</v>
      </c>
      <c r="X123" s="5"/>
      <c r="Y123" s="5">
        <v>23995</v>
      </c>
      <c r="Z123" s="5">
        <v>3499</v>
      </c>
      <c r="AA123" s="5">
        <v>32529</v>
      </c>
      <c r="AD123" s="3">
        <v>41913</v>
      </c>
      <c r="AE123">
        <f t="shared" si="5"/>
        <v>5035</v>
      </c>
      <c r="AF123">
        <f t="shared" si="6"/>
        <v>0</v>
      </c>
      <c r="AG123">
        <f t="shared" si="7"/>
        <v>0</v>
      </c>
      <c r="AH123">
        <f t="shared" si="8"/>
        <v>32529</v>
      </c>
      <c r="AI123">
        <f t="shared" si="9"/>
        <v>32529</v>
      </c>
    </row>
    <row r="124" spans="1:35" x14ac:dyDescent="0.25">
      <c r="A124" s="11">
        <v>40087</v>
      </c>
      <c r="B124" s="12">
        <v>9201</v>
      </c>
      <c r="C124" s="12" t="s">
        <v>5</v>
      </c>
      <c r="D124" s="1"/>
      <c r="F124" s="11">
        <v>39417</v>
      </c>
      <c r="G124" s="12">
        <v>11102</v>
      </c>
      <c r="H124" s="12" t="s">
        <v>15</v>
      </c>
      <c r="L124" s="3">
        <v>41944</v>
      </c>
      <c r="M124" s="5"/>
      <c r="N124" s="5"/>
      <c r="O124" s="5">
        <v>24363</v>
      </c>
      <c r="P124" s="5"/>
      <c r="Q124" s="5">
        <v>6289</v>
      </c>
      <c r="R124" s="5">
        <v>30652</v>
      </c>
      <c r="V124" s="3">
        <v>41944</v>
      </c>
      <c r="W124" s="5">
        <v>5143</v>
      </c>
      <c r="X124" s="5"/>
      <c r="Y124" s="5">
        <v>21738</v>
      </c>
      <c r="Z124" s="5">
        <v>3771</v>
      </c>
      <c r="AA124" s="5">
        <v>30652</v>
      </c>
      <c r="AD124" s="3">
        <v>41944</v>
      </c>
      <c r="AE124">
        <f t="shared" si="5"/>
        <v>5143</v>
      </c>
      <c r="AF124">
        <f t="shared" si="6"/>
        <v>0</v>
      </c>
      <c r="AG124">
        <f t="shared" si="7"/>
        <v>0</v>
      </c>
      <c r="AH124">
        <f t="shared" si="8"/>
        <v>30652</v>
      </c>
      <c r="AI124">
        <f t="shared" si="9"/>
        <v>30652</v>
      </c>
    </row>
    <row r="125" spans="1:35" x14ac:dyDescent="0.25">
      <c r="A125" s="11">
        <v>40087</v>
      </c>
      <c r="B125" s="12">
        <v>9965</v>
      </c>
      <c r="C125" s="12" t="s">
        <v>2</v>
      </c>
      <c r="D125" s="1"/>
      <c r="F125" s="11">
        <v>39417</v>
      </c>
      <c r="G125" s="12">
        <v>32768</v>
      </c>
      <c r="H125" s="12" t="s">
        <v>16</v>
      </c>
      <c r="L125" s="3">
        <v>41974</v>
      </c>
      <c r="M125" s="5"/>
      <c r="N125" s="5"/>
      <c r="O125" s="5">
        <v>21865</v>
      </c>
      <c r="P125" s="5"/>
      <c r="Q125" s="5">
        <v>6586</v>
      </c>
      <c r="R125" s="5">
        <v>28451</v>
      </c>
      <c r="V125" s="3">
        <v>41974</v>
      </c>
      <c r="W125" s="5">
        <v>4964</v>
      </c>
      <c r="X125" s="5"/>
      <c r="Y125" s="5">
        <v>19341</v>
      </c>
      <c r="Z125" s="5">
        <v>4146</v>
      </c>
      <c r="AA125" s="5">
        <v>28451</v>
      </c>
      <c r="AD125" s="3">
        <v>41974</v>
      </c>
      <c r="AE125">
        <f t="shared" si="5"/>
        <v>4964</v>
      </c>
      <c r="AF125">
        <f t="shared" si="6"/>
        <v>0</v>
      </c>
      <c r="AG125">
        <f t="shared" si="7"/>
        <v>0</v>
      </c>
      <c r="AH125">
        <f t="shared" si="8"/>
        <v>28451</v>
      </c>
      <c r="AI125">
        <f t="shared" si="9"/>
        <v>28451</v>
      </c>
    </row>
    <row r="126" spans="1:35" x14ac:dyDescent="0.25">
      <c r="A126" s="11">
        <v>40118</v>
      </c>
      <c r="B126" s="12">
        <v>1393</v>
      </c>
      <c r="C126" s="12" t="s">
        <v>4</v>
      </c>
      <c r="D126" s="1"/>
      <c r="F126" s="11">
        <v>39417</v>
      </c>
      <c r="G126" s="12">
        <v>1747</v>
      </c>
      <c r="H126" s="12" t="s">
        <v>14</v>
      </c>
      <c r="L126" s="3">
        <v>42005</v>
      </c>
      <c r="M126" s="5"/>
      <c r="N126" s="5"/>
      <c r="O126" s="5">
        <v>19051</v>
      </c>
      <c r="P126" s="5"/>
      <c r="Q126" s="5">
        <v>7036</v>
      </c>
      <c r="R126" s="5">
        <v>26087</v>
      </c>
      <c r="V126" s="3">
        <v>42005</v>
      </c>
      <c r="W126" s="5">
        <v>4311</v>
      </c>
      <c r="X126" s="5"/>
      <c r="Y126" s="5">
        <v>16464</v>
      </c>
      <c r="Z126" s="5">
        <v>5312</v>
      </c>
      <c r="AA126" s="5">
        <v>26087</v>
      </c>
      <c r="AD126" s="3">
        <v>42005</v>
      </c>
      <c r="AE126">
        <f t="shared" si="5"/>
        <v>4311</v>
      </c>
      <c r="AF126">
        <f t="shared" si="6"/>
        <v>0</v>
      </c>
      <c r="AG126">
        <f t="shared" si="7"/>
        <v>0</v>
      </c>
      <c r="AH126">
        <f t="shared" si="8"/>
        <v>26087</v>
      </c>
      <c r="AI126">
        <f t="shared" si="9"/>
        <v>26087</v>
      </c>
    </row>
    <row r="127" spans="1:35" x14ac:dyDescent="0.25">
      <c r="A127" s="11">
        <v>40118</v>
      </c>
      <c r="B127" s="12">
        <v>6917</v>
      </c>
      <c r="C127" s="12" t="s">
        <v>5</v>
      </c>
      <c r="D127" s="1"/>
      <c r="F127" s="11">
        <v>39417</v>
      </c>
      <c r="G127" s="12">
        <v>1</v>
      </c>
      <c r="H127" s="12" t="s">
        <v>29</v>
      </c>
      <c r="L127" s="3">
        <v>42036</v>
      </c>
      <c r="M127" s="5"/>
      <c r="N127" s="5"/>
      <c r="O127" s="5">
        <v>20160</v>
      </c>
      <c r="P127" s="5"/>
      <c r="Q127" s="5">
        <v>6442</v>
      </c>
      <c r="R127" s="5">
        <v>26602</v>
      </c>
      <c r="V127" s="3">
        <v>42036</v>
      </c>
      <c r="W127" s="5">
        <v>4514</v>
      </c>
      <c r="X127" s="5"/>
      <c r="Y127" s="5">
        <v>17397</v>
      </c>
      <c r="Z127" s="5">
        <v>4691</v>
      </c>
      <c r="AA127" s="5">
        <v>26602</v>
      </c>
      <c r="AD127" s="3">
        <v>42036</v>
      </c>
      <c r="AE127">
        <f t="shared" si="5"/>
        <v>4514</v>
      </c>
      <c r="AF127">
        <f t="shared" si="6"/>
        <v>0</v>
      </c>
      <c r="AG127">
        <f t="shared" si="7"/>
        <v>0</v>
      </c>
      <c r="AH127">
        <f t="shared" si="8"/>
        <v>26602</v>
      </c>
      <c r="AI127">
        <f t="shared" si="9"/>
        <v>26602</v>
      </c>
    </row>
    <row r="128" spans="1:35" x14ac:dyDescent="0.25">
      <c r="A128" s="11">
        <v>40118</v>
      </c>
      <c r="B128" s="12">
        <v>9283</v>
      </c>
      <c r="C128" s="12" t="s">
        <v>2</v>
      </c>
      <c r="D128" s="1"/>
      <c r="F128" s="11">
        <v>39448</v>
      </c>
      <c r="G128" s="12">
        <v>9365</v>
      </c>
      <c r="H128" s="12" t="s">
        <v>15</v>
      </c>
      <c r="L128" s="3">
        <v>42064</v>
      </c>
      <c r="M128" s="5"/>
      <c r="N128" s="5"/>
      <c r="O128" s="5">
        <v>15687</v>
      </c>
      <c r="P128" s="5"/>
      <c r="Q128" s="5">
        <v>7370</v>
      </c>
      <c r="R128" s="5">
        <v>23057</v>
      </c>
      <c r="V128" s="3">
        <v>42064</v>
      </c>
      <c r="W128" s="5">
        <v>4027</v>
      </c>
      <c r="X128" s="5"/>
      <c r="Y128" s="5">
        <v>12928</v>
      </c>
      <c r="Z128" s="5">
        <v>6102</v>
      </c>
      <c r="AA128" s="5">
        <v>23057</v>
      </c>
      <c r="AD128" s="3">
        <v>42064</v>
      </c>
      <c r="AE128">
        <f t="shared" si="5"/>
        <v>4027</v>
      </c>
      <c r="AF128">
        <f t="shared" si="6"/>
        <v>0</v>
      </c>
      <c r="AG128">
        <f t="shared" si="7"/>
        <v>0</v>
      </c>
      <c r="AH128">
        <f t="shared" si="8"/>
        <v>23057</v>
      </c>
      <c r="AI128">
        <f t="shared" si="9"/>
        <v>23057</v>
      </c>
    </row>
    <row r="129" spans="1:35" x14ac:dyDescent="0.25">
      <c r="A129" s="11">
        <v>40148</v>
      </c>
      <c r="B129" s="12">
        <v>1727</v>
      </c>
      <c r="C129" s="12" t="s">
        <v>4</v>
      </c>
      <c r="D129" s="1"/>
      <c r="F129" s="11">
        <v>39448</v>
      </c>
      <c r="G129" s="12">
        <v>29396</v>
      </c>
      <c r="H129" s="12" t="s">
        <v>16</v>
      </c>
      <c r="L129" s="3">
        <v>42095</v>
      </c>
      <c r="M129" s="5"/>
      <c r="N129" s="5"/>
      <c r="O129" s="5">
        <v>17561</v>
      </c>
      <c r="P129" s="5"/>
      <c r="Q129" s="5">
        <v>9357</v>
      </c>
      <c r="R129" s="5">
        <v>26918</v>
      </c>
      <c r="V129" s="3">
        <v>42095</v>
      </c>
      <c r="W129" s="5">
        <v>4313</v>
      </c>
      <c r="X129" s="5"/>
      <c r="Y129" s="5">
        <v>14247</v>
      </c>
      <c r="Z129" s="5">
        <v>8358</v>
      </c>
      <c r="AA129" s="5">
        <v>26918</v>
      </c>
      <c r="AD129" s="3">
        <v>42095</v>
      </c>
      <c r="AE129">
        <f t="shared" si="5"/>
        <v>4313</v>
      </c>
      <c r="AF129">
        <f t="shared" si="6"/>
        <v>0</v>
      </c>
      <c r="AG129">
        <f t="shared" si="7"/>
        <v>0</v>
      </c>
      <c r="AH129">
        <f t="shared" si="8"/>
        <v>26918</v>
      </c>
      <c r="AI129">
        <f t="shared" si="9"/>
        <v>26918</v>
      </c>
    </row>
    <row r="130" spans="1:35" x14ac:dyDescent="0.25">
      <c r="A130" s="11">
        <v>40148</v>
      </c>
      <c r="B130" s="12">
        <v>9301</v>
      </c>
      <c r="C130" s="12" t="s">
        <v>5</v>
      </c>
      <c r="D130" s="1"/>
      <c r="F130" s="11">
        <v>39448</v>
      </c>
      <c r="G130" s="12">
        <v>1342</v>
      </c>
      <c r="H130" s="12" t="s">
        <v>14</v>
      </c>
      <c r="L130" s="3">
        <v>42125</v>
      </c>
      <c r="M130" s="5"/>
      <c r="N130" s="5"/>
      <c r="O130" s="5">
        <v>25158</v>
      </c>
      <c r="P130" s="5"/>
      <c r="Q130" s="5">
        <v>11076</v>
      </c>
      <c r="R130" s="5">
        <v>36234</v>
      </c>
      <c r="V130" s="3">
        <v>42125</v>
      </c>
      <c r="W130" s="5">
        <v>4902</v>
      </c>
      <c r="X130" s="5"/>
      <c r="Y130" s="5">
        <v>20828</v>
      </c>
      <c r="Z130" s="5">
        <v>10504</v>
      </c>
      <c r="AA130" s="5">
        <v>36234</v>
      </c>
      <c r="AD130" s="3">
        <v>42125</v>
      </c>
      <c r="AE130">
        <f t="shared" si="5"/>
        <v>4902</v>
      </c>
      <c r="AF130">
        <f t="shared" si="6"/>
        <v>0</v>
      </c>
      <c r="AG130">
        <f t="shared" si="7"/>
        <v>0</v>
      </c>
      <c r="AH130">
        <f t="shared" si="8"/>
        <v>36234</v>
      </c>
      <c r="AI130">
        <f t="shared" si="9"/>
        <v>36234</v>
      </c>
    </row>
    <row r="131" spans="1:35" x14ac:dyDescent="0.25">
      <c r="A131" s="11">
        <v>40148</v>
      </c>
      <c r="B131" s="12">
        <v>10153</v>
      </c>
      <c r="C131" s="12" t="s">
        <v>2</v>
      </c>
      <c r="D131" s="1"/>
      <c r="F131" s="11">
        <v>39448</v>
      </c>
      <c r="G131" s="12">
        <v>2</v>
      </c>
      <c r="H131" s="12" t="s">
        <v>29</v>
      </c>
      <c r="L131" s="3">
        <v>42156</v>
      </c>
      <c r="M131" s="5"/>
      <c r="N131" s="5"/>
      <c r="O131" s="5">
        <v>26752</v>
      </c>
      <c r="P131" s="5"/>
      <c r="Q131" s="5">
        <v>8294</v>
      </c>
      <c r="R131" s="5">
        <v>35046</v>
      </c>
      <c r="V131" s="3">
        <v>42156</v>
      </c>
      <c r="W131" s="5">
        <v>4601</v>
      </c>
      <c r="X131" s="5"/>
      <c r="Y131" s="5">
        <v>23031</v>
      </c>
      <c r="Z131" s="5">
        <v>7414</v>
      </c>
      <c r="AA131" s="5">
        <v>35046</v>
      </c>
      <c r="AD131" s="3">
        <v>42156</v>
      </c>
      <c r="AE131">
        <f t="shared" si="5"/>
        <v>4601</v>
      </c>
      <c r="AF131">
        <f t="shared" si="6"/>
        <v>0</v>
      </c>
      <c r="AG131">
        <f t="shared" si="7"/>
        <v>0</v>
      </c>
      <c r="AH131">
        <f t="shared" si="8"/>
        <v>35046</v>
      </c>
      <c r="AI131">
        <f t="shared" si="9"/>
        <v>35046</v>
      </c>
    </row>
    <row r="132" spans="1:35" x14ac:dyDescent="0.25">
      <c r="A132" s="11">
        <v>40179</v>
      </c>
      <c r="B132" s="12">
        <v>1990</v>
      </c>
      <c r="C132" s="12" t="s">
        <v>4</v>
      </c>
      <c r="D132" s="1"/>
      <c r="F132" s="11">
        <v>39479</v>
      </c>
      <c r="G132" s="12">
        <v>11573</v>
      </c>
      <c r="H132" s="12" t="s">
        <v>15</v>
      </c>
      <c r="L132" s="3">
        <v>42186</v>
      </c>
      <c r="M132" s="5"/>
      <c r="N132" s="5"/>
      <c r="O132" s="5">
        <v>28655</v>
      </c>
      <c r="P132" s="5"/>
      <c r="Q132" s="5">
        <v>6985</v>
      </c>
      <c r="R132" s="5">
        <v>35640</v>
      </c>
      <c r="V132" s="3">
        <v>42186</v>
      </c>
      <c r="W132" s="5">
        <v>3819</v>
      </c>
      <c r="X132" s="5"/>
      <c r="Y132" s="5">
        <v>25573</v>
      </c>
      <c r="Z132" s="5">
        <v>6248</v>
      </c>
      <c r="AA132" s="5">
        <v>35640</v>
      </c>
      <c r="AD132" s="3">
        <v>42186</v>
      </c>
      <c r="AE132">
        <f t="shared" si="5"/>
        <v>3819</v>
      </c>
      <c r="AF132">
        <f t="shared" si="6"/>
        <v>0</v>
      </c>
      <c r="AG132">
        <f t="shared" si="7"/>
        <v>0</v>
      </c>
      <c r="AH132">
        <f t="shared" si="8"/>
        <v>35640</v>
      </c>
      <c r="AI132">
        <f t="shared" si="9"/>
        <v>35640</v>
      </c>
    </row>
    <row r="133" spans="1:35" x14ac:dyDescent="0.25">
      <c r="A133" s="11">
        <v>40179</v>
      </c>
      <c r="B133" s="12">
        <v>11962</v>
      </c>
      <c r="C133" s="12" t="s">
        <v>5</v>
      </c>
      <c r="D133" s="1"/>
      <c r="F133" s="11">
        <v>39479</v>
      </c>
      <c r="G133" s="12">
        <v>27830</v>
      </c>
      <c r="H133" s="12" t="s">
        <v>16</v>
      </c>
      <c r="L133" s="3">
        <v>42217</v>
      </c>
      <c r="M133" s="5"/>
      <c r="N133" s="5"/>
      <c r="O133" s="5">
        <v>30476</v>
      </c>
      <c r="P133" s="5"/>
      <c r="Q133" s="5">
        <v>6153</v>
      </c>
      <c r="R133" s="5">
        <v>36629</v>
      </c>
      <c r="V133" s="3">
        <v>42217</v>
      </c>
      <c r="W133" s="5">
        <v>3730</v>
      </c>
      <c r="X133" s="5"/>
      <c r="Y133" s="5">
        <v>27535</v>
      </c>
      <c r="Z133" s="5">
        <v>5364</v>
      </c>
      <c r="AA133" s="5">
        <v>36629</v>
      </c>
      <c r="AD133" s="3">
        <v>42217</v>
      </c>
      <c r="AE133">
        <f t="shared" si="5"/>
        <v>3730</v>
      </c>
      <c r="AF133">
        <f t="shared" si="6"/>
        <v>0</v>
      </c>
      <c r="AG133">
        <f t="shared" si="7"/>
        <v>0</v>
      </c>
      <c r="AH133">
        <f t="shared" si="8"/>
        <v>36629</v>
      </c>
      <c r="AI133">
        <f t="shared" si="9"/>
        <v>36629</v>
      </c>
    </row>
    <row r="134" spans="1:35" x14ac:dyDescent="0.25">
      <c r="A134" s="11">
        <v>40179</v>
      </c>
      <c r="B134" s="12">
        <v>10500</v>
      </c>
      <c r="C134" s="12" t="s">
        <v>2</v>
      </c>
      <c r="D134" s="1"/>
      <c r="F134" s="11">
        <v>39479</v>
      </c>
      <c r="G134" s="12">
        <v>1534</v>
      </c>
      <c r="H134" s="12" t="s">
        <v>14</v>
      </c>
      <c r="L134" s="3">
        <v>42248</v>
      </c>
      <c r="M134" s="5"/>
      <c r="N134" s="5"/>
      <c r="O134" s="5">
        <v>29701</v>
      </c>
      <c r="P134" s="5"/>
      <c r="Q134" s="5">
        <v>4907</v>
      </c>
      <c r="R134" s="5">
        <v>34608</v>
      </c>
      <c r="V134" s="3">
        <v>42248</v>
      </c>
      <c r="W134" s="5">
        <v>3246</v>
      </c>
      <c r="X134" s="5"/>
      <c r="Y134" s="5">
        <v>27190</v>
      </c>
      <c r="Z134" s="5">
        <v>4172</v>
      </c>
      <c r="AA134" s="5">
        <v>34608</v>
      </c>
      <c r="AD134" s="3">
        <v>42248</v>
      </c>
      <c r="AE134">
        <f t="shared" si="5"/>
        <v>3246</v>
      </c>
      <c r="AF134">
        <f t="shared" si="6"/>
        <v>0</v>
      </c>
      <c r="AG134">
        <f t="shared" si="7"/>
        <v>0</v>
      </c>
      <c r="AH134">
        <f t="shared" si="8"/>
        <v>34608</v>
      </c>
      <c r="AI134">
        <f t="shared" si="9"/>
        <v>34608</v>
      </c>
    </row>
    <row r="135" spans="1:35" x14ac:dyDescent="0.25">
      <c r="A135" s="11">
        <v>40210</v>
      </c>
      <c r="B135" s="12">
        <v>2022</v>
      </c>
      <c r="C135" s="12" t="s">
        <v>4</v>
      </c>
      <c r="D135" s="1"/>
      <c r="F135" s="11">
        <v>39479</v>
      </c>
      <c r="G135" s="12">
        <v>2</v>
      </c>
      <c r="H135" s="12" t="s">
        <v>29</v>
      </c>
      <c r="L135" s="3">
        <v>42278</v>
      </c>
      <c r="M135" s="5"/>
      <c r="N135" s="5"/>
      <c r="O135" s="5">
        <v>28573</v>
      </c>
      <c r="P135" s="5"/>
      <c r="Q135" s="5">
        <v>5060</v>
      </c>
      <c r="R135" s="5">
        <v>33633</v>
      </c>
      <c r="V135" s="3">
        <v>42278</v>
      </c>
      <c r="W135" s="5">
        <v>3222</v>
      </c>
      <c r="X135" s="5"/>
      <c r="Y135" s="5">
        <v>26069</v>
      </c>
      <c r="Z135" s="5">
        <v>4342</v>
      </c>
      <c r="AA135" s="5">
        <v>33633</v>
      </c>
      <c r="AD135" s="3">
        <v>42278</v>
      </c>
      <c r="AE135">
        <f t="shared" ref="AE135:AE140" si="10">VLOOKUP(AD135,V:AA,2,0)</f>
        <v>3222</v>
      </c>
      <c r="AF135">
        <f t="shared" ref="AF135:AF140" si="11">VLOOKUP(AD135,L:R,3,0)</f>
        <v>0</v>
      </c>
      <c r="AG135">
        <f t="shared" ref="AG135:AG140" si="12">AF135/AE135</f>
        <v>0</v>
      </c>
      <c r="AH135">
        <f t="shared" ref="AH135:AH140" si="13">VLOOKUP(AD135,V:AA,6,0)</f>
        <v>33633</v>
      </c>
      <c r="AI135">
        <f t="shared" ref="AI135:AI140" si="14">VLOOKUP(AD135,L:R,7,0)</f>
        <v>33633</v>
      </c>
    </row>
    <row r="136" spans="1:35" x14ac:dyDescent="0.25">
      <c r="A136" s="11">
        <v>40210</v>
      </c>
      <c r="B136" s="12">
        <v>14238</v>
      </c>
      <c r="C136" s="12" t="s">
        <v>5</v>
      </c>
      <c r="D136" s="1"/>
      <c r="F136" s="11">
        <v>39508</v>
      </c>
      <c r="G136" s="12">
        <v>11146</v>
      </c>
      <c r="H136" s="12" t="s">
        <v>15</v>
      </c>
      <c r="L136" s="3">
        <v>42309</v>
      </c>
      <c r="M136" s="5"/>
      <c r="N136" s="5"/>
      <c r="O136" s="5">
        <v>26470</v>
      </c>
      <c r="P136" s="5"/>
      <c r="Q136" s="5">
        <v>5234</v>
      </c>
      <c r="R136" s="5">
        <v>31704</v>
      </c>
      <c r="V136" s="3">
        <v>42309</v>
      </c>
      <c r="W136" s="5">
        <v>3122</v>
      </c>
      <c r="X136" s="5"/>
      <c r="Y136" s="5">
        <v>23900</v>
      </c>
      <c r="Z136" s="5">
        <v>4682</v>
      </c>
      <c r="AA136" s="5">
        <v>31704</v>
      </c>
      <c r="AD136" s="3">
        <v>42309</v>
      </c>
      <c r="AE136">
        <f t="shared" si="10"/>
        <v>3122</v>
      </c>
      <c r="AF136">
        <f t="shared" si="11"/>
        <v>0</v>
      </c>
      <c r="AG136">
        <f t="shared" si="12"/>
        <v>0</v>
      </c>
      <c r="AH136">
        <f t="shared" si="13"/>
        <v>31704</v>
      </c>
      <c r="AI136">
        <f t="shared" si="14"/>
        <v>31704</v>
      </c>
    </row>
    <row r="137" spans="1:35" x14ac:dyDescent="0.25">
      <c r="A137" s="11">
        <v>40210</v>
      </c>
      <c r="B137" s="12">
        <v>9633</v>
      </c>
      <c r="C137" s="12" t="s">
        <v>2</v>
      </c>
      <c r="D137" s="1"/>
      <c r="F137" s="11">
        <v>39508</v>
      </c>
      <c r="G137" s="12">
        <v>21202</v>
      </c>
      <c r="H137" s="12" t="s">
        <v>16</v>
      </c>
      <c r="L137" s="3">
        <v>42339</v>
      </c>
      <c r="M137" s="5"/>
      <c r="N137" s="5"/>
      <c r="O137" s="5">
        <v>24532</v>
      </c>
      <c r="P137" s="5"/>
      <c r="Q137" s="5">
        <v>5646</v>
      </c>
      <c r="R137" s="5">
        <v>30178</v>
      </c>
      <c r="V137" s="3">
        <v>42339</v>
      </c>
      <c r="W137" s="5">
        <v>2924</v>
      </c>
      <c r="X137" s="5"/>
      <c r="Y137" s="5">
        <v>22067</v>
      </c>
      <c r="Z137" s="5">
        <v>5187</v>
      </c>
      <c r="AA137" s="5">
        <v>30178</v>
      </c>
      <c r="AD137" s="3">
        <v>42339</v>
      </c>
      <c r="AE137">
        <f t="shared" si="10"/>
        <v>2924</v>
      </c>
      <c r="AF137">
        <f t="shared" si="11"/>
        <v>0</v>
      </c>
      <c r="AG137">
        <f t="shared" si="12"/>
        <v>0</v>
      </c>
      <c r="AH137">
        <f t="shared" si="13"/>
        <v>30178</v>
      </c>
      <c r="AI137">
        <f t="shared" si="14"/>
        <v>30178</v>
      </c>
    </row>
    <row r="138" spans="1:35" x14ac:dyDescent="0.25">
      <c r="A138" s="11">
        <v>40238</v>
      </c>
      <c r="B138" s="12">
        <v>1769</v>
      </c>
      <c r="C138" s="12" t="s">
        <v>4</v>
      </c>
      <c r="D138" s="1"/>
      <c r="F138" s="11">
        <v>39508</v>
      </c>
      <c r="G138" s="12">
        <v>1300</v>
      </c>
      <c r="H138" s="12" t="s">
        <v>14</v>
      </c>
      <c r="L138" s="3">
        <v>42370</v>
      </c>
      <c r="M138" s="5"/>
      <c r="N138" s="5"/>
      <c r="O138" s="5">
        <v>18437</v>
      </c>
      <c r="P138" s="5"/>
      <c r="Q138" s="5">
        <v>4752</v>
      </c>
      <c r="R138" s="5">
        <v>23189</v>
      </c>
      <c r="V138" s="3">
        <v>42370</v>
      </c>
      <c r="W138" s="5">
        <v>2083</v>
      </c>
      <c r="X138" s="5"/>
      <c r="Y138" s="5">
        <v>16430</v>
      </c>
      <c r="Z138" s="5">
        <v>4676</v>
      </c>
      <c r="AA138" s="5">
        <v>23189</v>
      </c>
      <c r="AD138" s="3">
        <v>42370</v>
      </c>
      <c r="AE138">
        <f t="shared" si="10"/>
        <v>2083</v>
      </c>
      <c r="AF138">
        <f t="shared" si="11"/>
        <v>0</v>
      </c>
      <c r="AG138">
        <f t="shared" si="12"/>
        <v>0</v>
      </c>
      <c r="AH138">
        <f t="shared" si="13"/>
        <v>23189</v>
      </c>
      <c r="AI138">
        <f t="shared" si="14"/>
        <v>23189</v>
      </c>
    </row>
    <row r="139" spans="1:35" x14ac:dyDescent="0.25">
      <c r="A139" s="11">
        <v>40238</v>
      </c>
      <c r="B139" s="12">
        <v>13429</v>
      </c>
      <c r="C139" s="12" t="s">
        <v>5</v>
      </c>
      <c r="D139" s="1"/>
      <c r="F139" s="11">
        <v>39508</v>
      </c>
      <c r="G139" s="12">
        <v>5</v>
      </c>
      <c r="H139" s="12" t="s">
        <v>29</v>
      </c>
      <c r="L139" s="3">
        <v>42401</v>
      </c>
      <c r="M139" s="5"/>
      <c r="N139" s="5"/>
      <c r="O139" s="5">
        <v>12418</v>
      </c>
      <c r="P139" s="5"/>
      <c r="Q139" s="5">
        <v>3011</v>
      </c>
      <c r="R139" s="5">
        <v>15429</v>
      </c>
      <c r="V139" s="3">
        <v>42401</v>
      </c>
      <c r="W139" s="5">
        <v>1595</v>
      </c>
      <c r="X139" s="5"/>
      <c r="Y139" s="5">
        <v>11029</v>
      </c>
      <c r="Z139" s="5">
        <v>2805</v>
      </c>
      <c r="AA139" s="5">
        <v>15429</v>
      </c>
      <c r="AD139" s="3">
        <v>42401</v>
      </c>
      <c r="AE139">
        <f t="shared" si="10"/>
        <v>1595</v>
      </c>
      <c r="AF139">
        <f t="shared" si="11"/>
        <v>0</v>
      </c>
      <c r="AG139">
        <f t="shared" si="12"/>
        <v>0</v>
      </c>
      <c r="AH139">
        <f t="shared" si="13"/>
        <v>15429</v>
      </c>
      <c r="AI139">
        <f t="shared" si="14"/>
        <v>15429</v>
      </c>
    </row>
    <row r="140" spans="1:35" x14ac:dyDescent="0.25">
      <c r="A140" s="11">
        <v>40238</v>
      </c>
      <c r="B140" s="12">
        <v>7593</v>
      </c>
      <c r="C140" s="12" t="s">
        <v>2</v>
      </c>
      <c r="D140" s="1"/>
      <c r="F140" s="11">
        <v>39539</v>
      </c>
      <c r="G140" s="12">
        <v>16986</v>
      </c>
      <c r="H140" s="12" t="s">
        <v>15</v>
      </c>
      <c r="L140" s="3">
        <v>42430</v>
      </c>
      <c r="M140" s="5"/>
      <c r="N140" s="5"/>
      <c r="O140" s="5">
        <v>489</v>
      </c>
      <c r="P140" s="5"/>
      <c r="Q140" s="5">
        <v>244</v>
      </c>
      <c r="R140" s="5">
        <v>733</v>
      </c>
      <c r="V140" s="3">
        <v>42430</v>
      </c>
      <c r="W140" s="5">
        <v>154</v>
      </c>
      <c r="X140" s="5"/>
      <c r="Y140" s="5">
        <v>432</v>
      </c>
      <c r="Z140" s="5">
        <v>147</v>
      </c>
      <c r="AA140" s="5">
        <v>733</v>
      </c>
      <c r="AD140" s="3">
        <v>42430</v>
      </c>
      <c r="AE140">
        <f t="shared" si="10"/>
        <v>154</v>
      </c>
      <c r="AF140">
        <f t="shared" si="11"/>
        <v>0</v>
      </c>
      <c r="AG140">
        <f t="shared" si="12"/>
        <v>0</v>
      </c>
      <c r="AH140">
        <f t="shared" si="13"/>
        <v>733</v>
      </c>
      <c r="AI140">
        <f t="shared" si="14"/>
        <v>733</v>
      </c>
    </row>
    <row r="141" spans="1:35" x14ac:dyDescent="0.25">
      <c r="A141" s="11">
        <v>40269</v>
      </c>
      <c r="B141" s="12">
        <v>1278</v>
      </c>
      <c r="C141" s="12" t="s">
        <v>4</v>
      </c>
      <c r="D141" s="1"/>
      <c r="F141" s="11">
        <v>39539</v>
      </c>
      <c r="G141" s="12">
        <v>22274</v>
      </c>
      <c r="H141" s="12" t="s">
        <v>16</v>
      </c>
      <c r="L141" s="3" t="s">
        <v>9</v>
      </c>
      <c r="M141" s="5">
        <v>163400</v>
      </c>
      <c r="N141" s="5">
        <v>980020</v>
      </c>
      <c r="O141" s="5">
        <v>2413227</v>
      </c>
      <c r="P141" s="5">
        <v>163098</v>
      </c>
      <c r="Q141" s="5">
        <v>147512</v>
      </c>
      <c r="R141" s="5">
        <v>3867257</v>
      </c>
      <c r="V141" s="3" t="s">
        <v>9</v>
      </c>
      <c r="W141" s="5">
        <v>1441649</v>
      </c>
      <c r="X141" s="5">
        <v>40344</v>
      </c>
      <c r="Y141" s="5">
        <v>1775463</v>
      </c>
      <c r="Z141" s="5">
        <v>609801</v>
      </c>
      <c r="AA141" s="5">
        <v>3867257</v>
      </c>
    </row>
    <row r="142" spans="1:35" x14ac:dyDescent="0.25">
      <c r="A142" s="11">
        <v>40269</v>
      </c>
      <c r="B142" s="12">
        <v>10378</v>
      </c>
      <c r="C142" s="12" t="s">
        <v>5</v>
      </c>
      <c r="D142" s="1"/>
      <c r="F142" s="11">
        <v>39539</v>
      </c>
      <c r="G142" s="12">
        <v>1805</v>
      </c>
      <c r="H142" s="12" t="s">
        <v>14</v>
      </c>
    </row>
    <row r="143" spans="1:35" x14ac:dyDescent="0.25">
      <c r="A143" s="11">
        <v>40269</v>
      </c>
      <c r="B143" s="12">
        <v>7549</v>
      </c>
      <c r="C143" s="12" t="s">
        <v>2</v>
      </c>
      <c r="D143" s="1"/>
      <c r="F143" s="11">
        <v>39539</v>
      </c>
      <c r="G143" s="12">
        <v>4</v>
      </c>
      <c r="H143" s="12" t="s">
        <v>29</v>
      </c>
    </row>
    <row r="144" spans="1:35" x14ac:dyDescent="0.25">
      <c r="A144" s="11">
        <v>40299</v>
      </c>
      <c r="B144" s="12">
        <v>1354</v>
      </c>
      <c r="C144" s="12" t="s">
        <v>4</v>
      </c>
      <c r="D144" s="1"/>
      <c r="F144" s="11">
        <v>39569</v>
      </c>
      <c r="G144" s="12">
        <v>13245</v>
      </c>
      <c r="H144" s="12" t="s">
        <v>15</v>
      </c>
    </row>
    <row r="145" spans="1:8" x14ac:dyDescent="0.25">
      <c r="A145" s="11">
        <v>40299</v>
      </c>
      <c r="B145" s="12">
        <v>12269</v>
      </c>
      <c r="C145" s="12" t="s">
        <v>5</v>
      </c>
      <c r="D145" s="1"/>
      <c r="F145" s="11">
        <v>39569</v>
      </c>
      <c r="G145" s="12">
        <v>24394</v>
      </c>
      <c r="H145" s="12" t="s">
        <v>16</v>
      </c>
    </row>
    <row r="146" spans="1:8" x14ac:dyDescent="0.25">
      <c r="A146" s="11">
        <v>40299</v>
      </c>
      <c r="B146" s="12">
        <v>10075</v>
      </c>
      <c r="C146" s="12" t="s">
        <v>2</v>
      </c>
      <c r="D146" s="1"/>
      <c r="F146" s="11">
        <v>39569</v>
      </c>
      <c r="G146" s="12">
        <v>1564</v>
      </c>
      <c r="H146" s="12" t="s">
        <v>14</v>
      </c>
    </row>
    <row r="147" spans="1:8" x14ac:dyDescent="0.25">
      <c r="A147" s="11">
        <v>40330</v>
      </c>
      <c r="B147" s="12">
        <v>1243</v>
      </c>
      <c r="C147" s="12" t="s">
        <v>4</v>
      </c>
      <c r="D147" s="1"/>
      <c r="F147" s="11">
        <v>39569</v>
      </c>
      <c r="G147" s="12">
        <v>3</v>
      </c>
      <c r="H147" s="12" t="s">
        <v>29</v>
      </c>
    </row>
    <row r="148" spans="1:8" x14ac:dyDescent="0.25">
      <c r="A148" s="11">
        <v>40330</v>
      </c>
      <c r="B148" s="12">
        <v>11418</v>
      </c>
      <c r="C148" s="12" t="s">
        <v>5</v>
      </c>
      <c r="D148" s="1"/>
      <c r="F148" s="11">
        <v>39600</v>
      </c>
      <c r="G148" s="12">
        <v>10304</v>
      </c>
      <c r="H148" s="12" t="s">
        <v>15</v>
      </c>
    </row>
    <row r="149" spans="1:8" x14ac:dyDescent="0.25">
      <c r="A149" s="11">
        <v>40330</v>
      </c>
      <c r="B149" s="12">
        <v>10966</v>
      </c>
      <c r="C149" s="12" t="s">
        <v>2</v>
      </c>
      <c r="D149" s="1"/>
      <c r="F149" s="11">
        <v>39600</v>
      </c>
      <c r="G149" s="12">
        <v>20711</v>
      </c>
      <c r="H149" s="12" t="s">
        <v>16</v>
      </c>
    </row>
    <row r="150" spans="1:8" x14ac:dyDescent="0.25">
      <c r="A150" s="11">
        <v>40360</v>
      </c>
      <c r="B150" s="12">
        <v>965</v>
      </c>
      <c r="C150" s="12" t="s">
        <v>4</v>
      </c>
      <c r="D150" s="1"/>
      <c r="F150" s="11">
        <v>39600</v>
      </c>
      <c r="G150" s="12">
        <v>1309</v>
      </c>
      <c r="H150" s="12" t="s">
        <v>14</v>
      </c>
    </row>
    <row r="151" spans="1:8" x14ac:dyDescent="0.25">
      <c r="A151" s="11">
        <v>40360</v>
      </c>
      <c r="B151" s="12">
        <v>8920</v>
      </c>
      <c r="C151" s="12" t="s">
        <v>5</v>
      </c>
      <c r="D151" s="1"/>
      <c r="F151" s="11">
        <v>39600</v>
      </c>
      <c r="G151" s="12">
        <v>1</v>
      </c>
      <c r="H151" s="12" t="s">
        <v>29</v>
      </c>
    </row>
    <row r="152" spans="1:8" x14ac:dyDescent="0.25">
      <c r="A152" s="11">
        <v>40360</v>
      </c>
      <c r="B152" s="12">
        <v>10928</v>
      </c>
      <c r="C152" s="12" t="s">
        <v>2</v>
      </c>
      <c r="D152" s="1"/>
      <c r="F152" s="11">
        <v>39630</v>
      </c>
      <c r="G152" s="12">
        <v>6113</v>
      </c>
      <c r="H152" s="12" t="s">
        <v>15</v>
      </c>
    </row>
    <row r="153" spans="1:8" x14ac:dyDescent="0.25">
      <c r="A153" s="11">
        <v>40391</v>
      </c>
      <c r="B153" s="12">
        <v>1461</v>
      </c>
      <c r="C153" s="12" t="s">
        <v>4</v>
      </c>
      <c r="D153" s="1"/>
      <c r="F153" s="11">
        <v>39630</v>
      </c>
      <c r="G153" s="12">
        <v>18873</v>
      </c>
      <c r="H153" s="12" t="s">
        <v>16</v>
      </c>
    </row>
    <row r="154" spans="1:8" x14ac:dyDescent="0.25">
      <c r="A154" s="11">
        <v>40391</v>
      </c>
      <c r="B154" s="12">
        <v>11465</v>
      </c>
      <c r="C154" s="12" t="s">
        <v>5</v>
      </c>
      <c r="D154" s="1"/>
      <c r="F154" s="11">
        <v>39630</v>
      </c>
      <c r="G154" s="12">
        <v>811</v>
      </c>
      <c r="H154" s="12" t="s">
        <v>14</v>
      </c>
    </row>
    <row r="155" spans="1:8" x14ac:dyDescent="0.25">
      <c r="A155" s="11">
        <v>40391</v>
      </c>
      <c r="B155" s="12">
        <v>11705</v>
      </c>
      <c r="C155" s="12" t="s">
        <v>2</v>
      </c>
      <c r="D155" s="1"/>
      <c r="F155" s="11">
        <v>39630</v>
      </c>
      <c r="G155" s="12">
        <v>15</v>
      </c>
      <c r="H155" s="12" t="s">
        <v>29</v>
      </c>
    </row>
    <row r="156" spans="1:8" x14ac:dyDescent="0.25">
      <c r="A156" s="11">
        <v>40422</v>
      </c>
      <c r="B156" s="12">
        <v>2033</v>
      </c>
      <c r="C156" s="12" t="s">
        <v>4</v>
      </c>
      <c r="D156" s="1"/>
      <c r="F156" s="11">
        <v>39661</v>
      </c>
      <c r="G156" s="12">
        <v>4624</v>
      </c>
      <c r="H156" s="12" t="s">
        <v>15</v>
      </c>
    </row>
    <row r="157" spans="1:8" x14ac:dyDescent="0.25">
      <c r="A157" s="11">
        <v>40422</v>
      </c>
      <c r="B157" s="12">
        <v>14145</v>
      </c>
      <c r="C157" s="12" t="s">
        <v>5</v>
      </c>
      <c r="D157" s="1"/>
      <c r="F157" s="11">
        <v>39661</v>
      </c>
      <c r="G157" s="12">
        <v>19877</v>
      </c>
      <c r="H157" s="12" t="s">
        <v>16</v>
      </c>
    </row>
    <row r="158" spans="1:8" x14ac:dyDescent="0.25">
      <c r="A158" s="11">
        <v>40422</v>
      </c>
      <c r="B158" s="12">
        <v>9087</v>
      </c>
      <c r="C158" s="12" t="s">
        <v>2</v>
      </c>
      <c r="D158" s="1"/>
      <c r="F158" s="11">
        <v>39661</v>
      </c>
      <c r="G158" s="12">
        <v>631</v>
      </c>
      <c r="H158" s="12" t="s">
        <v>14</v>
      </c>
    </row>
    <row r="159" spans="1:8" x14ac:dyDescent="0.25">
      <c r="A159" s="11">
        <v>40452</v>
      </c>
      <c r="B159" s="12">
        <v>2689</v>
      </c>
      <c r="C159" s="12" t="s">
        <v>4</v>
      </c>
      <c r="D159" s="1"/>
      <c r="F159" s="11">
        <v>39661</v>
      </c>
      <c r="G159" s="12">
        <v>79</v>
      </c>
      <c r="H159" s="12" t="s">
        <v>29</v>
      </c>
    </row>
    <row r="160" spans="1:8" x14ac:dyDescent="0.25">
      <c r="A160" s="11">
        <v>40452</v>
      </c>
      <c r="B160" s="12">
        <v>16225</v>
      </c>
      <c r="C160" s="12" t="s">
        <v>5</v>
      </c>
      <c r="D160" s="1"/>
      <c r="F160" s="11">
        <v>39692</v>
      </c>
      <c r="G160" s="12">
        <v>2694</v>
      </c>
      <c r="H160" s="12" t="s">
        <v>15</v>
      </c>
    </row>
    <row r="161" spans="1:8" x14ac:dyDescent="0.25">
      <c r="A161" s="11">
        <v>40452</v>
      </c>
      <c r="B161" s="12">
        <v>10222</v>
      </c>
      <c r="C161" s="12" t="s">
        <v>2</v>
      </c>
      <c r="D161" s="1"/>
      <c r="F161" s="11">
        <v>39692</v>
      </c>
      <c r="G161" s="12">
        <v>15831</v>
      </c>
      <c r="H161" s="12" t="s">
        <v>16</v>
      </c>
    </row>
    <row r="162" spans="1:8" x14ac:dyDescent="0.25">
      <c r="A162" s="11">
        <v>40483</v>
      </c>
      <c r="B162" s="12">
        <v>3023</v>
      </c>
      <c r="C162" s="12" t="s">
        <v>4</v>
      </c>
      <c r="D162" s="1"/>
      <c r="F162" s="11">
        <v>39692</v>
      </c>
      <c r="G162" s="12">
        <v>399</v>
      </c>
      <c r="H162" s="12" t="s">
        <v>14</v>
      </c>
    </row>
    <row r="163" spans="1:8" x14ac:dyDescent="0.25">
      <c r="A163" s="11">
        <v>40483</v>
      </c>
      <c r="B163" s="12">
        <v>17136</v>
      </c>
      <c r="C163" s="12" t="s">
        <v>5</v>
      </c>
      <c r="D163" s="1"/>
      <c r="F163" s="11">
        <v>39692</v>
      </c>
      <c r="G163" s="12">
        <v>49</v>
      </c>
      <c r="H163" s="12" t="s">
        <v>29</v>
      </c>
    </row>
    <row r="164" spans="1:8" x14ac:dyDescent="0.25">
      <c r="A164" s="11">
        <v>40483</v>
      </c>
      <c r="B164" s="12">
        <v>10705</v>
      </c>
      <c r="C164" s="12" t="s">
        <v>2</v>
      </c>
      <c r="D164" s="1"/>
      <c r="F164" s="11">
        <v>39722</v>
      </c>
      <c r="G164" s="12">
        <v>1729</v>
      </c>
      <c r="H164" s="12" t="s">
        <v>15</v>
      </c>
    </row>
    <row r="165" spans="1:8" x14ac:dyDescent="0.25">
      <c r="A165" s="11">
        <v>40513</v>
      </c>
      <c r="B165" s="12">
        <v>3476</v>
      </c>
      <c r="C165" s="12" t="s">
        <v>4</v>
      </c>
      <c r="D165" s="1"/>
      <c r="F165" s="11">
        <v>39722</v>
      </c>
      <c r="G165" s="12">
        <v>10860</v>
      </c>
      <c r="H165" s="12" t="s">
        <v>16</v>
      </c>
    </row>
    <row r="166" spans="1:8" x14ac:dyDescent="0.25">
      <c r="A166" s="11">
        <v>40513</v>
      </c>
      <c r="B166" s="12">
        <v>19481</v>
      </c>
      <c r="C166" s="12" t="s">
        <v>5</v>
      </c>
      <c r="D166" s="1"/>
      <c r="F166" s="11">
        <v>39722</v>
      </c>
      <c r="G166" s="12">
        <v>287</v>
      </c>
      <c r="H166" s="12" t="s">
        <v>14</v>
      </c>
    </row>
    <row r="167" spans="1:8" x14ac:dyDescent="0.25">
      <c r="A167" s="11">
        <v>40513</v>
      </c>
      <c r="B167" s="12">
        <v>11420</v>
      </c>
      <c r="C167" s="12" t="s">
        <v>2</v>
      </c>
      <c r="D167" s="1"/>
      <c r="F167" s="11">
        <v>39722</v>
      </c>
      <c r="G167" s="12">
        <v>52</v>
      </c>
      <c r="H167" s="12" t="s">
        <v>29</v>
      </c>
    </row>
    <row r="168" spans="1:8" x14ac:dyDescent="0.25">
      <c r="A168" s="11">
        <v>40544</v>
      </c>
      <c r="B168" s="12">
        <v>3223</v>
      </c>
      <c r="C168" s="12" t="s">
        <v>4</v>
      </c>
      <c r="D168" s="1"/>
      <c r="F168" s="11">
        <v>39753</v>
      </c>
      <c r="G168" s="12">
        <v>1766</v>
      </c>
      <c r="H168" s="12" t="s">
        <v>15</v>
      </c>
    </row>
    <row r="169" spans="1:8" x14ac:dyDescent="0.25">
      <c r="A169" s="11">
        <v>40544</v>
      </c>
      <c r="B169" s="12">
        <v>21472</v>
      </c>
      <c r="C169" s="12" t="s">
        <v>5</v>
      </c>
      <c r="D169" s="1"/>
      <c r="F169" s="11">
        <v>39753</v>
      </c>
      <c r="G169" s="12">
        <v>10948</v>
      </c>
      <c r="H169" s="12" t="s">
        <v>16</v>
      </c>
    </row>
    <row r="170" spans="1:8" x14ac:dyDescent="0.25">
      <c r="A170" s="11">
        <v>40544</v>
      </c>
      <c r="B170" s="12">
        <v>11990</v>
      </c>
      <c r="C170" s="12" t="s">
        <v>2</v>
      </c>
      <c r="D170" s="1"/>
      <c r="F170" s="11">
        <v>39753</v>
      </c>
      <c r="G170" s="12">
        <v>320</v>
      </c>
      <c r="H170" s="12" t="s">
        <v>14</v>
      </c>
    </row>
    <row r="171" spans="1:8" x14ac:dyDescent="0.25">
      <c r="A171" s="11">
        <v>40575</v>
      </c>
      <c r="B171" s="12">
        <v>3437</v>
      </c>
      <c r="C171" s="12" t="s">
        <v>4</v>
      </c>
      <c r="D171" s="1"/>
      <c r="F171" s="11">
        <v>39753</v>
      </c>
      <c r="G171" s="12">
        <v>210</v>
      </c>
      <c r="H171" s="12" t="s">
        <v>29</v>
      </c>
    </row>
    <row r="172" spans="1:8" x14ac:dyDescent="0.25">
      <c r="A172" s="11">
        <v>40575</v>
      </c>
      <c r="B172" s="12">
        <v>20596</v>
      </c>
      <c r="C172" s="12" t="s">
        <v>5</v>
      </c>
      <c r="D172" s="1"/>
      <c r="F172" s="11">
        <v>39783</v>
      </c>
      <c r="G172" s="12">
        <v>2126</v>
      </c>
      <c r="H172" s="12" t="s">
        <v>15</v>
      </c>
    </row>
    <row r="173" spans="1:8" x14ac:dyDescent="0.25">
      <c r="A173" s="11">
        <v>40575</v>
      </c>
      <c r="B173" s="12">
        <v>12179</v>
      </c>
      <c r="C173" s="12" t="s">
        <v>2</v>
      </c>
      <c r="D173" s="1"/>
      <c r="F173" s="11">
        <v>39783</v>
      </c>
      <c r="G173" s="12">
        <v>9981</v>
      </c>
      <c r="H173" s="12" t="s">
        <v>16</v>
      </c>
    </row>
    <row r="174" spans="1:8" x14ac:dyDescent="0.25">
      <c r="A174" s="11">
        <v>40603</v>
      </c>
      <c r="B174" s="12">
        <v>2289</v>
      </c>
      <c r="C174" s="12" t="s">
        <v>4</v>
      </c>
      <c r="D174" s="1"/>
      <c r="F174" s="11">
        <v>39783</v>
      </c>
      <c r="G174" s="12">
        <v>501</v>
      </c>
      <c r="H174" s="12" t="s">
        <v>14</v>
      </c>
    </row>
    <row r="175" spans="1:8" x14ac:dyDescent="0.25">
      <c r="A175" s="11">
        <v>40603</v>
      </c>
      <c r="B175" s="12">
        <v>19129</v>
      </c>
      <c r="C175" s="12" t="s">
        <v>5</v>
      </c>
      <c r="D175" s="1"/>
      <c r="F175" s="11">
        <v>39783</v>
      </c>
      <c r="G175" s="12">
        <v>268</v>
      </c>
      <c r="H175" s="12" t="s">
        <v>29</v>
      </c>
    </row>
    <row r="176" spans="1:8" x14ac:dyDescent="0.25">
      <c r="A176" s="11">
        <v>40603</v>
      </c>
      <c r="B176" s="12">
        <v>9844</v>
      </c>
      <c r="C176" s="12" t="s">
        <v>2</v>
      </c>
      <c r="D176" s="1"/>
      <c r="F176" s="11">
        <v>39814</v>
      </c>
      <c r="G176" s="12">
        <v>1115</v>
      </c>
      <c r="H176" s="12" t="s">
        <v>15</v>
      </c>
    </row>
    <row r="177" spans="1:8" x14ac:dyDescent="0.25">
      <c r="A177" s="11">
        <v>40634</v>
      </c>
      <c r="B177" s="12">
        <v>1049</v>
      </c>
      <c r="C177" s="12" t="s">
        <v>4</v>
      </c>
      <c r="D177" s="1"/>
      <c r="F177" s="11">
        <v>39814</v>
      </c>
      <c r="G177" s="12">
        <v>6789</v>
      </c>
      <c r="H177" s="12" t="s">
        <v>16</v>
      </c>
    </row>
    <row r="178" spans="1:8" x14ac:dyDescent="0.25">
      <c r="A178" s="11">
        <v>40634</v>
      </c>
      <c r="B178" s="12">
        <v>14334</v>
      </c>
      <c r="C178" s="12" t="s">
        <v>5</v>
      </c>
      <c r="D178" s="1"/>
      <c r="F178" s="11">
        <v>39814</v>
      </c>
      <c r="G178" s="12">
        <v>255</v>
      </c>
      <c r="H178" s="12" t="s">
        <v>14</v>
      </c>
    </row>
    <row r="179" spans="1:8" x14ac:dyDescent="0.25">
      <c r="A179" s="11">
        <v>40634</v>
      </c>
      <c r="B179" s="12">
        <v>7742</v>
      </c>
      <c r="C179" s="12" t="s">
        <v>2</v>
      </c>
      <c r="D179" s="1"/>
      <c r="F179" s="11">
        <v>39814</v>
      </c>
      <c r="G179" s="12">
        <v>365</v>
      </c>
      <c r="H179" s="12" t="s">
        <v>29</v>
      </c>
    </row>
    <row r="180" spans="1:8" x14ac:dyDescent="0.25">
      <c r="A180" s="11">
        <v>40664</v>
      </c>
      <c r="B180" s="12">
        <v>1123</v>
      </c>
      <c r="C180" s="12" t="s">
        <v>4</v>
      </c>
      <c r="D180" s="1"/>
      <c r="F180" s="11">
        <v>39845</v>
      </c>
      <c r="G180" s="12">
        <v>2663</v>
      </c>
      <c r="H180" s="12" t="s">
        <v>15</v>
      </c>
    </row>
    <row r="181" spans="1:8" x14ac:dyDescent="0.25">
      <c r="A181" s="11">
        <v>40664</v>
      </c>
      <c r="B181" s="12">
        <v>10378</v>
      </c>
      <c r="C181" s="12" t="s">
        <v>5</v>
      </c>
      <c r="D181" s="1"/>
      <c r="F181" s="11">
        <v>39845</v>
      </c>
      <c r="G181" s="12">
        <v>8887</v>
      </c>
      <c r="H181" s="12" t="s">
        <v>16</v>
      </c>
    </row>
    <row r="182" spans="1:8" x14ac:dyDescent="0.25">
      <c r="A182" s="11">
        <v>40664</v>
      </c>
      <c r="B182" s="12">
        <v>8335</v>
      </c>
      <c r="C182" s="12" t="s">
        <v>2</v>
      </c>
      <c r="D182" s="1"/>
      <c r="F182" s="11">
        <v>39845</v>
      </c>
      <c r="G182" s="12">
        <v>859</v>
      </c>
      <c r="H182" s="12" t="s">
        <v>14</v>
      </c>
    </row>
    <row r="183" spans="1:8" x14ac:dyDescent="0.25">
      <c r="A183" s="11">
        <v>40695</v>
      </c>
      <c r="B183" s="12">
        <v>944</v>
      </c>
      <c r="C183" s="12" t="s">
        <v>4</v>
      </c>
      <c r="D183" s="1"/>
      <c r="F183" s="11">
        <v>39845</v>
      </c>
      <c r="G183" s="12">
        <v>402</v>
      </c>
      <c r="H183" s="12" t="s">
        <v>29</v>
      </c>
    </row>
    <row r="184" spans="1:8" x14ac:dyDescent="0.25">
      <c r="A184" s="11">
        <v>40695</v>
      </c>
      <c r="B184" s="12">
        <v>9254</v>
      </c>
      <c r="C184" s="12" t="s">
        <v>5</v>
      </c>
      <c r="D184" s="1"/>
      <c r="F184" s="11">
        <v>39873</v>
      </c>
      <c r="G184" s="12">
        <v>6099</v>
      </c>
      <c r="H184" s="12" t="s">
        <v>15</v>
      </c>
    </row>
    <row r="185" spans="1:8" x14ac:dyDescent="0.25">
      <c r="A185" s="11">
        <v>40695</v>
      </c>
      <c r="B185" s="12">
        <v>9229</v>
      </c>
      <c r="C185" s="12" t="s">
        <v>2</v>
      </c>
      <c r="D185" s="1"/>
      <c r="F185" s="11">
        <v>39873</v>
      </c>
      <c r="G185" s="12">
        <v>5388</v>
      </c>
      <c r="H185" s="12" t="s">
        <v>16</v>
      </c>
    </row>
    <row r="186" spans="1:8" x14ac:dyDescent="0.25">
      <c r="A186" s="11">
        <v>40725</v>
      </c>
      <c r="B186" s="12">
        <v>913</v>
      </c>
      <c r="C186" s="12" t="s">
        <v>4</v>
      </c>
      <c r="D186" s="1"/>
      <c r="F186" s="11">
        <v>39873</v>
      </c>
      <c r="G186" s="12">
        <v>2080</v>
      </c>
      <c r="H186" s="12" t="s">
        <v>14</v>
      </c>
    </row>
    <row r="187" spans="1:8" x14ac:dyDescent="0.25">
      <c r="A187" s="11">
        <v>40725</v>
      </c>
      <c r="B187" s="12">
        <v>8125</v>
      </c>
      <c r="C187" s="12" t="s">
        <v>5</v>
      </c>
      <c r="D187" s="1"/>
      <c r="F187" s="11">
        <v>39873</v>
      </c>
      <c r="G187" s="12">
        <v>425</v>
      </c>
      <c r="H187" s="12" t="s">
        <v>29</v>
      </c>
    </row>
    <row r="188" spans="1:8" x14ac:dyDescent="0.25">
      <c r="A188" s="11">
        <v>40725</v>
      </c>
      <c r="B188" s="12">
        <v>9883</v>
      </c>
      <c r="C188" s="12" t="s">
        <v>2</v>
      </c>
      <c r="D188" s="1"/>
      <c r="F188" s="11">
        <v>39904</v>
      </c>
      <c r="G188" s="12">
        <v>7514</v>
      </c>
      <c r="H188" s="12" t="s">
        <v>15</v>
      </c>
    </row>
    <row r="189" spans="1:8" x14ac:dyDescent="0.25">
      <c r="A189" s="11">
        <v>40756</v>
      </c>
      <c r="B189" s="12">
        <v>1124</v>
      </c>
      <c r="C189" s="12" t="s">
        <v>4</v>
      </c>
      <c r="D189" s="1"/>
      <c r="F189" s="11">
        <v>39904</v>
      </c>
      <c r="G189" s="12">
        <v>6051</v>
      </c>
      <c r="H189" s="12" t="s">
        <v>16</v>
      </c>
    </row>
    <row r="190" spans="1:8" x14ac:dyDescent="0.25">
      <c r="A190" s="11">
        <v>40756</v>
      </c>
      <c r="B190" s="12">
        <v>8682</v>
      </c>
      <c r="C190" s="12" t="s">
        <v>5</v>
      </c>
      <c r="D190" s="1"/>
      <c r="F190" s="11">
        <v>39904</v>
      </c>
      <c r="G190" s="12">
        <v>2392</v>
      </c>
      <c r="H190" s="12" t="s">
        <v>14</v>
      </c>
    </row>
    <row r="191" spans="1:8" x14ac:dyDescent="0.25">
      <c r="A191" s="11">
        <v>40756</v>
      </c>
      <c r="B191" s="12">
        <v>12783</v>
      </c>
      <c r="C191" s="12" t="s">
        <v>2</v>
      </c>
      <c r="D191" s="1"/>
      <c r="F191" s="11">
        <v>39904</v>
      </c>
      <c r="G191" s="12">
        <v>430</v>
      </c>
      <c r="H191" s="12" t="s">
        <v>29</v>
      </c>
    </row>
    <row r="192" spans="1:8" x14ac:dyDescent="0.25">
      <c r="A192" s="11">
        <v>40787</v>
      </c>
      <c r="B192" s="12">
        <v>1275</v>
      </c>
      <c r="C192" s="12" t="s">
        <v>4</v>
      </c>
      <c r="D192" s="1"/>
      <c r="F192" s="11">
        <v>39934</v>
      </c>
      <c r="G192" s="12">
        <v>7386</v>
      </c>
      <c r="H192" s="12" t="s">
        <v>15</v>
      </c>
    </row>
    <row r="193" spans="1:8" x14ac:dyDescent="0.25">
      <c r="A193" s="11">
        <v>40787</v>
      </c>
      <c r="B193" s="12">
        <v>9175</v>
      </c>
      <c r="C193" s="12" t="s">
        <v>5</v>
      </c>
      <c r="D193" s="1"/>
      <c r="F193" s="11">
        <v>39934</v>
      </c>
      <c r="G193" s="12">
        <v>8287</v>
      </c>
      <c r="H193" s="12" t="s">
        <v>16</v>
      </c>
    </row>
    <row r="194" spans="1:8" x14ac:dyDescent="0.25">
      <c r="A194" s="11">
        <v>40787</v>
      </c>
      <c r="B194" s="12">
        <v>12304</v>
      </c>
      <c r="C194" s="12" t="s">
        <v>2</v>
      </c>
      <c r="D194" s="1"/>
      <c r="F194" s="11">
        <v>39934</v>
      </c>
      <c r="G194" s="12">
        <v>2486</v>
      </c>
      <c r="H194" s="12" t="s">
        <v>14</v>
      </c>
    </row>
    <row r="195" spans="1:8" x14ac:dyDescent="0.25">
      <c r="A195" s="11">
        <v>40817</v>
      </c>
      <c r="B195" s="12">
        <v>1436</v>
      </c>
      <c r="C195" s="12" t="s">
        <v>4</v>
      </c>
      <c r="D195" s="1"/>
      <c r="F195" s="11">
        <v>39934</v>
      </c>
      <c r="G195" s="12">
        <v>172</v>
      </c>
      <c r="H195" s="12" t="s">
        <v>29</v>
      </c>
    </row>
    <row r="196" spans="1:8" x14ac:dyDescent="0.25">
      <c r="A196" s="11">
        <v>40817</v>
      </c>
      <c r="B196" s="12">
        <v>9463</v>
      </c>
      <c r="C196" s="12" t="s">
        <v>5</v>
      </c>
      <c r="D196" s="1"/>
      <c r="F196" s="11">
        <v>39965</v>
      </c>
      <c r="G196" s="12">
        <v>5841</v>
      </c>
      <c r="H196" s="12" t="s">
        <v>15</v>
      </c>
    </row>
    <row r="197" spans="1:8" x14ac:dyDescent="0.25">
      <c r="A197" s="11">
        <v>40817</v>
      </c>
      <c r="B197" s="12">
        <v>13007</v>
      </c>
      <c r="C197" s="12" t="s">
        <v>2</v>
      </c>
      <c r="D197" s="1"/>
      <c r="F197" s="11">
        <v>39965</v>
      </c>
      <c r="G197" s="12">
        <v>7906</v>
      </c>
      <c r="H197" s="12" t="s">
        <v>16</v>
      </c>
    </row>
    <row r="198" spans="1:8" x14ac:dyDescent="0.25">
      <c r="A198" s="11">
        <v>40848</v>
      </c>
      <c r="B198" s="12">
        <v>2096</v>
      </c>
      <c r="C198" s="12" t="s">
        <v>4</v>
      </c>
      <c r="D198" s="1"/>
      <c r="F198" s="11">
        <v>39965</v>
      </c>
      <c r="G198" s="12">
        <v>5241</v>
      </c>
      <c r="H198" s="12" t="s">
        <v>14</v>
      </c>
    </row>
    <row r="199" spans="1:8" x14ac:dyDescent="0.25">
      <c r="A199" s="11">
        <v>40848</v>
      </c>
      <c r="B199" s="12">
        <v>10505</v>
      </c>
      <c r="C199" s="12" t="s">
        <v>5</v>
      </c>
      <c r="D199" s="1"/>
      <c r="F199" s="11">
        <v>39965</v>
      </c>
      <c r="G199" s="12">
        <v>146</v>
      </c>
      <c r="H199" s="12" t="s">
        <v>29</v>
      </c>
    </row>
    <row r="200" spans="1:8" x14ac:dyDescent="0.25">
      <c r="A200" s="11">
        <v>40848</v>
      </c>
      <c r="B200" s="12">
        <v>13522</v>
      </c>
      <c r="C200" s="12" t="s">
        <v>2</v>
      </c>
      <c r="D200" s="1"/>
      <c r="F200" s="11">
        <v>39995</v>
      </c>
      <c r="G200" s="12">
        <v>5508</v>
      </c>
      <c r="H200" s="12" t="s">
        <v>15</v>
      </c>
    </row>
    <row r="201" spans="1:8" x14ac:dyDescent="0.25">
      <c r="A201" s="11">
        <v>40878</v>
      </c>
      <c r="B201" s="12">
        <v>2179</v>
      </c>
      <c r="C201" s="12" t="s">
        <v>4</v>
      </c>
      <c r="D201" s="1"/>
      <c r="F201" s="11">
        <v>39995</v>
      </c>
      <c r="G201" s="12">
        <v>8168</v>
      </c>
      <c r="H201" s="12" t="s">
        <v>16</v>
      </c>
    </row>
    <row r="202" spans="1:8" x14ac:dyDescent="0.25">
      <c r="A202" s="11">
        <v>40878</v>
      </c>
      <c r="B202" s="12">
        <v>12243</v>
      </c>
      <c r="C202" s="12" t="s">
        <v>5</v>
      </c>
      <c r="D202" s="1"/>
      <c r="F202" s="11">
        <v>39995</v>
      </c>
      <c r="G202" s="12">
        <v>10999</v>
      </c>
      <c r="H202" s="12" t="s">
        <v>14</v>
      </c>
    </row>
    <row r="203" spans="1:8" x14ac:dyDescent="0.25">
      <c r="A203" s="11">
        <v>40878</v>
      </c>
      <c r="B203" s="12">
        <v>12615</v>
      </c>
      <c r="C203" s="12" t="s">
        <v>2</v>
      </c>
      <c r="D203" s="1"/>
      <c r="F203" s="11">
        <v>39995</v>
      </c>
      <c r="G203" s="12">
        <v>95</v>
      </c>
      <c r="H203" s="12" t="s">
        <v>29</v>
      </c>
    </row>
    <row r="204" spans="1:8" x14ac:dyDescent="0.25">
      <c r="A204" s="11">
        <v>40909</v>
      </c>
      <c r="B204" s="12">
        <v>2423</v>
      </c>
      <c r="C204" s="12" t="s">
        <v>4</v>
      </c>
      <c r="D204" s="1"/>
      <c r="F204" s="11">
        <v>40026</v>
      </c>
      <c r="G204" s="12">
        <v>4856</v>
      </c>
      <c r="H204" s="12" t="s">
        <v>15</v>
      </c>
    </row>
    <row r="205" spans="1:8" x14ac:dyDescent="0.25">
      <c r="A205" s="11">
        <v>40909</v>
      </c>
      <c r="B205" s="12">
        <v>12815</v>
      </c>
      <c r="C205" s="12" t="s">
        <v>5</v>
      </c>
      <c r="D205" s="1"/>
      <c r="F205" s="11">
        <v>40026</v>
      </c>
      <c r="G205" s="12">
        <v>9613</v>
      </c>
      <c r="H205" s="12" t="s">
        <v>16</v>
      </c>
    </row>
    <row r="206" spans="1:8" x14ac:dyDescent="0.25">
      <c r="A206" s="11">
        <v>40909</v>
      </c>
      <c r="B206" s="12">
        <v>12585</v>
      </c>
      <c r="C206" s="12" t="s">
        <v>2</v>
      </c>
      <c r="D206" s="1"/>
      <c r="F206" s="11">
        <v>40026</v>
      </c>
      <c r="G206" s="12">
        <v>17240</v>
      </c>
      <c r="H206" s="12" t="s">
        <v>14</v>
      </c>
    </row>
    <row r="207" spans="1:8" x14ac:dyDescent="0.25">
      <c r="A207" s="11">
        <v>40940</v>
      </c>
      <c r="B207" s="12">
        <v>2627</v>
      </c>
      <c r="C207" s="12" t="s">
        <v>4</v>
      </c>
      <c r="D207" s="1"/>
      <c r="F207" s="11">
        <v>40026</v>
      </c>
      <c r="G207" s="12">
        <v>94</v>
      </c>
      <c r="H207" s="12" t="s">
        <v>29</v>
      </c>
    </row>
    <row r="208" spans="1:8" x14ac:dyDescent="0.25">
      <c r="A208" s="11">
        <v>40940</v>
      </c>
      <c r="B208" s="12">
        <v>12292</v>
      </c>
      <c r="C208" s="12" t="s">
        <v>5</v>
      </c>
      <c r="D208" s="1"/>
      <c r="F208" s="11">
        <v>40057</v>
      </c>
      <c r="G208" s="12">
        <v>3173</v>
      </c>
      <c r="H208" s="12" t="s">
        <v>15</v>
      </c>
    </row>
    <row r="209" spans="1:8" x14ac:dyDescent="0.25">
      <c r="A209" s="11">
        <v>40940</v>
      </c>
      <c r="B209" s="12">
        <v>12911</v>
      </c>
      <c r="C209" s="12" t="s">
        <v>2</v>
      </c>
      <c r="D209" s="1"/>
      <c r="F209" s="11">
        <v>40057</v>
      </c>
      <c r="G209" s="12">
        <v>10376</v>
      </c>
      <c r="H209" s="12" t="s">
        <v>16</v>
      </c>
    </row>
    <row r="210" spans="1:8" x14ac:dyDescent="0.25">
      <c r="A210" s="11">
        <v>40969</v>
      </c>
      <c r="B210" s="12">
        <v>2188</v>
      </c>
      <c r="C210" s="12" t="s">
        <v>4</v>
      </c>
      <c r="D210" s="1"/>
      <c r="F210" s="11">
        <v>40057</v>
      </c>
      <c r="G210" s="12">
        <v>15625</v>
      </c>
      <c r="H210" s="12" t="s">
        <v>14</v>
      </c>
    </row>
    <row r="211" spans="1:8" x14ac:dyDescent="0.25">
      <c r="A211" s="11">
        <v>40969</v>
      </c>
      <c r="B211" s="12">
        <v>16201</v>
      </c>
      <c r="C211" s="12" t="s">
        <v>5</v>
      </c>
      <c r="D211" s="1"/>
      <c r="F211" s="11">
        <v>40057</v>
      </c>
      <c r="G211" s="12">
        <v>126</v>
      </c>
      <c r="H211" s="12" t="s">
        <v>29</v>
      </c>
    </row>
    <row r="212" spans="1:8" x14ac:dyDescent="0.25">
      <c r="A212" s="11">
        <v>40969</v>
      </c>
      <c r="B212" s="12">
        <v>10963</v>
      </c>
      <c r="C212" s="12" t="s">
        <v>2</v>
      </c>
      <c r="D212" s="1"/>
      <c r="F212" s="11">
        <v>40087</v>
      </c>
      <c r="G212" s="12">
        <v>1960</v>
      </c>
      <c r="H212" s="12" t="s">
        <v>15</v>
      </c>
    </row>
    <row r="213" spans="1:8" x14ac:dyDescent="0.25">
      <c r="A213" s="11">
        <v>41000</v>
      </c>
      <c r="B213" s="12">
        <v>2297</v>
      </c>
      <c r="C213" s="12" t="s">
        <v>4</v>
      </c>
      <c r="D213" s="1"/>
      <c r="F213" s="11">
        <v>40087</v>
      </c>
      <c r="G213" s="12">
        <v>8541</v>
      </c>
      <c r="H213" s="12" t="s">
        <v>16</v>
      </c>
    </row>
    <row r="214" spans="1:8" x14ac:dyDescent="0.25">
      <c r="A214" s="11">
        <v>41000</v>
      </c>
      <c r="B214" s="12">
        <v>23479</v>
      </c>
      <c r="C214" s="12" t="s">
        <v>5</v>
      </c>
      <c r="D214" s="1"/>
      <c r="F214" s="11">
        <v>40087</v>
      </c>
      <c r="G214" s="12">
        <v>10307</v>
      </c>
      <c r="H214" s="12" t="s">
        <v>14</v>
      </c>
    </row>
    <row r="215" spans="1:8" x14ac:dyDescent="0.25">
      <c r="A215" s="11">
        <v>41000</v>
      </c>
      <c r="B215" s="12">
        <v>14120</v>
      </c>
      <c r="C215" s="12" t="s">
        <v>2</v>
      </c>
      <c r="D215" s="1"/>
      <c r="F215" s="11">
        <v>40087</v>
      </c>
      <c r="G215" s="12">
        <v>142</v>
      </c>
      <c r="H215" s="12" t="s">
        <v>29</v>
      </c>
    </row>
    <row r="216" spans="1:8" x14ac:dyDescent="0.25">
      <c r="A216" s="11">
        <v>41030</v>
      </c>
      <c r="B216" s="12">
        <v>2473</v>
      </c>
      <c r="C216" s="12" t="s">
        <v>4</v>
      </c>
      <c r="D216" s="1"/>
      <c r="F216" s="11">
        <v>40118</v>
      </c>
      <c r="G216" s="12">
        <v>1491</v>
      </c>
      <c r="H216" s="12" t="s">
        <v>15</v>
      </c>
    </row>
    <row r="217" spans="1:8" x14ac:dyDescent="0.25">
      <c r="A217" s="11">
        <v>41030</v>
      </c>
      <c r="B217" s="12">
        <v>26624</v>
      </c>
      <c r="C217" s="12" t="s">
        <v>5</v>
      </c>
      <c r="D217" s="1"/>
      <c r="F217" s="11">
        <v>40118</v>
      </c>
      <c r="G217" s="12">
        <v>8041</v>
      </c>
      <c r="H217" s="12" t="s">
        <v>16</v>
      </c>
    </row>
    <row r="218" spans="1:8" x14ac:dyDescent="0.25">
      <c r="A218" s="11">
        <v>41030</v>
      </c>
      <c r="B218" s="12">
        <v>17374</v>
      </c>
      <c r="C218" s="12" t="s">
        <v>2</v>
      </c>
      <c r="D218" s="1"/>
      <c r="F218" s="11">
        <v>40118</v>
      </c>
      <c r="G218" s="12">
        <v>7916</v>
      </c>
      <c r="H218" s="12" t="s">
        <v>14</v>
      </c>
    </row>
    <row r="219" spans="1:8" x14ac:dyDescent="0.25">
      <c r="A219" s="11">
        <v>41061</v>
      </c>
      <c r="B219" s="12">
        <v>2333</v>
      </c>
      <c r="C219" s="12" t="s">
        <v>4</v>
      </c>
      <c r="D219" s="1"/>
      <c r="F219" s="11">
        <v>40118</v>
      </c>
      <c r="G219" s="12">
        <v>145</v>
      </c>
      <c r="H219" s="12" t="s">
        <v>29</v>
      </c>
    </row>
    <row r="220" spans="1:8" x14ac:dyDescent="0.25">
      <c r="A220" s="11">
        <v>41061</v>
      </c>
      <c r="B220" s="12">
        <v>32318</v>
      </c>
      <c r="C220" s="12" t="s">
        <v>5</v>
      </c>
      <c r="D220" s="1"/>
      <c r="F220" s="11">
        <v>40148</v>
      </c>
      <c r="G220" s="12">
        <v>1850</v>
      </c>
      <c r="H220" s="12" t="s">
        <v>15</v>
      </c>
    </row>
    <row r="221" spans="1:8" x14ac:dyDescent="0.25">
      <c r="A221" s="11">
        <v>41061</v>
      </c>
      <c r="B221" s="12">
        <v>21360</v>
      </c>
      <c r="C221" s="12" t="s">
        <v>2</v>
      </c>
      <c r="D221" s="1"/>
      <c r="F221" s="11">
        <v>40148</v>
      </c>
      <c r="G221" s="12">
        <v>8345</v>
      </c>
      <c r="H221" s="12" t="s">
        <v>16</v>
      </c>
    </row>
    <row r="222" spans="1:8" x14ac:dyDescent="0.25">
      <c r="A222" s="11">
        <v>41091</v>
      </c>
      <c r="B222" s="12">
        <v>1991</v>
      </c>
      <c r="C222" s="12" t="s">
        <v>4</v>
      </c>
      <c r="D222" s="1"/>
      <c r="F222" s="11">
        <v>40148</v>
      </c>
      <c r="G222" s="12">
        <v>10797</v>
      </c>
      <c r="H222" s="12" t="s">
        <v>14</v>
      </c>
    </row>
    <row r="223" spans="1:8" x14ac:dyDescent="0.25">
      <c r="A223" s="11">
        <v>41091</v>
      </c>
      <c r="B223" s="12">
        <v>34641</v>
      </c>
      <c r="C223" s="12" t="s">
        <v>5</v>
      </c>
      <c r="D223" s="1"/>
      <c r="F223" s="11">
        <v>40148</v>
      </c>
      <c r="G223" s="12">
        <v>189</v>
      </c>
      <c r="H223" s="12" t="s">
        <v>29</v>
      </c>
    </row>
    <row r="224" spans="1:8" x14ac:dyDescent="0.25">
      <c r="A224" s="11">
        <v>41091</v>
      </c>
      <c r="B224" s="12">
        <v>23277</v>
      </c>
      <c r="C224" s="12" t="s">
        <v>2</v>
      </c>
      <c r="D224" s="1"/>
      <c r="F224" s="11">
        <v>40179</v>
      </c>
      <c r="G224" s="12">
        <v>2131</v>
      </c>
      <c r="H224" s="12" t="s">
        <v>15</v>
      </c>
    </row>
    <row r="225" spans="1:8" x14ac:dyDescent="0.25">
      <c r="A225" s="11">
        <v>41122</v>
      </c>
      <c r="B225" s="12">
        <v>2142</v>
      </c>
      <c r="C225" s="12" t="s">
        <v>4</v>
      </c>
      <c r="D225" s="1"/>
      <c r="F225" s="11">
        <v>40179</v>
      </c>
      <c r="G225" s="12">
        <v>8087</v>
      </c>
      <c r="H225" s="12" t="s">
        <v>16</v>
      </c>
    </row>
    <row r="226" spans="1:8" x14ac:dyDescent="0.25">
      <c r="A226" s="11">
        <v>41122</v>
      </c>
      <c r="B226" s="12">
        <v>31882</v>
      </c>
      <c r="C226" s="12" t="s">
        <v>5</v>
      </c>
      <c r="D226" s="1"/>
      <c r="F226" s="11">
        <v>40179</v>
      </c>
      <c r="G226" s="12">
        <v>14023</v>
      </c>
      <c r="H226" s="12" t="s">
        <v>14</v>
      </c>
    </row>
    <row r="227" spans="1:8" x14ac:dyDescent="0.25">
      <c r="A227" s="11">
        <v>41122</v>
      </c>
      <c r="B227" s="12">
        <v>25495</v>
      </c>
      <c r="C227" s="12" t="s">
        <v>2</v>
      </c>
      <c r="D227" s="1"/>
      <c r="F227" s="11">
        <v>40179</v>
      </c>
      <c r="G227" s="12">
        <v>211</v>
      </c>
      <c r="H227" s="12" t="s">
        <v>29</v>
      </c>
    </row>
    <row r="228" spans="1:8" x14ac:dyDescent="0.25">
      <c r="A228" s="11">
        <v>41153</v>
      </c>
      <c r="B228" s="12">
        <v>3257</v>
      </c>
      <c r="C228" s="12" t="s">
        <v>4</v>
      </c>
      <c r="D228" s="1"/>
      <c r="F228" s="11">
        <v>40210</v>
      </c>
      <c r="G228" s="12">
        <v>2276</v>
      </c>
      <c r="H228" s="12" t="s">
        <v>15</v>
      </c>
    </row>
    <row r="229" spans="1:8" x14ac:dyDescent="0.25">
      <c r="A229" s="11">
        <v>41153</v>
      </c>
      <c r="B229" s="12">
        <v>30538</v>
      </c>
      <c r="C229" s="12" t="s">
        <v>5</v>
      </c>
      <c r="D229" s="1"/>
      <c r="F229" s="11">
        <v>40210</v>
      </c>
      <c r="G229" s="12">
        <v>5452</v>
      </c>
      <c r="H229" s="12" t="s">
        <v>16</v>
      </c>
    </row>
    <row r="230" spans="1:8" x14ac:dyDescent="0.25">
      <c r="A230" s="11">
        <v>41153</v>
      </c>
      <c r="B230" s="12">
        <v>24895</v>
      </c>
      <c r="C230" s="12" t="s">
        <v>2</v>
      </c>
      <c r="D230" s="1"/>
      <c r="F230" s="11">
        <v>40210</v>
      </c>
      <c r="G230" s="12">
        <v>16981</v>
      </c>
      <c r="H230" s="12" t="s">
        <v>14</v>
      </c>
    </row>
    <row r="231" spans="1:8" x14ac:dyDescent="0.25">
      <c r="A231" s="11">
        <v>41183</v>
      </c>
      <c r="B231" s="12">
        <v>4621</v>
      </c>
      <c r="C231" s="12" t="s">
        <v>4</v>
      </c>
      <c r="D231" s="1"/>
      <c r="F231" s="11">
        <v>40210</v>
      </c>
      <c r="G231" s="12">
        <v>1184</v>
      </c>
      <c r="H231" s="12" t="s">
        <v>29</v>
      </c>
    </row>
    <row r="232" spans="1:8" x14ac:dyDescent="0.25">
      <c r="A232" s="11">
        <v>41183</v>
      </c>
      <c r="B232" s="12">
        <v>30467</v>
      </c>
      <c r="C232" s="12" t="s">
        <v>5</v>
      </c>
      <c r="D232" s="1"/>
      <c r="F232" s="11">
        <v>40238</v>
      </c>
      <c r="G232" s="12">
        <v>2184</v>
      </c>
      <c r="H232" s="12" t="s">
        <v>15</v>
      </c>
    </row>
    <row r="233" spans="1:8" x14ac:dyDescent="0.25">
      <c r="A233" s="11">
        <v>41183</v>
      </c>
      <c r="B233" s="12">
        <v>24373</v>
      </c>
      <c r="C233" s="12" t="s">
        <v>2</v>
      </c>
      <c r="D233" s="1"/>
      <c r="F233" s="11">
        <v>40238</v>
      </c>
      <c r="G233" s="12">
        <v>3720</v>
      </c>
      <c r="H233" s="12" t="s">
        <v>16</v>
      </c>
    </row>
    <row r="234" spans="1:8" x14ac:dyDescent="0.25">
      <c r="A234" s="11">
        <v>41214</v>
      </c>
      <c r="B234" s="12">
        <v>5447</v>
      </c>
      <c r="C234" s="12" t="s">
        <v>4</v>
      </c>
      <c r="D234" s="1"/>
      <c r="F234" s="11">
        <v>40238</v>
      </c>
      <c r="G234" s="12">
        <v>15865</v>
      </c>
      <c r="H234" s="12" t="s">
        <v>14</v>
      </c>
    </row>
    <row r="235" spans="1:8" x14ac:dyDescent="0.25">
      <c r="A235" s="11">
        <v>41214</v>
      </c>
      <c r="B235" s="12">
        <v>26984</v>
      </c>
      <c r="C235" s="12" t="s">
        <v>5</v>
      </c>
      <c r="D235" s="1"/>
      <c r="F235" s="11">
        <v>40238</v>
      </c>
      <c r="G235" s="12">
        <v>1022</v>
      </c>
      <c r="H235" s="12" t="s">
        <v>29</v>
      </c>
    </row>
    <row r="236" spans="1:8" x14ac:dyDescent="0.25">
      <c r="A236" s="11">
        <v>41214</v>
      </c>
      <c r="B236" s="12">
        <v>23294</v>
      </c>
      <c r="C236" s="12" t="s">
        <v>2</v>
      </c>
      <c r="D236" s="1"/>
      <c r="F236" s="11">
        <v>40269</v>
      </c>
      <c r="G236" s="12">
        <v>1647</v>
      </c>
      <c r="H236" s="12" t="s">
        <v>15</v>
      </c>
    </row>
    <row r="237" spans="1:8" x14ac:dyDescent="0.25">
      <c r="A237" s="11">
        <v>41244</v>
      </c>
      <c r="B237" s="12">
        <v>5737</v>
      </c>
      <c r="C237" s="12" t="s">
        <v>4</v>
      </c>
      <c r="D237" s="1"/>
      <c r="F237" s="11">
        <v>40269</v>
      </c>
      <c r="G237" s="12">
        <v>4108</v>
      </c>
      <c r="H237" s="12" t="s">
        <v>16</v>
      </c>
    </row>
    <row r="238" spans="1:8" x14ac:dyDescent="0.25">
      <c r="A238" s="11">
        <v>41244</v>
      </c>
      <c r="B238" s="12">
        <v>31254</v>
      </c>
      <c r="C238" s="12" t="s">
        <v>5</v>
      </c>
      <c r="D238" s="1"/>
      <c r="F238" s="11">
        <v>40269</v>
      </c>
      <c r="G238" s="12">
        <v>12471</v>
      </c>
      <c r="H238" s="12" t="s">
        <v>14</v>
      </c>
    </row>
    <row r="239" spans="1:8" x14ac:dyDescent="0.25">
      <c r="A239" s="11">
        <v>41244</v>
      </c>
      <c r="B239" s="12">
        <v>24734</v>
      </c>
      <c r="C239" s="12" t="s">
        <v>2</v>
      </c>
      <c r="D239" s="1"/>
      <c r="F239" s="11">
        <v>40269</v>
      </c>
      <c r="G239" s="12">
        <v>979</v>
      </c>
      <c r="H239" s="12" t="s">
        <v>29</v>
      </c>
    </row>
    <row r="240" spans="1:8" x14ac:dyDescent="0.25">
      <c r="A240" s="11">
        <v>41275</v>
      </c>
      <c r="B240" s="12">
        <v>5676</v>
      </c>
      <c r="C240" s="12" t="s">
        <v>4</v>
      </c>
      <c r="D240" s="1"/>
      <c r="F240" s="11">
        <v>40299</v>
      </c>
      <c r="G240" s="12">
        <v>1739</v>
      </c>
      <c r="H240" s="12" t="s">
        <v>15</v>
      </c>
    </row>
    <row r="241" spans="1:8" x14ac:dyDescent="0.25">
      <c r="A241" s="11">
        <v>41275</v>
      </c>
      <c r="B241" s="12">
        <v>26414</v>
      </c>
      <c r="C241" s="12" t="s">
        <v>5</v>
      </c>
      <c r="D241" s="1"/>
      <c r="F241" s="11">
        <v>40299</v>
      </c>
      <c r="G241" s="12">
        <v>5734</v>
      </c>
      <c r="H241" s="12" t="s">
        <v>16</v>
      </c>
    </row>
    <row r="242" spans="1:8" x14ac:dyDescent="0.25">
      <c r="A242" s="11">
        <v>41275</v>
      </c>
      <c r="B242" s="12">
        <v>20342</v>
      </c>
      <c r="C242" s="12" t="s">
        <v>2</v>
      </c>
      <c r="D242" s="1"/>
      <c r="F242" s="11">
        <v>40299</v>
      </c>
      <c r="G242" s="12">
        <v>15106</v>
      </c>
      <c r="H242" s="12" t="s">
        <v>14</v>
      </c>
    </row>
    <row r="243" spans="1:8" x14ac:dyDescent="0.25">
      <c r="A243" s="11">
        <v>41306</v>
      </c>
      <c r="B243" s="12">
        <v>6950</v>
      </c>
      <c r="C243" s="12" t="s">
        <v>4</v>
      </c>
      <c r="D243" s="1"/>
      <c r="F243" s="11">
        <v>40299</v>
      </c>
      <c r="G243" s="12">
        <v>1119</v>
      </c>
      <c r="H243" s="12" t="s">
        <v>29</v>
      </c>
    </row>
    <row r="244" spans="1:8" x14ac:dyDescent="0.25">
      <c r="A244" s="11">
        <v>41306</v>
      </c>
      <c r="B244" s="12">
        <v>26723</v>
      </c>
      <c r="C244" s="12" t="s">
        <v>5</v>
      </c>
      <c r="D244" s="1"/>
      <c r="F244" s="11">
        <v>40330</v>
      </c>
      <c r="G244" s="12">
        <v>1664</v>
      </c>
      <c r="H244" s="12" t="s">
        <v>15</v>
      </c>
    </row>
    <row r="245" spans="1:8" x14ac:dyDescent="0.25">
      <c r="A245" s="11">
        <v>41306</v>
      </c>
      <c r="B245" s="12">
        <v>21567</v>
      </c>
      <c r="C245" s="12" t="s">
        <v>2</v>
      </c>
      <c r="D245" s="1"/>
      <c r="F245" s="11">
        <v>40330</v>
      </c>
      <c r="G245" s="12">
        <v>6954</v>
      </c>
      <c r="H245" s="12" t="s">
        <v>16</v>
      </c>
    </row>
    <row r="246" spans="1:8" x14ac:dyDescent="0.25">
      <c r="A246" s="11">
        <v>41334</v>
      </c>
      <c r="B246" s="12">
        <v>7312</v>
      </c>
      <c r="C246" s="12" t="s">
        <v>4</v>
      </c>
      <c r="D246" s="1"/>
      <c r="F246" s="11">
        <v>40330</v>
      </c>
      <c r="G246" s="12">
        <v>13999</v>
      </c>
      <c r="H246" s="12" t="s">
        <v>14</v>
      </c>
    </row>
    <row r="247" spans="1:8" x14ac:dyDescent="0.25">
      <c r="A247" s="11">
        <v>41334</v>
      </c>
      <c r="B247" s="12">
        <v>29060</v>
      </c>
      <c r="C247" s="12" t="s">
        <v>5</v>
      </c>
      <c r="D247" s="1"/>
      <c r="F247" s="11">
        <v>40330</v>
      </c>
      <c r="G247" s="12">
        <v>1010</v>
      </c>
      <c r="H247" s="12" t="s">
        <v>29</v>
      </c>
    </row>
    <row r="248" spans="1:8" x14ac:dyDescent="0.25">
      <c r="A248" s="11">
        <v>41334</v>
      </c>
      <c r="B248" s="12">
        <v>20754</v>
      </c>
      <c r="C248" s="12" t="s">
        <v>2</v>
      </c>
      <c r="D248" s="1"/>
      <c r="F248" s="11">
        <v>40360</v>
      </c>
      <c r="G248" s="12">
        <v>1362</v>
      </c>
      <c r="H248" s="12" t="s">
        <v>15</v>
      </c>
    </row>
    <row r="249" spans="1:8" x14ac:dyDescent="0.25">
      <c r="A249" s="11">
        <v>41365</v>
      </c>
      <c r="B249" s="12">
        <v>6139</v>
      </c>
      <c r="C249" s="12" t="s">
        <v>4</v>
      </c>
      <c r="D249" s="1"/>
      <c r="F249" s="11">
        <v>40360</v>
      </c>
      <c r="G249" s="12">
        <v>7840</v>
      </c>
      <c r="H249" s="12" t="s">
        <v>16</v>
      </c>
    </row>
    <row r="250" spans="1:8" x14ac:dyDescent="0.25">
      <c r="A250" s="11">
        <v>41365</v>
      </c>
      <c r="B250" s="12">
        <v>29562</v>
      </c>
      <c r="C250" s="12" t="s">
        <v>5</v>
      </c>
      <c r="D250" s="1"/>
      <c r="F250" s="11">
        <v>40360</v>
      </c>
      <c r="G250" s="12">
        <v>10738</v>
      </c>
      <c r="H250" s="12" t="s">
        <v>14</v>
      </c>
    </row>
    <row r="251" spans="1:8" x14ac:dyDescent="0.25">
      <c r="A251" s="11">
        <v>41365</v>
      </c>
      <c r="B251" s="12">
        <v>22704</v>
      </c>
      <c r="C251" s="12" t="s">
        <v>2</v>
      </c>
      <c r="D251" s="1"/>
      <c r="F251" s="11">
        <v>40360</v>
      </c>
      <c r="G251" s="12">
        <v>873</v>
      </c>
      <c r="H251" s="12" t="s">
        <v>29</v>
      </c>
    </row>
    <row r="252" spans="1:8" x14ac:dyDescent="0.25">
      <c r="A252" s="11">
        <v>41395</v>
      </c>
      <c r="B252" s="12">
        <v>5237</v>
      </c>
      <c r="C252" s="12" t="s">
        <v>4</v>
      </c>
      <c r="D252" s="1"/>
      <c r="F252" s="11">
        <v>40391</v>
      </c>
      <c r="G252" s="12">
        <v>1958</v>
      </c>
      <c r="H252" s="12" t="s">
        <v>15</v>
      </c>
    </row>
    <row r="253" spans="1:8" x14ac:dyDescent="0.25">
      <c r="A253" s="11">
        <v>41395</v>
      </c>
      <c r="B253" s="12">
        <v>29526</v>
      </c>
      <c r="C253" s="12" t="s">
        <v>5</v>
      </c>
      <c r="D253" s="1"/>
      <c r="F253" s="11">
        <v>40391</v>
      </c>
      <c r="G253" s="12">
        <v>8295</v>
      </c>
      <c r="H253" s="12" t="s">
        <v>16</v>
      </c>
    </row>
    <row r="254" spans="1:8" x14ac:dyDescent="0.25">
      <c r="A254" s="11">
        <v>41395</v>
      </c>
      <c r="B254" s="12">
        <v>24658</v>
      </c>
      <c r="C254" s="12" t="s">
        <v>2</v>
      </c>
      <c r="D254" s="1"/>
      <c r="F254" s="11">
        <v>40391</v>
      </c>
      <c r="G254" s="12">
        <v>13788</v>
      </c>
      <c r="H254" s="12" t="s">
        <v>14</v>
      </c>
    </row>
    <row r="255" spans="1:8" x14ac:dyDescent="0.25">
      <c r="A255" s="11">
        <v>41426</v>
      </c>
      <c r="B255" s="12">
        <v>5065</v>
      </c>
      <c r="C255" s="12" t="s">
        <v>4</v>
      </c>
      <c r="D255" s="1"/>
      <c r="F255" s="11">
        <v>40391</v>
      </c>
      <c r="G255" s="12">
        <v>590</v>
      </c>
      <c r="H255" s="12" t="s">
        <v>29</v>
      </c>
    </row>
    <row r="256" spans="1:8" x14ac:dyDescent="0.25">
      <c r="A256" s="11">
        <v>41426</v>
      </c>
      <c r="B256" s="12">
        <v>27067</v>
      </c>
      <c r="C256" s="12" t="s">
        <v>5</v>
      </c>
      <c r="D256" s="1"/>
      <c r="F256" s="11">
        <v>40422</v>
      </c>
      <c r="G256" s="12">
        <v>2752</v>
      </c>
      <c r="H256" s="12" t="s">
        <v>15</v>
      </c>
    </row>
    <row r="257" spans="1:8" x14ac:dyDescent="0.25">
      <c r="A257" s="11">
        <v>41426</v>
      </c>
      <c r="B257" s="12">
        <v>25744</v>
      </c>
      <c r="C257" s="12" t="s">
        <v>2</v>
      </c>
      <c r="D257" s="1"/>
      <c r="F257" s="11">
        <v>40422</v>
      </c>
      <c r="G257" s="12">
        <v>4677</v>
      </c>
      <c r="H257" s="12" t="s">
        <v>16</v>
      </c>
    </row>
    <row r="258" spans="1:8" x14ac:dyDescent="0.25">
      <c r="A258" s="11">
        <v>41456</v>
      </c>
      <c r="B258" s="12">
        <v>5449</v>
      </c>
      <c r="C258" s="12" t="s">
        <v>4</v>
      </c>
      <c r="D258" s="1"/>
      <c r="F258" s="11">
        <v>40422</v>
      </c>
      <c r="G258" s="12">
        <v>17097</v>
      </c>
      <c r="H258" s="12" t="s">
        <v>14</v>
      </c>
    </row>
    <row r="259" spans="1:8" x14ac:dyDescent="0.25">
      <c r="A259" s="11">
        <v>41456</v>
      </c>
      <c r="B259" s="12">
        <v>23805</v>
      </c>
      <c r="C259" s="12" t="s">
        <v>5</v>
      </c>
      <c r="D259" s="1"/>
      <c r="F259" s="11">
        <v>40422</v>
      </c>
      <c r="G259" s="12">
        <v>739</v>
      </c>
      <c r="H259" s="12" t="s">
        <v>29</v>
      </c>
    </row>
    <row r="260" spans="1:8" x14ac:dyDescent="0.25">
      <c r="A260" s="11">
        <v>41456</v>
      </c>
      <c r="B260" s="12">
        <v>29501</v>
      </c>
      <c r="C260" s="12" t="s">
        <v>2</v>
      </c>
      <c r="D260" s="1"/>
      <c r="F260" s="11">
        <v>40452</v>
      </c>
      <c r="G260" s="12">
        <v>4037</v>
      </c>
      <c r="H260" s="12" t="s">
        <v>15</v>
      </c>
    </row>
    <row r="261" spans="1:8" x14ac:dyDescent="0.25">
      <c r="A261" s="11">
        <v>41487</v>
      </c>
      <c r="B261" s="12">
        <v>4313</v>
      </c>
      <c r="C261" s="12" t="s">
        <v>4</v>
      </c>
      <c r="D261" s="1"/>
      <c r="F261" s="11">
        <v>40452</v>
      </c>
      <c r="G261" s="12">
        <v>4562</v>
      </c>
      <c r="H261" s="12" t="s">
        <v>16</v>
      </c>
    </row>
    <row r="262" spans="1:8" x14ac:dyDescent="0.25">
      <c r="A262" s="11">
        <v>41487</v>
      </c>
      <c r="B262" s="12">
        <v>20234</v>
      </c>
      <c r="C262" s="12" t="s">
        <v>5</v>
      </c>
      <c r="D262" s="1"/>
      <c r="F262" s="11">
        <v>40452</v>
      </c>
      <c r="G262" s="12">
        <v>19801</v>
      </c>
      <c r="H262" s="12" t="s">
        <v>14</v>
      </c>
    </row>
    <row r="263" spans="1:8" x14ac:dyDescent="0.25">
      <c r="A263" s="11">
        <v>41487</v>
      </c>
      <c r="B263" s="12">
        <v>28233</v>
      </c>
      <c r="C263" s="12" t="s">
        <v>2</v>
      </c>
      <c r="D263" s="1"/>
      <c r="F263" s="11">
        <v>40452</v>
      </c>
      <c r="G263" s="12">
        <v>736</v>
      </c>
      <c r="H263" s="12" t="s">
        <v>29</v>
      </c>
    </row>
    <row r="264" spans="1:8" x14ac:dyDescent="0.25">
      <c r="A264" s="11">
        <v>41518</v>
      </c>
      <c r="B264" s="12">
        <v>3353</v>
      </c>
      <c r="C264" s="12" t="s">
        <v>4</v>
      </c>
      <c r="D264" s="1"/>
      <c r="F264" s="11">
        <v>40483</v>
      </c>
      <c r="G264" s="12">
        <v>4661</v>
      </c>
      <c r="H264" s="12" t="s">
        <v>15</v>
      </c>
    </row>
    <row r="265" spans="1:8" x14ac:dyDescent="0.25">
      <c r="A265" s="11">
        <v>41518</v>
      </c>
      <c r="B265" s="12">
        <v>18538</v>
      </c>
      <c r="C265" s="12" t="s">
        <v>5</v>
      </c>
      <c r="D265" s="1"/>
      <c r="F265" s="11">
        <v>40483</v>
      </c>
      <c r="G265" s="12">
        <v>4283</v>
      </c>
      <c r="H265" s="12" t="s">
        <v>16</v>
      </c>
    </row>
    <row r="266" spans="1:8" x14ac:dyDescent="0.25">
      <c r="A266" s="11">
        <v>41518</v>
      </c>
      <c r="B266" s="12">
        <v>27498</v>
      </c>
      <c r="C266" s="12" t="s">
        <v>2</v>
      </c>
      <c r="D266" s="1"/>
      <c r="F266" s="11">
        <v>40483</v>
      </c>
      <c r="G266" s="12">
        <v>21283</v>
      </c>
      <c r="H266" s="12" t="s">
        <v>14</v>
      </c>
    </row>
    <row r="267" spans="1:8" x14ac:dyDescent="0.25">
      <c r="A267" s="11">
        <v>41548</v>
      </c>
      <c r="B267" s="12">
        <v>1926</v>
      </c>
      <c r="C267" s="12" t="s">
        <v>4</v>
      </c>
      <c r="D267" s="1"/>
      <c r="F267" s="11">
        <v>40483</v>
      </c>
      <c r="G267" s="12">
        <v>637</v>
      </c>
      <c r="H267" s="12" t="s">
        <v>29</v>
      </c>
    </row>
    <row r="268" spans="1:8" x14ac:dyDescent="0.25">
      <c r="A268" s="11">
        <v>41548</v>
      </c>
      <c r="B268" s="12">
        <v>14776</v>
      </c>
      <c r="C268" s="12" t="s">
        <v>5</v>
      </c>
      <c r="D268" s="1"/>
      <c r="F268" s="11">
        <v>40513</v>
      </c>
      <c r="G268" s="12">
        <v>5301</v>
      </c>
      <c r="H268" s="12" t="s">
        <v>15</v>
      </c>
    </row>
    <row r="269" spans="1:8" x14ac:dyDescent="0.25">
      <c r="A269" s="11">
        <v>41548</v>
      </c>
      <c r="B269" s="12">
        <v>24286</v>
      </c>
      <c r="C269" s="12" t="s">
        <v>2</v>
      </c>
      <c r="D269" s="1"/>
      <c r="F269" s="11">
        <v>40513</v>
      </c>
      <c r="G269" s="12">
        <v>4398</v>
      </c>
      <c r="H269" s="12" t="s">
        <v>16</v>
      </c>
    </row>
    <row r="270" spans="1:8" x14ac:dyDescent="0.25">
      <c r="A270" s="11">
        <v>41579</v>
      </c>
      <c r="B270" s="12">
        <v>1315</v>
      </c>
      <c r="C270" s="12" t="s">
        <v>4</v>
      </c>
      <c r="D270" s="1"/>
      <c r="F270" s="11">
        <v>40513</v>
      </c>
      <c r="G270" s="12">
        <v>23970</v>
      </c>
      <c r="H270" s="12" t="s">
        <v>14</v>
      </c>
    </row>
    <row r="271" spans="1:8" x14ac:dyDescent="0.25">
      <c r="A271" s="11">
        <v>41579</v>
      </c>
      <c r="B271" s="12">
        <v>10645</v>
      </c>
      <c r="C271" s="12" t="s">
        <v>5</v>
      </c>
      <c r="D271" s="1"/>
      <c r="F271" s="11">
        <v>40513</v>
      </c>
      <c r="G271" s="12">
        <v>708</v>
      </c>
      <c r="H271" s="12" t="s">
        <v>29</v>
      </c>
    </row>
    <row r="272" spans="1:8" x14ac:dyDescent="0.25">
      <c r="A272" s="11">
        <v>41579</v>
      </c>
      <c r="B272" s="12">
        <v>20320</v>
      </c>
      <c r="C272" s="12" t="s">
        <v>2</v>
      </c>
      <c r="D272" s="1"/>
      <c r="F272" s="11">
        <v>40544</v>
      </c>
      <c r="G272" s="12">
        <v>4885</v>
      </c>
      <c r="H272" s="12" t="s">
        <v>15</v>
      </c>
    </row>
    <row r="273" spans="1:8" x14ac:dyDescent="0.25">
      <c r="A273" s="11">
        <v>41609</v>
      </c>
      <c r="B273" s="12">
        <v>1368</v>
      </c>
      <c r="C273" s="12" t="s">
        <v>4</v>
      </c>
      <c r="D273" s="1"/>
      <c r="F273" s="11">
        <v>40544</v>
      </c>
      <c r="G273" s="12">
        <v>4295</v>
      </c>
      <c r="H273" s="12" t="s">
        <v>16</v>
      </c>
    </row>
    <row r="274" spans="1:8" x14ac:dyDescent="0.25">
      <c r="A274" s="11">
        <v>41609</v>
      </c>
      <c r="B274" s="12">
        <v>9145</v>
      </c>
      <c r="C274" s="12" t="s">
        <v>5</v>
      </c>
      <c r="D274" s="1"/>
      <c r="F274" s="11">
        <v>40544</v>
      </c>
      <c r="G274" s="12">
        <v>26744</v>
      </c>
      <c r="H274" s="12" t="s">
        <v>14</v>
      </c>
    </row>
    <row r="275" spans="1:8" x14ac:dyDescent="0.25">
      <c r="A275" s="11">
        <v>41609</v>
      </c>
      <c r="B275" s="12">
        <v>20401</v>
      </c>
      <c r="C275" s="12" t="s">
        <v>2</v>
      </c>
      <c r="D275" s="1"/>
      <c r="F275" s="11">
        <v>40544</v>
      </c>
      <c r="G275" s="12">
        <v>761</v>
      </c>
      <c r="H275" s="12" t="s">
        <v>29</v>
      </c>
    </row>
    <row r="276" spans="1:8" x14ac:dyDescent="0.25">
      <c r="A276" s="11">
        <v>41640</v>
      </c>
      <c r="B276" s="12">
        <v>1777</v>
      </c>
      <c r="C276" s="12" t="s">
        <v>4</v>
      </c>
      <c r="D276" s="1"/>
      <c r="F276" s="11">
        <v>40575</v>
      </c>
      <c r="G276" s="12">
        <v>4896</v>
      </c>
      <c r="H276" s="12" t="s">
        <v>15</v>
      </c>
    </row>
    <row r="277" spans="1:8" x14ac:dyDescent="0.25">
      <c r="A277" s="11">
        <v>41640</v>
      </c>
      <c r="B277" s="12">
        <v>7887</v>
      </c>
      <c r="C277" s="12" t="s">
        <v>5</v>
      </c>
      <c r="D277" s="1"/>
      <c r="F277" s="11">
        <v>40575</v>
      </c>
      <c r="G277" s="12">
        <v>4920</v>
      </c>
      <c r="H277" s="12" t="s">
        <v>16</v>
      </c>
    </row>
    <row r="278" spans="1:8" x14ac:dyDescent="0.25">
      <c r="A278" s="11">
        <v>41640</v>
      </c>
      <c r="B278" s="12">
        <v>19749</v>
      </c>
      <c r="C278" s="12" t="s">
        <v>2</v>
      </c>
      <c r="D278" s="1"/>
      <c r="F278" s="11">
        <v>40575</v>
      </c>
      <c r="G278" s="12">
        <v>25576</v>
      </c>
      <c r="H278" s="12" t="s">
        <v>14</v>
      </c>
    </row>
    <row r="279" spans="1:8" x14ac:dyDescent="0.25">
      <c r="A279" s="11">
        <v>41671</v>
      </c>
      <c r="B279" s="12">
        <v>1875</v>
      </c>
      <c r="C279" s="12" t="s">
        <v>4</v>
      </c>
      <c r="D279" s="1"/>
      <c r="F279" s="11">
        <v>40575</v>
      </c>
      <c r="G279" s="12">
        <v>820</v>
      </c>
      <c r="H279" s="12" t="s">
        <v>29</v>
      </c>
    </row>
    <row r="280" spans="1:8" x14ac:dyDescent="0.25">
      <c r="A280" s="11">
        <v>41671</v>
      </c>
      <c r="B280" s="12">
        <v>7706</v>
      </c>
      <c r="C280" s="12" t="s">
        <v>5</v>
      </c>
      <c r="D280" s="1"/>
      <c r="F280" s="11">
        <v>40603</v>
      </c>
      <c r="G280" s="12">
        <v>3338</v>
      </c>
      <c r="H280" s="12" t="s">
        <v>15</v>
      </c>
    </row>
    <row r="281" spans="1:8" x14ac:dyDescent="0.25">
      <c r="A281" s="11">
        <v>41671</v>
      </c>
      <c r="B281" s="12">
        <v>20542</v>
      </c>
      <c r="C281" s="12" t="s">
        <v>2</v>
      </c>
      <c r="D281" s="1"/>
      <c r="F281" s="11">
        <v>40603</v>
      </c>
      <c r="G281" s="12">
        <v>3245</v>
      </c>
      <c r="H281" s="12" t="s">
        <v>16</v>
      </c>
    </row>
    <row r="282" spans="1:8" x14ac:dyDescent="0.25">
      <c r="A282" s="11">
        <v>41699</v>
      </c>
      <c r="B282" s="12">
        <v>1173</v>
      </c>
      <c r="C282" s="12" t="s">
        <v>4</v>
      </c>
      <c r="D282" s="1"/>
      <c r="F282" s="11">
        <v>40603</v>
      </c>
      <c r="G282" s="12">
        <v>23483</v>
      </c>
      <c r="H282" s="12" t="s">
        <v>14</v>
      </c>
    </row>
    <row r="283" spans="1:8" x14ac:dyDescent="0.25">
      <c r="A283" s="11">
        <v>41699</v>
      </c>
      <c r="B283" s="12">
        <v>6401</v>
      </c>
      <c r="C283" s="12" t="s">
        <v>5</v>
      </c>
      <c r="D283" s="1"/>
      <c r="F283" s="11">
        <v>40603</v>
      </c>
      <c r="G283" s="12">
        <v>1196</v>
      </c>
      <c r="H283" s="12" t="s">
        <v>29</v>
      </c>
    </row>
    <row r="284" spans="1:8" x14ac:dyDescent="0.25">
      <c r="A284" s="11">
        <v>41699</v>
      </c>
      <c r="B284" s="12">
        <v>14202</v>
      </c>
      <c r="C284" s="12" t="s">
        <v>2</v>
      </c>
      <c r="D284" s="1"/>
      <c r="F284" s="11">
        <v>40634</v>
      </c>
      <c r="G284" s="12">
        <v>1691</v>
      </c>
      <c r="H284" s="12" t="s">
        <v>15</v>
      </c>
    </row>
    <row r="285" spans="1:8" x14ac:dyDescent="0.25">
      <c r="A285" s="11">
        <v>41730</v>
      </c>
      <c r="B285" s="12">
        <v>6351</v>
      </c>
      <c r="C285" s="12" t="s">
        <v>6</v>
      </c>
      <c r="D285" s="1"/>
      <c r="F285" s="11">
        <v>40634</v>
      </c>
      <c r="G285" s="12">
        <v>2280</v>
      </c>
      <c r="H285" s="12" t="s">
        <v>16</v>
      </c>
    </row>
    <row r="286" spans="1:8" x14ac:dyDescent="0.25">
      <c r="A286" s="11">
        <v>41730</v>
      </c>
      <c r="B286" s="12">
        <v>15120</v>
      </c>
      <c r="C286" s="12" t="s">
        <v>2</v>
      </c>
      <c r="D286" s="1"/>
      <c r="F286" s="11">
        <v>40634</v>
      </c>
      <c r="G286" s="12">
        <v>17904</v>
      </c>
      <c r="H286" s="12" t="s">
        <v>14</v>
      </c>
    </row>
    <row r="287" spans="1:8" x14ac:dyDescent="0.25">
      <c r="A287" s="11">
        <v>41760</v>
      </c>
      <c r="B287" s="12">
        <v>6984</v>
      </c>
      <c r="C287" s="12" t="s">
        <v>6</v>
      </c>
      <c r="D287" s="1"/>
      <c r="F287" s="11">
        <v>40634</v>
      </c>
      <c r="G287" s="12">
        <v>1250</v>
      </c>
      <c r="H287" s="12" t="s">
        <v>29</v>
      </c>
    </row>
    <row r="288" spans="1:8" x14ac:dyDescent="0.25">
      <c r="A288" s="11">
        <v>41760</v>
      </c>
      <c r="B288" s="12">
        <v>20187</v>
      </c>
      <c r="C288" s="12" t="s">
        <v>2</v>
      </c>
      <c r="D288" s="1"/>
      <c r="F288" s="11">
        <v>40664</v>
      </c>
      <c r="G288" s="12">
        <v>1592</v>
      </c>
      <c r="H288" s="12" t="s">
        <v>15</v>
      </c>
    </row>
    <row r="289" spans="1:8" x14ac:dyDescent="0.25">
      <c r="A289" s="11">
        <v>41791</v>
      </c>
      <c r="B289" s="12">
        <v>6497</v>
      </c>
      <c r="C289" s="12" t="s">
        <v>6</v>
      </c>
      <c r="D289" s="1"/>
      <c r="F289" s="11">
        <v>40664</v>
      </c>
      <c r="G289" s="12">
        <v>3924</v>
      </c>
      <c r="H289" s="12" t="s">
        <v>16</v>
      </c>
    </row>
    <row r="290" spans="1:8" x14ac:dyDescent="0.25">
      <c r="A290" s="11">
        <v>41791</v>
      </c>
      <c r="B290" s="12">
        <v>21803</v>
      </c>
      <c r="C290" s="12" t="s">
        <v>2</v>
      </c>
      <c r="D290" s="1"/>
      <c r="F290" s="11">
        <v>40664</v>
      </c>
      <c r="G290" s="12">
        <v>13374</v>
      </c>
      <c r="H290" s="12" t="s">
        <v>14</v>
      </c>
    </row>
    <row r="291" spans="1:8" x14ac:dyDescent="0.25">
      <c r="A291" s="11">
        <v>41821</v>
      </c>
      <c r="B291" s="12">
        <v>5703</v>
      </c>
      <c r="C291" s="12" t="s">
        <v>6</v>
      </c>
      <c r="D291" s="1"/>
      <c r="F291" s="11">
        <v>40664</v>
      </c>
      <c r="G291" s="12">
        <v>946</v>
      </c>
      <c r="H291" s="12" t="s">
        <v>29</v>
      </c>
    </row>
    <row r="292" spans="1:8" x14ac:dyDescent="0.25">
      <c r="A292" s="11">
        <v>41821</v>
      </c>
      <c r="B292" s="12">
        <v>24262</v>
      </c>
      <c r="C292" s="12" t="s">
        <v>2</v>
      </c>
      <c r="D292" s="1"/>
      <c r="F292" s="11">
        <v>40695</v>
      </c>
      <c r="G292" s="12">
        <v>1398</v>
      </c>
      <c r="H292" s="12" t="s">
        <v>15</v>
      </c>
    </row>
    <row r="293" spans="1:8" x14ac:dyDescent="0.25">
      <c r="A293" s="11">
        <v>41852</v>
      </c>
      <c r="B293" s="12">
        <v>5871</v>
      </c>
      <c r="C293" s="12" t="s">
        <v>6</v>
      </c>
      <c r="D293" s="1"/>
      <c r="F293" s="11">
        <v>40695</v>
      </c>
      <c r="G293" s="12">
        <v>4876</v>
      </c>
      <c r="H293" s="12" t="s">
        <v>16</v>
      </c>
    </row>
    <row r="294" spans="1:8" x14ac:dyDescent="0.25">
      <c r="A294" s="11">
        <v>41852</v>
      </c>
      <c r="B294" s="12">
        <v>28674</v>
      </c>
      <c r="C294" s="12" t="s">
        <v>2</v>
      </c>
      <c r="D294" s="1"/>
      <c r="F294" s="11">
        <v>40695</v>
      </c>
      <c r="G294" s="12">
        <v>12054</v>
      </c>
      <c r="H294" s="12" t="s">
        <v>14</v>
      </c>
    </row>
    <row r="295" spans="1:8" x14ac:dyDescent="0.25">
      <c r="A295" s="11">
        <v>41883</v>
      </c>
      <c r="B295" s="12">
        <v>5697</v>
      </c>
      <c r="C295" s="12" t="s">
        <v>6</v>
      </c>
      <c r="D295" s="1"/>
      <c r="F295" s="11">
        <v>40695</v>
      </c>
      <c r="G295" s="12">
        <v>1099</v>
      </c>
      <c r="H295" s="12" t="s">
        <v>29</v>
      </c>
    </row>
    <row r="296" spans="1:8" x14ac:dyDescent="0.25">
      <c r="A296" s="11">
        <v>41883</v>
      </c>
      <c r="B296" s="12">
        <v>28213</v>
      </c>
      <c r="C296" s="12" t="s">
        <v>2</v>
      </c>
      <c r="D296" s="1"/>
      <c r="F296" s="11">
        <v>40725</v>
      </c>
      <c r="G296" s="12">
        <v>1352</v>
      </c>
      <c r="H296" s="12" t="s">
        <v>15</v>
      </c>
    </row>
    <row r="297" spans="1:8" x14ac:dyDescent="0.25">
      <c r="A297" s="11">
        <v>41913</v>
      </c>
      <c r="B297" s="12">
        <v>5967</v>
      </c>
      <c r="C297" s="12" t="s">
        <v>6</v>
      </c>
      <c r="D297" s="1"/>
      <c r="F297" s="11">
        <v>40725</v>
      </c>
      <c r="G297" s="12">
        <v>6095</v>
      </c>
      <c r="H297" s="12" t="s">
        <v>16</v>
      </c>
    </row>
    <row r="298" spans="1:8" x14ac:dyDescent="0.25">
      <c r="A298" s="11">
        <v>41913</v>
      </c>
      <c r="B298" s="12">
        <v>26562</v>
      </c>
      <c r="C298" s="12" t="s">
        <v>2</v>
      </c>
      <c r="D298" s="1"/>
      <c r="F298" s="11">
        <v>40725</v>
      </c>
      <c r="G298" s="12">
        <v>10483</v>
      </c>
      <c r="H298" s="12" t="s">
        <v>14</v>
      </c>
    </row>
    <row r="299" spans="1:8" x14ac:dyDescent="0.25">
      <c r="A299" s="11">
        <v>41944</v>
      </c>
      <c r="B299" s="12">
        <v>6289</v>
      </c>
      <c r="C299" s="12" t="s">
        <v>6</v>
      </c>
      <c r="D299" s="1"/>
      <c r="F299" s="11">
        <v>40725</v>
      </c>
      <c r="G299" s="12">
        <v>991</v>
      </c>
      <c r="H299" s="12" t="s">
        <v>29</v>
      </c>
    </row>
    <row r="300" spans="1:8" x14ac:dyDescent="0.25">
      <c r="A300" s="11">
        <v>41944</v>
      </c>
      <c r="B300" s="12">
        <v>24363</v>
      </c>
      <c r="C300" s="12" t="s">
        <v>2</v>
      </c>
      <c r="D300" s="1"/>
      <c r="F300" s="11">
        <v>40756</v>
      </c>
      <c r="G300" s="12">
        <v>1802</v>
      </c>
      <c r="H300" s="12" t="s">
        <v>15</v>
      </c>
    </row>
    <row r="301" spans="1:8" x14ac:dyDescent="0.25">
      <c r="A301" s="11">
        <v>41974</v>
      </c>
      <c r="B301" s="12">
        <v>6586</v>
      </c>
      <c r="C301" s="12" t="s">
        <v>6</v>
      </c>
      <c r="D301" s="1"/>
      <c r="F301" s="11">
        <v>40756</v>
      </c>
      <c r="G301" s="12">
        <v>8333</v>
      </c>
      <c r="H301" s="12" t="s">
        <v>16</v>
      </c>
    </row>
    <row r="302" spans="1:8" x14ac:dyDescent="0.25">
      <c r="A302" s="11">
        <v>41974</v>
      </c>
      <c r="B302" s="12">
        <v>21865</v>
      </c>
      <c r="C302" s="12" t="s">
        <v>2</v>
      </c>
      <c r="D302" s="1"/>
      <c r="F302" s="11">
        <v>40756</v>
      </c>
      <c r="G302" s="12">
        <v>11570</v>
      </c>
      <c r="H302" s="12" t="s">
        <v>14</v>
      </c>
    </row>
    <row r="303" spans="1:8" x14ac:dyDescent="0.25">
      <c r="A303" s="11">
        <v>42005</v>
      </c>
      <c r="B303" s="12">
        <v>7036</v>
      </c>
      <c r="C303" s="12" t="s">
        <v>6</v>
      </c>
      <c r="D303" s="1"/>
      <c r="F303" s="11">
        <v>40756</v>
      </c>
      <c r="G303" s="12">
        <v>884</v>
      </c>
      <c r="H303" s="12" t="s">
        <v>29</v>
      </c>
    </row>
    <row r="304" spans="1:8" x14ac:dyDescent="0.25">
      <c r="A304" s="11">
        <v>42005</v>
      </c>
      <c r="B304" s="12">
        <v>19051</v>
      </c>
      <c r="C304" s="12" t="s">
        <v>2</v>
      </c>
      <c r="D304" s="1"/>
      <c r="F304" s="11">
        <v>40787</v>
      </c>
      <c r="G304" s="12">
        <v>2019</v>
      </c>
      <c r="H304" s="12" t="s">
        <v>15</v>
      </c>
    </row>
    <row r="305" spans="1:8" x14ac:dyDescent="0.25">
      <c r="A305" s="11">
        <v>42036</v>
      </c>
      <c r="B305" s="12">
        <v>6442</v>
      </c>
      <c r="C305" s="12" t="s">
        <v>6</v>
      </c>
      <c r="D305" s="1"/>
      <c r="F305" s="11">
        <v>40787</v>
      </c>
      <c r="G305" s="12">
        <v>7623</v>
      </c>
      <c r="H305" s="12" t="s">
        <v>16</v>
      </c>
    </row>
    <row r="306" spans="1:8" x14ac:dyDescent="0.25">
      <c r="A306" s="11">
        <v>42036</v>
      </c>
      <c r="B306" s="12">
        <v>20160</v>
      </c>
      <c r="C306" s="12" t="s">
        <v>2</v>
      </c>
      <c r="D306" s="1"/>
      <c r="F306" s="11">
        <v>40787</v>
      </c>
      <c r="G306" s="12">
        <v>12293</v>
      </c>
      <c r="H306" s="12" t="s">
        <v>14</v>
      </c>
    </row>
    <row r="307" spans="1:8" x14ac:dyDescent="0.25">
      <c r="A307" s="11">
        <v>42064</v>
      </c>
      <c r="B307" s="12">
        <v>7370</v>
      </c>
      <c r="C307" s="12" t="s">
        <v>6</v>
      </c>
      <c r="D307" s="1"/>
      <c r="F307" s="11">
        <v>40787</v>
      </c>
      <c r="G307" s="12">
        <v>819</v>
      </c>
      <c r="H307" s="12" t="s">
        <v>29</v>
      </c>
    </row>
    <row r="308" spans="1:8" x14ac:dyDescent="0.25">
      <c r="A308" s="11">
        <v>42064</v>
      </c>
      <c r="B308" s="12">
        <v>15687</v>
      </c>
      <c r="C308" s="12" t="s">
        <v>2</v>
      </c>
      <c r="D308" s="1"/>
      <c r="F308" s="11">
        <v>40817</v>
      </c>
      <c r="G308" s="12">
        <v>2331</v>
      </c>
      <c r="H308" s="12" t="s">
        <v>15</v>
      </c>
    </row>
    <row r="309" spans="1:8" x14ac:dyDescent="0.25">
      <c r="A309" s="11">
        <v>42095</v>
      </c>
      <c r="B309" s="12">
        <v>17561</v>
      </c>
      <c r="C309" s="12" t="s">
        <v>2</v>
      </c>
      <c r="D309" s="1"/>
      <c r="F309" s="11">
        <v>40817</v>
      </c>
      <c r="G309" s="12">
        <v>7738</v>
      </c>
      <c r="H309" s="12" t="s">
        <v>16</v>
      </c>
    </row>
    <row r="310" spans="1:8" x14ac:dyDescent="0.25">
      <c r="A310" s="11">
        <v>42095</v>
      </c>
      <c r="B310" s="12">
        <v>9357</v>
      </c>
      <c r="C310" s="12" t="s">
        <v>6</v>
      </c>
      <c r="D310" s="1"/>
      <c r="F310" s="11">
        <v>40817</v>
      </c>
      <c r="G310" s="12">
        <v>13197</v>
      </c>
      <c r="H310" s="12" t="s">
        <v>14</v>
      </c>
    </row>
    <row r="311" spans="1:8" x14ac:dyDescent="0.25">
      <c r="A311" s="11">
        <v>42125</v>
      </c>
      <c r="B311" s="12">
        <v>25158</v>
      </c>
      <c r="C311" s="12" t="s">
        <v>2</v>
      </c>
      <c r="D311" s="1"/>
      <c r="F311" s="11">
        <v>40817</v>
      </c>
      <c r="G311" s="12">
        <v>640</v>
      </c>
      <c r="H311" s="12" t="s">
        <v>29</v>
      </c>
    </row>
    <row r="312" spans="1:8" x14ac:dyDescent="0.25">
      <c r="A312" s="11">
        <v>42125</v>
      </c>
      <c r="B312" s="12">
        <v>11076</v>
      </c>
      <c r="C312" s="12" t="s">
        <v>6</v>
      </c>
      <c r="D312" s="1"/>
      <c r="F312" s="11">
        <v>40848</v>
      </c>
      <c r="G312" s="12">
        <v>3665</v>
      </c>
      <c r="H312" s="12" t="s">
        <v>15</v>
      </c>
    </row>
    <row r="313" spans="1:8" x14ac:dyDescent="0.25">
      <c r="A313" s="11">
        <v>42156</v>
      </c>
      <c r="B313" s="12">
        <v>8294</v>
      </c>
      <c r="C313" s="12" t="s">
        <v>6</v>
      </c>
      <c r="D313" s="1"/>
      <c r="F313" s="11">
        <v>40848</v>
      </c>
      <c r="G313" s="12">
        <v>6573</v>
      </c>
      <c r="H313" s="12" t="s">
        <v>16</v>
      </c>
    </row>
    <row r="314" spans="1:8" x14ac:dyDescent="0.25">
      <c r="A314" s="11">
        <v>42156</v>
      </c>
      <c r="B314" s="12">
        <v>26752</v>
      </c>
      <c r="C314" s="12" t="s">
        <v>2</v>
      </c>
      <c r="D314" s="1"/>
      <c r="F314" s="11">
        <v>40848</v>
      </c>
      <c r="G314" s="12">
        <v>15246</v>
      </c>
      <c r="H314" s="12" t="s">
        <v>14</v>
      </c>
    </row>
    <row r="315" spans="1:8" x14ac:dyDescent="0.25">
      <c r="A315" s="11">
        <v>42186</v>
      </c>
      <c r="B315" s="12">
        <v>28655</v>
      </c>
      <c r="C315" s="12" t="s">
        <v>2</v>
      </c>
      <c r="D315" s="1"/>
      <c r="F315" s="11">
        <v>40848</v>
      </c>
      <c r="G315" s="12">
        <v>639</v>
      </c>
      <c r="H315" s="12" t="s">
        <v>29</v>
      </c>
    </row>
    <row r="316" spans="1:8" x14ac:dyDescent="0.25">
      <c r="A316" s="11">
        <v>42186</v>
      </c>
      <c r="B316" s="12">
        <v>6985</v>
      </c>
      <c r="C316" s="12" t="s">
        <v>6</v>
      </c>
      <c r="D316" s="1"/>
      <c r="F316" s="11">
        <v>40878</v>
      </c>
      <c r="G316" s="12">
        <v>4164</v>
      </c>
      <c r="H316" s="12" t="s">
        <v>15</v>
      </c>
    </row>
    <row r="317" spans="1:8" x14ac:dyDescent="0.25">
      <c r="A317" s="11">
        <v>42217</v>
      </c>
      <c r="B317" s="12">
        <v>30476</v>
      </c>
      <c r="C317" s="12" t="s">
        <v>2</v>
      </c>
      <c r="D317" s="1"/>
      <c r="F317" s="11">
        <v>40878</v>
      </c>
      <c r="G317" s="12">
        <v>4716</v>
      </c>
      <c r="H317" s="12" t="s">
        <v>16</v>
      </c>
    </row>
    <row r="318" spans="1:8" x14ac:dyDescent="0.25">
      <c r="A318" s="11">
        <v>42217</v>
      </c>
      <c r="B318" s="12">
        <v>6153</v>
      </c>
      <c r="C318" s="12" t="s">
        <v>6</v>
      </c>
      <c r="D318" s="1"/>
      <c r="F318" s="11">
        <v>40878</v>
      </c>
      <c r="G318" s="12">
        <v>17511</v>
      </c>
      <c r="H318" s="12" t="s">
        <v>14</v>
      </c>
    </row>
    <row r="319" spans="1:8" x14ac:dyDescent="0.25">
      <c r="A319" s="11">
        <v>42248</v>
      </c>
      <c r="B319" s="12">
        <v>29701</v>
      </c>
      <c r="C319" s="12" t="s">
        <v>2</v>
      </c>
      <c r="D319" s="1"/>
      <c r="F319" s="11">
        <v>40878</v>
      </c>
      <c r="G319" s="12">
        <v>646</v>
      </c>
      <c r="H319" s="12" t="s">
        <v>29</v>
      </c>
    </row>
    <row r="320" spans="1:8" x14ac:dyDescent="0.25">
      <c r="A320" s="11">
        <v>42248</v>
      </c>
      <c r="B320" s="12">
        <v>4907</v>
      </c>
      <c r="C320" s="12" t="s">
        <v>6</v>
      </c>
      <c r="D320" s="1"/>
      <c r="F320" s="11">
        <v>40909</v>
      </c>
      <c r="G320" s="12">
        <v>4135</v>
      </c>
      <c r="H320" s="12" t="s">
        <v>15</v>
      </c>
    </row>
    <row r="321" spans="1:8" x14ac:dyDescent="0.25">
      <c r="A321" s="11">
        <v>42278</v>
      </c>
      <c r="B321" s="12">
        <v>5060</v>
      </c>
      <c r="C321" s="12" t="s">
        <v>6</v>
      </c>
      <c r="D321" s="1"/>
      <c r="F321" s="11">
        <v>40909</v>
      </c>
      <c r="G321" s="12">
        <v>5159</v>
      </c>
      <c r="H321" s="12" t="s">
        <v>16</v>
      </c>
    </row>
    <row r="322" spans="1:8" x14ac:dyDescent="0.25">
      <c r="A322" s="11">
        <v>42278</v>
      </c>
      <c r="B322" s="12">
        <v>28573</v>
      </c>
      <c r="C322" s="12" t="s">
        <v>2</v>
      </c>
      <c r="D322" s="1"/>
      <c r="F322" s="11">
        <v>40909</v>
      </c>
      <c r="G322" s="12">
        <v>17965</v>
      </c>
      <c r="H322" s="12" t="s">
        <v>14</v>
      </c>
    </row>
    <row r="323" spans="1:8" x14ac:dyDescent="0.25">
      <c r="A323" s="11">
        <v>42309</v>
      </c>
      <c r="B323" s="12">
        <v>26470</v>
      </c>
      <c r="C323" s="12" t="s">
        <v>2</v>
      </c>
      <c r="D323" s="1"/>
      <c r="F323" s="11">
        <v>40909</v>
      </c>
      <c r="G323" s="12">
        <v>564</v>
      </c>
      <c r="H323" s="12" t="s">
        <v>29</v>
      </c>
    </row>
    <row r="324" spans="1:8" x14ac:dyDescent="0.25">
      <c r="A324" s="11">
        <v>42309</v>
      </c>
      <c r="B324" s="12">
        <v>5234</v>
      </c>
      <c r="C324" s="12" t="s">
        <v>6</v>
      </c>
      <c r="D324" s="1"/>
      <c r="F324" s="11">
        <v>40940</v>
      </c>
      <c r="G324" s="12">
        <v>4398</v>
      </c>
      <c r="H324" s="12" t="s">
        <v>15</v>
      </c>
    </row>
    <row r="325" spans="1:8" x14ac:dyDescent="0.25">
      <c r="A325" s="11">
        <v>42339</v>
      </c>
      <c r="B325" s="12">
        <v>5646</v>
      </c>
      <c r="C325" s="12" t="s">
        <v>6</v>
      </c>
      <c r="D325" s="1"/>
      <c r="F325" s="11">
        <v>40940</v>
      </c>
      <c r="G325" s="12">
        <v>5882</v>
      </c>
      <c r="H325" s="12" t="s">
        <v>16</v>
      </c>
    </row>
    <row r="326" spans="1:8" x14ac:dyDescent="0.25">
      <c r="A326" s="11">
        <v>42339</v>
      </c>
      <c r="B326" s="12">
        <v>24532</v>
      </c>
      <c r="C326" s="12" t="s">
        <v>2</v>
      </c>
      <c r="D326" s="1"/>
      <c r="F326" s="11">
        <v>40940</v>
      </c>
      <c r="G326" s="12">
        <v>17000</v>
      </c>
      <c r="H326" s="12" t="s">
        <v>14</v>
      </c>
    </row>
    <row r="327" spans="1:8" x14ac:dyDescent="0.25">
      <c r="A327" s="11">
        <v>42370</v>
      </c>
      <c r="B327" s="12">
        <v>18437</v>
      </c>
      <c r="C327" s="12" t="s">
        <v>2</v>
      </c>
      <c r="D327" s="1"/>
      <c r="F327" s="11">
        <v>40940</v>
      </c>
      <c r="G327" s="12">
        <v>550</v>
      </c>
      <c r="H327" s="12" t="s">
        <v>29</v>
      </c>
    </row>
    <row r="328" spans="1:8" x14ac:dyDescent="0.25">
      <c r="A328" s="11">
        <v>42370</v>
      </c>
      <c r="B328" s="12">
        <v>4752</v>
      </c>
      <c r="C328" s="12" t="s">
        <v>6</v>
      </c>
      <c r="D328" s="1"/>
      <c r="F328" s="11">
        <v>40969</v>
      </c>
      <c r="G328" s="12">
        <v>3914</v>
      </c>
      <c r="H328" s="12" t="s">
        <v>15</v>
      </c>
    </row>
    <row r="329" spans="1:8" x14ac:dyDescent="0.25">
      <c r="A329" s="11">
        <v>42401</v>
      </c>
      <c r="B329" s="12">
        <v>3011</v>
      </c>
      <c r="C329" s="12" t="s">
        <v>6</v>
      </c>
      <c r="D329" s="1"/>
      <c r="F329" s="11">
        <v>40969</v>
      </c>
      <c r="G329" s="12">
        <v>3552</v>
      </c>
      <c r="H329" s="12" t="s">
        <v>16</v>
      </c>
    </row>
    <row r="330" spans="1:8" x14ac:dyDescent="0.25">
      <c r="A330" s="11">
        <v>42401</v>
      </c>
      <c r="B330" s="12">
        <v>12418</v>
      </c>
      <c r="C330" s="12" t="s">
        <v>2</v>
      </c>
      <c r="D330" s="1"/>
      <c r="F330" s="11">
        <v>40969</v>
      </c>
      <c r="G330" s="12">
        <v>21322</v>
      </c>
      <c r="H330" s="12" t="s">
        <v>14</v>
      </c>
    </row>
    <row r="331" spans="1:8" x14ac:dyDescent="0.25">
      <c r="A331" s="11">
        <v>42430</v>
      </c>
      <c r="B331" s="12">
        <v>489</v>
      </c>
      <c r="C331" s="12" t="s">
        <v>2</v>
      </c>
      <c r="D331" s="1"/>
      <c r="F331" s="11">
        <v>40969</v>
      </c>
      <c r="G331" s="12">
        <v>564</v>
      </c>
      <c r="H331" s="12" t="s">
        <v>29</v>
      </c>
    </row>
    <row r="332" spans="1:8" x14ac:dyDescent="0.25">
      <c r="A332" s="11">
        <v>42430</v>
      </c>
      <c r="B332" s="12">
        <v>244</v>
      </c>
      <c r="C332" s="12" t="s">
        <v>6</v>
      </c>
      <c r="D332" s="1"/>
      <c r="F332" s="11">
        <v>41000</v>
      </c>
      <c r="G332" s="12">
        <v>4299</v>
      </c>
      <c r="H332" s="12" t="s">
        <v>15</v>
      </c>
    </row>
    <row r="333" spans="1:8" x14ac:dyDescent="0.25">
      <c r="D333" s="1"/>
      <c r="F333" s="11">
        <v>41000</v>
      </c>
      <c r="G333" s="12">
        <v>3747</v>
      </c>
      <c r="H333" s="12" t="s">
        <v>16</v>
      </c>
    </row>
    <row r="334" spans="1:8" x14ac:dyDescent="0.25">
      <c r="D334" s="1"/>
      <c r="F334" s="11">
        <v>41000</v>
      </c>
      <c r="G334" s="12">
        <v>31372</v>
      </c>
      <c r="H334" s="12" t="s">
        <v>14</v>
      </c>
    </row>
    <row r="335" spans="1:8" x14ac:dyDescent="0.25">
      <c r="D335" s="1"/>
      <c r="F335" s="11">
        <v>41000</v>
      </c>
      <c r="G335" s="12">
        <v>478</v>
      </c>
      <c r="H335" s="12" t="s">
        <v>29</v>
      </c>
    </row>
    <row r="336" spans="1:8" x14ac:dyDescent="0.25">
      <c r="D336" s="1"/>
      <c r="F336" s="11">
        <v>41030</v>
      </c>
      <c r="G336" s="12">
        <v>4395</v>
      </c>
      <c r="H336" s="12" t="s">
        <v>15</v>
      </c>
    </row>
    <row r="337" spans="4:8" x14ac:dyDescent="0.25">
      <c r="D337" s="1"/>
      <c r="F337" s="11">
        <v>41030</v>
      </c>
      <c r="G337" s="12">
        <v>5114</v>
      </c>
      <c r="H337" s="12" t="s">
        <v>16</v>
      </c>
    </row>
    <row r="338" spans="4:8" x14ac:dyDescent="0.25">
      <c r="D338" s="1"/>
      <c r="F338" s="11">
        <v>41030</v>
      </c>
      <c r="G338" s="12">
        <v>36518</v>
      </c>
      <c r="H338" s="12" t="s">
        <v>14</v>
      </c>
    </row>
    <row r="339" spans="4:8" x14ac:dyDescent="0.25">
      <c r="D339" s="1"/>
      <c r="F339" s="11">
        <v>41030</v>
      </c>
      <c r="G339" s="12">
        <v>444</v>
      </c>
      <c r="H339" s="12" t="s">
        <v>29</v>
      </c>
    </row>
    <row r="340" spans="4:8" x14ac:dyDescent="0.25">
      <c r="D340" s="1"/>
      <c r="F340" s="11">
        <v>41061</v>
      </c>
      <c r="G340" s="12">
        <v>4175</v>
      </c>
      <c r="H340" s="12" t="s">
        <v>15</v>
      </c>
    </row>
    <row r="341" spans="4:8" x14ac:dyDescent="0.25">
      <c r="D341" s="1"/>
      <c r="F341" s="11">
        <v>41061</v>
      </c>
      <c r="G341" s="12">
        <v>8240</v>
      </c>
      <c r="H341" s="12" t="s">
        <v>16</v>
      </c>
    </row>
    <row r="342" spans="4:8" x14ac:dyDescent="0.25">
      <c r="D342" s="1"/>
      <c r="F342" s="11">
        <v>41061</v>
      </c>
      <c r="G342" s="12">
        <v>42915</v>
      </c>
      <c r="H342" s="12" t="s">
        <v>14</v>
      </c>
    </row>
    <row r="343" spans="4:8" x14ac:dyDescent="0.25">
      <c r="D343" s="1"/>
      <c r="F343" s="11">
        <v>41061</v>
      </c>
      <c r="G343" s="12">
        <v>681</v>
      </c>
      <c r="H343" s="12" t="s">
        <v>29</v>
      </c>
    </row>
    <row r="344" spans="4:8" x14ac:dyDescent="0.25">
      <c r="D344" s="1"/>
      <c r="F344" s="11">
        <v>41091</v>
      </c>
      <c r="G344" s="12">
        <v>3460</v>
      </c>
      <c r="H344" s="12" t="s">
        <v>15</v>
      </c>
    </row>
    <row r="345" spans="4:8" x14ac:dyDescent="0.25">
      <c r="D345" s="1"/>
      <c r="F345" s="11">
        <v>41091</v>
      </c>
      <c r="G345" s="12">
        <v>9745</v>
      </c>
      <c r="H345" s="12" t="s">
        <v>16</v>
      </c>
    </row>
    <row r="346" spans="4:8" x14ac:dyDescent="0.25">
      <c r="D346" s="1"/>
      <c r="F346" s="11">
        <v>41091</v>
      </c>
      <c r="G346" s="12">
        <v>45971</v>
      </c>
      <c r="H346" s="12" t="s">
        <v>14</v>
      </c>
    </row>
    <row r="347" spans="4:8" x14ac:dyDescent="0.25">
      <c r="D347" s="1"/>
      <c r="F347" s="11">
        <v>41091</v>
      </c>
      <c r="G347" s="12">
        <v>733</v>
      </c>
      <c r="H347" s="12" t="s">
        <v>29</v>
      </c>
    </row>
    <row r="348" spans="4:8" x14ac:dyDescent="0.25">
      <c r="D348" s="1"/>
      <c r="F348" s="11">
        <v>41122</v>
      </c>
      <c r="G348" s="12">
        <v>3625</v>
      </c>
      <c r="H348" s="12" t="s">
        <v>15</v>
      </c>
    </row>
    <row r="349" spans="4:8" x14ac:dyDescent="0.25">
      <c r="D349" s="1"/>
      <c r="F349" s="11">
        <v>41122</v>
      </c>
      <c r="G349" s="12">
        <v>11531</v>
      </c>
      <c r="H349" s="12" t="s">
        <v>16</v>
      </c>
    </row>
    <row r="350" spans="4:8" x14ac:dyDescent="0.25">
      <c r="D350" s="1"/>
      <c r="F350" s="11">
        <v>41122</v>
      </c>
      <c r="G350" s="12">
        <v>43691</v>
      </c>
      <c r="H350" s="12" t="s">
        <v>14</v>
      </c>
    </row>
    <row r="351" spans="4:8" x14ac:dyDescent="0.25">
      <c r="D351" s="1"/>
      <c r="F351" s="11">
        <v>41122</v>
      </c>
      <c r="G351" s="12">
        <v>672</v>
      </c>
      <c r="H351" s="12" t="s">
        <v>29</v>
      </c>
    </row>
    <row r="352" spans="4:8" x14ac:dyDescent="0.25">
      <c r="D352" s="1"/>
      <c r="F352" s="11">
        <v>41153</v>
      </c>
      <c r="G352" s="12">
        <v>5045</v>
      </c>
      <c r="H352" s="12" t="s">
        <v>15</v>
      </c>
    </row>
    <row r="353" spans="4:8" x14ac:dyDescent="0.25">
      <c r="D353" s="1"/>
      <c r="F353" s="11">
        <v>41153</v>
      </c>
      <c r="G353" s="12">
        <v>12049</v>
      </c>
      <c r="H353" s="12" t="s">
        <v>16</v>
      </c>
    </row>
    <row r="354" spans="4:8" x14ac:dyDescent="0.25">
      <c r="D354" s="1"/>
      <c r="F354" s="11">
        <v>41153</v>
      </c>
      <c r="G354" s="12">
        <v>40793</v>
      </c>
      <c r="H354" s="12" t="s">
        <v>14</v>
      </c>
    </row>
    <row r="355" spans="4:8" x14ac:dyDescent="0.25">
      <c r="D355" s="1"/>
      <c r="F355" s="11">
        <v>41153</v>
      </c>
      <c r="G355" s="12">
        <v>803</v>
      </c>
      <c r="H355" s="12" t="s">
        <v>29</v>
      </c>
    </row>
    <row r="356" spans="4:8" x14ac:dyDescent="0.25">
      <c r="D356" s="1"/>
      <c r="F356" s="11">
        <v>41183</v>
      </c>
      <c r="G356" s="12">
        <v>6776</v>
      </c>
      <c r="H356" s="12" t="s">
        <v>15</v>
      </c>
    </row>
    <row r="357" spans="4:8" x14ac:dyDescent="0.25">
      <c r="D357" s="1"/>
      <c r="F357" s="11">
        <v>41183</v>
      </c>
      <c r="G357" s="12">
        <v>11880</v>
      </c>
      <c r="H357" s="12" t="s">
        <v>16</v>
      </c>
    </row>
    <row r="358" spans="4:8" x14ac:dyDescent="0.25">
      <c r="D358" s="1"/>
      <c r="F358" s="11">
        <v>41183</v>
      </c>
      <c r="G358" s="12">
        <v>40118</v>
      </c>
      <c r="H358" s="12" t="s">
        <v>14</v>
      </c>
    </row>
    <row r="359" spans="4:8" x14ac:dyDescent="0.25">
      <c r="D359" s="1"/>
      <c r="F359" s="11">
        <v>41183</v>
      </c>
      <c r="G359" s="12">
        <v>687</v>
      </c>
      <c r="H359" s="12" t="s">
        <v>29</v>
      </c>
    </row>
    <row r="360" spans="4:8" x14ac:dyDescent="0.25">
      <c r="D360" s="1"/>
      <c r="F360" s="11">
        <v>41214</v>
      </c>
      <c r="G360" s="12">
        <v>7808</v>
      </c>
      <c r="H360" s="12" t="s">
        <v>15</v>
      </c>
    </row>
    <row r="361" spans="4:8" x14ac:dyDescent="0.25">
      <c r="D361" s="1"/>
      <c r="F361" s="11">
        <v>41214</v>
      </c>
      <c r="G361" s="12">
        <v>11467</v>
      </c>
      <c r="H361" s="12" t="s">
        <v>16</v>
      </c>
    </row>
    <row r="362" spans="4:8" x14ac:dyDescent="0.25">
      <c r="D362" s="1"/>
      <c r="F362" s="11">
        <v>41214</v>
      </c>
      <c r="G362" s="12">
        <v>35669</v>
      </c>
      <c r="H362" s="12" t="s">
        <v>14</v>
      </c>
    </row>
    <row r="363" spans="4:8" x14ac:dyDescent="0.25">
      <c r="D363" s="1"/>
      <c r="F363" s="11">
        <v>41214</v>
      </c>
      <c r="G363" s="12">
        <v>781</v>
      </c>
      <c r="H363" s="12" t="s">
        <v>29</v>
      </c>
    </row>
    <row r="364" spans="4:8" x14ac:dyDescent="0.25">
      <c r="D364" s="1"/>
      <c r="F364" s="11">
        <v>41244</v>
      </c>
      <c r="G364" s="12">
        <v>8294</v>
      </c>
      <c r="H364" s="12" t="s">
        <v>15</v>
      </c>
    </row>
    <row r="365" spans="4:8" x14ac:dyDescent="0.25">
      <c r="D365" s="1"/>
      <c r="F365" s="11">
        <v>41244</v>
      </c>
      <c r="G365" s="12">
        <v>11551</v>
      </c>
      <c r="H365" s="12" t="s">
        <v>16</v>
      </c>
    </row>
    <row r="366" spans="4:8" x14ac:dyDescent="0.25">
      <c r="D366" s="1"/>
      <c r="F366" s="11">
        <v>41244</v>
      </c>
      <c r="G366" s="12">
        <v>41177</v>
      </c>
      <c r="H366" s="12" t="s">
        <v>14</v>
      </c>
    </row>
    <row r="367" spans="4:8" x14ac:dyDescent="0.25">
      <c r="D367" s="1"/>
      <c r="F367" s="11">
        <v>41244</v>
      </c>
      <c r="G367" s="12">
        <v>703</v>
      </c>
      <c r="H367" s="12" t="s">
        <v>29</v>
      </c>
    </row>
    <row r="368" spans="4:8" x14ac:dyDescent="0.25">
      <c r="D368" s="1"/>
      <c r="F368" s="11">
        <v>41275</v>
      </c>
      <c r="G368" s="12">
        <v>7986</v>
      </c>
      <c r="H368" s="12" t="s">
        <v>15</v>
      </c>
    </row>
    <row r="369" spans="4:8" x14ac:dyDescent="0.25">
      <c r="D369" s="1"/>
      <c r="F369" s="11">
        <v>41275</v>
      </c>
      <c r="G369" s="12">
        <v>9585</v>
      </c>
      <c r="H369" s="12" t="s">
        <v>16</v>
      </c>
    </row>
    <row r="370" spans="4:8" x14ac:dyDescent="0.25">
      <c r="D370" s="1"/>
      <c r="F370" s="11">
        <v>41275</v>
      </c>
      <c r="G370" s="12">
        <v>34074</v>
      </c>
      <c r="H370" s="12" t="s">
        <v>14</v>
      </c>
    </row>
    <row r="371" spans="4:8" x14ac:dyDescent="0.25">
      <c r="D371" s="1"/>
      <c r="F371" s="11">
        <v>41275</v>
      </c>
      <c r="G371" s="12">
        <v>787</v>
      </c>
      <c r="H371" s="12" t="s">
        <v>29</v>
      </c>
    </row>
    <row r="372" spans="4:8" x14ac:dyDescent="0.25">
      <c r="D372" s="1"/>
      <c r="F372" s="11">
        <v>41306</v>
      </c>
      <c r="G372" s="12">
        <v>9617</v>
      </c>
      <c r="H372" s="12" t="s">
        <v>15</v>
      </c>
    </row>
    <row r="373" spans="4:8" x14ac:dyDescent="0.25">
      <c r="D373" s="1"/>
      <c r="F373" s="11">
        <v>41306</v>
      </c>
      <c r="G373" s="12">
        <v>10220</v>
      </c>
      <c r="H373" s="12" t="s">
        <v>16</v>
      </c>
    </row>
    <row r="374" spans="4:8" x14ac:dyDescent="0.25">
      <c r="D374" s="1"/>
      <c r="F374" s="11">
        <v>41306</v>
      </c>
      <c r="G374" s="12">
        <v>34581</v>
      </c>
      <c r="H374" s="12" t="s">
        <v>14</v>
      </c>
    </row>
    <row r="375" spans="4:8" x14ac:dyDescent="0.25">
      <c r="D375" s="1"/>
      <c r="F375" s="11">
        <v>41306</v>
      </c>
      <c r="G375" s="12">
        <v>822</v>
      </c>
      <c r="H375" s="12" t="s">
        <v>29</v>
      </c>
    </row>
    <row r="376" spans="4:8" x14ac:dyDescent="0.25">
      <c r="D376" s="1"/>
      <c r="F376" s="11">
        <v>41334</v>
      </c>
      <c r="G376" s="12">
        <v>10209</v>
      </c>
      <c r="H376" s="12" t="s">
        <v>15</v>
      </c>
    </row>
    <row r="377" spans="4:8" x14ac:dyDescent="0.25">
      <c r="D377" s="1"/>
      <c r="F377" s="11">
        <v>41334</v>
      </c>
      <c r="G377" s="12">
        <v>8974</v>
      </c>
      <c r="H377" s="12" t="s">
        <v>16</v>
      </c>
    </row>
    <row r="378" spans="4:8" x14ac:dyDescent="0.25">
      <c r="D378" s="1"/>
      <c r="F378" s="11">
        <v>41334</v>
      </c>
      <c r="G378" s="12">
        <v>37309</v>
      </c>
      <c r="H378" s="12" t="s">
        <v>14</v>
      </c>
    </row>
    <row r="379" spans="4:8" x14ac:dyDescent="0.25">
      <c r="D379" s="1"/>
      <c r="F379" s="11">
        <v>41334</v>
      </c>
      <c r="G379" s="12">
        <v>634</v>
      </c>
      <c r="H379" s="12" t="s">
        <v>29</v>
      </c>
    </row>
    <row r="380" spans="4:8" x14ac:dyDescent="0.25">
      <c r="D380" s="1"/>
      <c r="F380" s="11">
        <v>41365</v>
      </c>
      <c r="G380" s="12">
        <v>8975</v>
      </c>
      <c r="H380" s="12" t="s">
        <v>15</v>
      </c>
    </row>
    <row r="381" spans="4:8" x14ac:dyDescent="0.25">
      <c r="D381" s="1"/>
      <c r="F381" s="11">
        <v>41365</v>
      </c>
      <c r="G381" s="12">
        <v>10666</v>
      </c>
      <c r="H381" s="12" t="s">
        <v>16</v>
      </c>
    </row>
    <row r="382" spans="4:8" x14ac:dyDescent="0.25">
      <c r="D382" s="1"/>
      <c r="F382" s="11">
        <v>41365</v>
      </c>
      <c r="G382" s="12">
        <v>38148</v>
      </c>
      <c r="H382" s="12" t="s">
        <v>14</v>
      </c>
    </row>
    <row r="383" spans="4:8" x14ac:dyDescent="0.25">
      <c r="D383" s="1"/>
      <c r="F383" s="11">
        <v>41365</v>
      </c>
      <c r="G383" s="12">
        <v>616</v>
      </c>
      <c r="H383" s="12" t="s">
        <v>29</v>
      </c>
    </row>
    <row r="384" spans="4:8" x14ac:dyDescent="0.25">
      <c r="D384" s="1"/>
      <c r="F384" s="11">
        <v>41395</v>
      </c>
      <c r="G384" s="12">
        <v>8191</v>
      </c>
      <c r="H384" s="12" t="s">
        <v>15</v>
      </c>
    </row>
    <row r="385" spans="4:8" x14ac:dyDescent="0.25">
      <c r="D385" s="1"/>
      <c r="F385" s="11">
        <v>41395</v>
      </c>
      <c r="G385" s="12">
        <v>11941</v>
      </c>
      <c r="H385" s="12" t="s">
        <v>16</v>
      </c>
    </row>
    <row r="386" spans="4:8" x14ac:dyDescent="0.25">
      <c r="D386" s="1"/>
      <c r="F386" s="11">
        <v>41395</v>
      </c>
      <c r="G386" s="12">
        <v>38694</v>
      </c>
      <c r="H386" s="12" t="s">
        <v>14</v>
      </c>
    </row>
    <row r="387" spans="4:8" x14ac:dyDescent="0.25">
      <c r="D387" s="1"/>
      <c r="F387" s="11">
        <v>41395</v>
      </c>
      <c r="G387" s="12">
        <v>595</v>
      </c>
      <c r="H387" s="12" t="s">
        <v>29</v>
      </c>
    </row>
    <row r="388" spans="4:8" x14ac:dyDescent="0.25">
      <c r="D388" s="1"/>
      <c r="F388" s="11">
        <v>41426</v>
      </c>
      <c r="G388" s="12">
        <v>8039</v>
      </c>
      <c r="H388" s="12" t="s">
        <v>15</v>
      </c>
    </row>
    <row r="389" spans="4:8" x14ac:dyDescent="0.25">
      <c r="D389" s="1"/>
      <c r="F389" s="11">
        <v>41426</v>
      </c>
      <c r="G389" s="12">
        <v>13239</v>
      </c>
      <c r="H389" s="12" t="s">
        <v>16</v>
      </c>
    </row>
    <row r="390" spans="4:8" x14ac:dyDescent="0.25">
      <c r="D390" s="1"/>
      <c r="F390" s="11">
        <v>41426</v>
      </c>
      <c r="G390" s="12">
        <v>36066</v>
      </c>
      <c r="H390" s="12" t="s">
        <v>14</v>
      </c>
    </row>
    <row r="391" spans="4:8" x14ac:dyDescent="0.25">
      <c r="D391" s="1"/>
      <c r="F391" s="11">
        <v>41426</v>
      </c>
      <c r="G391" s="12">
        <v>532</v>
      </c>
      <c r="H391" s="12" t="s">
        <v>29</v>
      </c>
    </row>
    <row r="392" spans="4:8" x14ac:dyDescent="0.25">
      <c r="D392" s="1"/>
      <c r="F392" s="11">
        <v>41456</v>
      </c>
      <c r="G392" s="12">
        <v>8458</v>
      </c>
      <c r="H392" s="12" t="s">
        <v>15</v>
      </c>
    </row>
    <row r="393" spans="4:8" x14ac:dyDescent="0.25">
      <c r="D393" s="1"/>
      <c r="F393" s="11">
        <v>41456</v>
      </c>
      <c r="G393" s="12">
        <v>17893</v>
      </c>
      <c r="H393" s="12" t="s">
        <v>16</v>
      </c>
    </row>
    <row r="394" spans="4:8" x14ac:dyDescent="0.25">
      <c r="D394" s="1"/>
      <c r="F394" s="11">
        <v>41456</v>
      </c>
      <c r="G394" s="12">
        <v>32031</v>
      </c>
      <c r="H394" s="12" t="s">
        <v>14</v>
      </c>
    </row>
    <row r="395" spans="4:8" x14ac:dyDescent="0.25">
      <c r="D395" s="1"/>
      <c r="F395" s="11">
        <v>41456</v>
      </c>
      <c r="G395" s="12">
        <v>373</v>
      </c>
      <c r="H395" s="12" t="s">
        <v>29</v>
      </c>
    </row>
    <row r="396" spans="4:8" x14ac:dyDescent="0.25">
      <c r="D396" s="1"/>
      <c r="F396" s="11">
        <v>41487</v>
      </c>
      <c r="G396" s="12">
        <v>6695</v>
      </c>
      <c r="H396" s="12" t="s">
        <v>15</v>
      </c>
    </row>
    <row r="397" spans="4:8" x14ac:dyDescent="0.25">
      <c r="D397" s="1"/>
      <c r="F397" s="11">
        <v>41487</v>
      </c>
      <c r="G397" s="12">
        <v>17608</v>
      </c>
      <c r="H397" s="12" t="s">
        <v>16</v>
      </c>
    </row>
    <row r="398" spans="4:8" x14ac:dyDescent="0.25">
      <c r="D398" s="1"/>
      <c r="F398" s="11">
        <v>41487</v>
      </c>
      <c r="G398" s="12">
        <v>28050</v>
      </c>
      <c r="H398" s="12" t="s">
        <v>14</v>
      </c>
    </row>
    <row r="399" spans="4:8" x14ac:dyDescent="0.25">
      <c r="D399" s="1"/>
      <c r="F399" s="11">
        <v>41487</v>
      </c>
      <c r="G399" s="12">
        <v>427</v>
      </c>
      <c r="H399" s="12" t="s">
        <v>29</v>
      </c>
    </row>
    <row r="400" spans="4:8" x14ac:dyDescent="0.25">
      <c r="D400" s="1"/>
      <c r="F400" s="11">
        <v>41518</v>
      </c>
      <c r="G400" s="12">
        <v>5389</v>
      </c>
      <c r="H400" s="12" t="s">
        <v>15</v>
      </c>
    </row>
    <row r="401" spans="4:8" x14ac:dyDescent="0.25">
      <c r="D401" s="1"/>
      <c r="F401" s="11">
        <v>41518</v>
      </c>
      <c r="G401" s="12">
        <v>17096</v>
      </c>
      <c r="H401" s="12" t="s">
        <v>16</v>
      </c>
    </row>
    <row r="402" spans="4:8" x14ac:dyDescent="0.25">
      <c r="D402" s="1"/>
      <c r="F402" s="11">
        <v>41518</v>
      </c>
      <c r="G402" s="12">
        <v>26408</v>
      </c>
      <c r="H402" s="12" t="s">
        <v>14</v>
      </c>
    </row>
    <row r="403" spans="4:8" x14ac:dyDescent="0.25">
      <c r="D403" s="1"/>
      <c r="F403" s="11">
        <v>41518</v>
      </c>
      <c r="G403" s="12">
        <v>496</v>
      </c>
      <c r="H403" s="12" t="s">
        <v>29</v>
      </c>
    </row>
    <row r="404" spans="4:8" x14ac:dyDescent="0.25">
      <c r="D404" s="1"/>
      <c r="F404" s="11">
        <v>41548</v>
      </c>
      <c r="G404" s="12">
        <v>3490</v>
      </c>
      <c r="H404" s="12" t="s">
        <v>15</v>
      </c>
    </row>
    <row r="405" spans="4:8" x14ac:dyDescent="0.25">
      <c r="D405" s="1"/>
      <c r="F405" s="11">
        <v>41548</v>
      </c>
      <c r="G405" s="12">
        <v>15807</v>
      </c>
      <c r="H405" s="12" t="s">
        <v>16</v>
      </c>
    </row>
    <row r="406" spans="4:8" x14ac:dyDescent="0.25">
      <c r="D406" s="1"/>
      <c r="F406" s="11">
        <v>41548</v>
      </c>
      <c r="G406" s="12">
        <v>21270</v>
      </c>
      <c r="H406" s="12" t="s">
        <v>14</v>
      </c>
    </row>
    <row r="407" spans="4:8" x14ac:dyDescent="0.25">
      <c r="D407" s="1"/>
      <c r="F407" s="11">
        <v>41548</v>
      </c>
      <c r="G407" s="12">
        <v>421</v>
      </c>
      <c r="H407" s="12" t="s">
        <v>29</v>
      </c>
    </row>
    <row r="408" spans="4:8" x14ac:dyDescent="0.25">
      <c r="D408" s="1"/>
      <c r="F408" s="11">
        <v>41579</v>
      </c>
      <c r="G408" s="12">
        <v>2439</v>
      </c>
      <c r="H408" s="12" t="s">
        <v>15</v>
      </c>
    </row>
    <row r="409" spans="4:8" x14ac:dyDescent="0.25">
      <c r="D409" s="1"/>
      <c r="F409" s="11">
        <v>41579</v>
      </c>
      <c r="G409" s="12">
        <v>13719</v>
      </c>
      <c r="H409" s="12" t="s">
        <v>16</v>
      </c>
    </row>
    <row r="410" spans="4:8" x14ac:dyDescent="0.25">
      <c r="D410" s="1"/>
      <c r="F410" s="11">
        <v>41579</v>
      </c>
      <c r="G410" s="12">
        <v>15568</v>
      </c>
      <c r="H410" s="12" t="s">
        <v>14</v>
      </c>
    </row>
    <row r="411" spans="4:8" x14ac:dyDescent="0.25">
      <c r="D411" s="1"/>
      <c r="F411" s="11">
        <v>41579</v>
      </c>
      <c r="G411" s="12">
        <v>554</v>
      </c>
      <c r="H411" s="12" t="s">
        <v>29</v>
      </c>
    </row>
    <row r="412" spans="4:8" x14ac:dyDescent="0.25">
      <c r="D412" s="1"/>
      <c r="F412" s="11">
        <v>41609</v>
      </c>
      <c r="G412" s="12">
        <v>2318</v>
      </c>
      <c r="H412" s="12" t="s">
        <v>15</v>
      </c>
    </row>
    <row r="413" spans="4:8" x14ac:dyDescent="0.25">
      <c r="D413" s="1"/>
      <c r="F413" s="11">
        <v>41609</v>
      </c>
      <c r="G413" s="12">
        <v>14605</v>
      </c>
      <c r="H413" s="12" t="s">
        <v>16</v>
      </c>
    </row>
    <row r="414" spans="4:8" x14ac:dyDescent="0.25">
      <c r="D414" s="1"/>
      <c r="F414" s="11">
        <v>41609</v>
      </c>
      <c r="G414" s="12">
        <v>13435</v>
      </c>
      <c r="H414" s="12" t="s">
        <v>14</v>
      </c>
    </row>
    <row r="415" spans="4:8" x14ac:dyDescent="0.25">
      <c r="D415" s="1"/>
      <c r="F415" s="11">
        <v>41609</v>
      </c>
      <c r="G415" s="12">
        <v>556</v>
      </c>
      <c r="H415" s="12" t="s">
        <v>29</v>
      </c>
    </row>
    <row r="416" spans="4:8" x14ac:dyDescent="0.25">
      <c r="D416" s="1"/>
      <c r="F416" s="11">
        <v>41640</v>
      </c>
      <c r="G416" s="12">
        <v>2903</v>
      </c>
      <c r="H416" s="12" t="s">
        <v>15</v>
      </c>
    </row>
    <row r="417" spans="4:8" x14ac:dyDescent="0.25">
      <c r="D417" s="1"/>
      <c r="F417" s="11">
        <v>41640</v>
      </c>
      <c r="G417" s="12">
        <v>14684</v>
      </c>
      <c r="H417" s="12" t="s">
        <v>16</v>
      </c>
    </row>
    <row r="418" spans="4:8" x14ac:dyDescent="0.25">
      <c r="D418" s="1"/>
      <c r="F418" s="11">
        <v>41640</v>
      </c>
      <c r="G418" s="12">
        <v>11391</v>
      </c>
      <c r="H418" s="12" t="s">
        <v>14</v>
      </c>
    </row>
    <row r="419" spans="4:8" x14ac:dyDescent="0.25">
      <c r="D419" s="1"/>
      <c r="F419" s="11">
        <v>41640</v>
      </c>
      <c r="G419" s="12">
        <v>435</v>
      </c>
      <c r="H419" s="12" t="s">
        <v>29</v>
      </c>
    </row>
    <row r="420" spans="4:8" x14ac:dyDescent="0.25">
      <c r="D420" s="1"/>
      <c r="F420" s="11">
        <v>41671</v>
      </c>
      <c r="G420" s="12">
        <v>2893</v>
      </c>
      <c r="H420" s="12" t="s">
        <v>15</v>
      </c>
    </row>
    <row r="421" spans="4:8" x14ac:dyDescent="0.25">
      <c r="D421" s="1"/>
      <c r="F421" s="11">
        <v>41671</v>
      </c>
      <c r="G421" s="12">
        <v>15754</v>
      </c>
      <c r="H421" s="12" t="s">
        <v>16</v>
      </c>
    </row>
    <row r="422" spans="4:8" x14ac:dyDescent="0.25">
      <c r="D422" s="1"/>
      <c r="F422" s="11">
        <v>41671</v>
      </c>
      <c r="G422" s="12">
        <v>11123</v>
      </c>
      <c r="H422" s="12" t="s">
        <v>14</v>
      </c>
    </row>
    <row r="423" spans="4:8" x14ac:dyDescent="0.25">
      <c r="D423" s="1"/>
      <c r="F423" s="11">
        <v>41671</v>
      </c>
      <c r="G423" s="12">
        <v>353</v>
      </c>
      <c r="H423" s="12" t="s">
        <v>29</v>
      </c>
    </row>
    <row r="424" spans="4:8" x14ac:dyDescent="0.25">
      <c r="D424" s="1"/>
      <c r="F424" s="11">
        <v>41699</v>
      </c>
      <c r="G424" s="12">
        <v>1890</v>
      </c>
      <c r="H424" s="12" t="s">
        <v>15</v>
      </c>
    </row>
    <row r="425" spans="4:8" x14ac:dyDescent="0.25">
      <c r="D425" s="1"/>
      <c r="F425" s="11">
        <v>41699</v>
      </c>
      <c r="G425" s="12">
        <v>10246</v>
      </c>
      <c r="H425" s="12" t="s">
        <v>16</v>
      </c>
    </row>
    <row r="426" spans="4:8" x14ac:dyDescent="0.25">
      <c r="D426" s="1"/>
      <c r="F426" s="11">
        <v>41699</v>
      </c>
      <c r="G426" s="12">
        <v>9232</v>
      </c>
      <c r="H426" s="12" t="s">
        <v>14</v>
      </c>
    </row>
    <row r="427" spans="4:8" x14ac:dyDescent="0.25">
      <c r="D427" s="1"/>
      <c r="F427" s="11">
        <v>41699</v>
      </c>
      <c r="G427" s="12">
        <v>408</v>
      </c>
      <c r="H427" s="12" t="s">
        <v>29</v>
      </c>
    </row>
    <row r="428" spans="4:8" x14ac:dyDescent="0.25">
      <c r="D428" s="1"/>
      <c r="F428" s="11">
        <v>41730</v>
      </c>
      <c r="G428" s="12">
        <v>1754</v>
      </c>
      <c r="H428" s="12" t="s">
        <v>15</v>
      </c>
    </row>
    <row r="429" spans="4:8" x14ac:dyDescent="0.25">
      <c r="D429" s="1"/>
      <c r="F429" s="11">
        <v>41730</v>
      </c>
      <c r="G429" s="12">
        <v>11775</v>
      </c>
      <c r="H429" s="12" t="s">
        <v>16</v>
      </c>
    </row>
    <row r="430" spans="4:8" x14ac:dyDescent="0.25">
      <c r="D430" s="1"/>
      <c r="F430" s="11">
        <v>41730</v>
      </c>
      <c r="G430" s="12">
        <v>7551</v>
      </c>
      <c r="H430" s="12" t="s">
        <v>14</v>
      </c>
    </row>
    <row r="431" spans="4:8" x14ac:dyDescent="0.25">
      <c r="D431" s="1"/>
      <c r="F431" s="11">
        <v>41730</v>
      </c>
      <c r="G431" s="12">
        <v>391</v>
      </c>
      <c r="H431" s="12" t="s">
        <v>29</v>
      </c>
    </row>
    <row r="432" spans="4:8" x14ac:dyDescent="0.25">
      <c r="D432" s="1"/>
      <c r="F432" s="11">
        <v>41760</v>
      </c>
      <c r="G432" s="12">
        <v>2557</v>
      </c>
      <c r="H432" s="12" t="s">
        <v>15</v>
      </c>
    </row>
    <row r="433" spans="4:8" x14ac:dyDescent="0.25">
      <c r="D433" s="1"/>
      <c r="F433" s="11">
        <v>41760</v>
      </c>
      <c r="G433" s="12">
        <v>16480</v>
      </c>
      <c r="H433" s="12" t="s">
        <v>16</v>
      </c>
    </row>
    <row r="434" spans="4:8" x14ac:dyDescent="0.25">
      <c r="D434" s="1"/>
      <c r="F434" s="11">
        <v>41760</v>
      </c>
      <c r="G434" s="12">
        <v>7864</v>
      </c>
      <c r="H434" s="12" t="s">
        <v>14</v>
      </c>
    </row>
    <row r="435" spans="4:8" x14ac:dyDescent="0.25">
      <c r="D435" s="1"/>
      <c r="F435" s="11">
        <v>41760</v>
      </c>
      <c r="G435" s="12">
        <v>270</v>
      </c>
      <c r="H435" s="12" t="s">
        <v>29</v>
      </c>
    </row>
    <row r="436" spans="4:8" x14ac:dyDescent="0.25">
      <c r="D436" s="1"/>
      <c r="F436" s="11">
        <v>41791</v>
      </c>
      <c r="G436" s="12">
        <v>2364</v>
      </c>
      <c r="H436" s="12" t="s">
        <v>15</v>
      </c>
    </row>
    <row r="437" spans="4:8" x14ac:dyDescent="0.25">
      <c r="D437" s="1"/>
      <c r="F437" s="11">
        <v>41791</v>
      </c>
      <c r="G437" s="12">
        <v>18577</v>
      </c>
      <c r="H437" s="12" t="s">
        <v>16</v>
      </c>
    </row>
    <row r="438" spans="4:8" x14ac:dyDescent="0.25">
      <c r="D438" s="1"/>
      <c r="F438" s="11">
        <v>41791</v>
      </c>
      <c r="G438" s="12">
        <v>7314</v>
      </c>
      <c r="H438" s="12" t="s">
        <v>14</v>
      </c>
    </row>
    <row r="439" spans="4:8" x14ac:dyDescent="0.25">
      <c r="D439" s="1"/>
      <c r="F439" s="11">
        <v>41791</v>
      </c>
      <c r="G439" s="12">
        <v>45</v>
      </c>
      <c r="H439" s="12" t="s">
        <v>29</v>
      </c>
    </row>
    <row r="440" spans="4:8" x14ac:dyDescent="0.25">
      <c r="D440" s="1"/>
      <c r="F440" s="11">
        <v>41821</v>
      </c>
      <c r="G440" s="12">
        <v>2316</v>
      </c>
      <c r="H440" s="12" t="s">
        <v>15</v>
      </c>
    </row>
    <row r="441" spans="4:8" x14ac:dyDescent="0.25">
      <c r="D441" s="1"/>
      <c r="F441" s="11">
        <v>41821</v>
      </c>
      <c r="G441" s="12">
        <v>21492</v>
      </c>
      <c r="H441" s="12" t="s">
        <v>16</v>
      </c>
    </row>
    <row r="442" spans="4:8" x14ac:dyDescent="0.25">
      <c r="D442" s="1"/>
      <c r="F442" s="11">
        <v>41821</v>
      </c>
      <c r="G442" s="12">
        <v>6129</v>
      </c>
      <c r="H442" s="12" t="s">
        <v>14</v>
      </c>
    </row>
    <row r="443" spans="4:8" x14ac:dyDescent="0.25">
      <c r="D443" s="1"/>
      <c r="F443" s="11">
        <v>41821</v>
      </c>
      <c r="G443" s="12">
        <v>28</v>
      </c>
      <c r="H443" s="12" t="s">
        <v>29</v>
      </c>
    </row>
    <row r="444" spans="4:8" x14ac:dyDescent="0.25">
      <c r="D444" s="1"/>
      <c r="F444" s="11">
        <v>41852</v>
      </c>
      <c r="G444" s="12">
        <v>3238</v>
      </c>
      <c r="H444" s="12" t="s">
        <v>15</v>
      </c>
    </row>
    <row r="445" spans="4:8" x14ac:dyDescent="0.25">
      <c r="D445" s="1"/>
      <c r="F445" s="11">
        <v>41852</v>
      </c>
      <c r="G445" s="12">
        <v>25985</v>
      </c>
      <c r="H445" s="12" t="s">
        <v>16</v>
      </c>
    </row>
    <row r="446" spans="4:8" x14ac:dyDescent="0.25">
      <c r="D446" s="1"/>
      <c r="F446" s="11">
        <v>41852</v>
      </c>
      <c r="G446" s="12">
        <v>5322</v>
      </c>
      <c r="H446" s="12" t="s">
        <v>14</v>
      </c>
    </row>
    <row r="447" spans="4:8" x14ac:dyDescent="0.25">
      <c r="D447" s="1"/>
      <c r="F447" s="11">
        <v>41883</v>
      </c>
      <c r="G447" s="12">
        <v>3204</v>
      </c>
      <c r="H447" s="12" t="s">
        <v>15</v>
      </c>
    </row>
    <row r="448" spans="4:8" x14ac:dyDescent="0.25">
      <c r="D448" s="1"/>
      <c r="F448" s="11">
        <v>41883</v>
      </c>
      <c r="G448" s="12">
        <v>25782</v>
      </c>
      <c r="H448" s="12" t="s">
        <v>16</v>
      </c>
    </row>
    <row r="449" spans="4:8" x14ac:dyDescent="0.25">
      <c r="D449" s="1"/>
      <c r="F449" s="11">
        <v>41883</v>
      </c>
      <c r="G449" s="12">
        <v>4924</v>
      </c>
      <c r="H449" s="12" t="s">
        <v>14</v>
      </c>
    </row>
    <row r="450" spans="4:8" x14ac:dyDescent="0.25">
      <c r="D450" s="1"/>
      <c r="F450" s="11">
        <v>41913</v>
      </c>
      <c r="G450" s="12">
        <v>3499</v>
      </c>
      <c r="H450" s="12" t="s">
        <v>15</v>
      </c>
    </row>
    <row r="451" spans="4:8" x14ac:dyDescent="0.25">
      <c r="D451" s="1"/>
      <c r="F451" s="11">
        <v>41913</v>
      </c>
      <c r="G451" s="12">
        <v>23995</v>
      </c>
      <c r="H451" s="12" t="s">
        <v>16</v>
      </c>
    </row>
    <row r="452" spans="4:8" x14ac:dyDescent="0.25">
      <c r="D452" s="1"/>
      <c r="F452" s="11">
        <v>41913</v>
      </c>
      <c r="G452" s="12">
        <v>5035</v>
      </c>
      <c r="H452" s="12" t="s">
        <v>14</v>
      </c>
    </row>
    <row r="453" spans="4:8" x14ac:dyDescent="0.25">
      <c r="D453" s="1"/>
      <c r="F453" s="11">
        <v>41944</v>
      </c>
      <c r="G453" s="12">
        <v>3771</v>
      </c>
      <c r="H453" s="12" t="s">
        <v>15</v>
      </c>
    </row>
    <row r="454" spans="4:8" x14ac:dyDescent="0.25">
      <c r="D454" s="1"/>
      <c r="F454" s="11">
        <v>41944</v>
      </c>
      <c r="G454" s="12">
        <v>21738</v>
      </c>
      <c r="H454" s="12" t="s">
        <v>16</v>
      </c>
    </row>
    <row r="455" spans="4:8" x14ac:dyDescent="0.25">
      <c r="D455" s="1"/>
      <c r="F455" s="11">
        <v>41944</v>
      </c>
      <c r="G455" s="12">
        <v>5143</v>
      </c>
      <c r="H455" s="12" t="s">
        <v>14</v>
      </c>
    </row>
    <row r="456" spans="4:8" x14ac:dyDescent="0.25">
      <c r="D456" s="1"/>
      <c r="F456" s="11">
        <v>41974</v>
      </c>
      <c r="G456" s="12">
        <v>4146</v>
      </c>
      <c r="H456" s="12" t="s">
        <v>15</v>
      </c>
    </row>
    <row r="457" spans="4:8" x14ac:dyDescent="0.25">
      <c r="D457" s="1"/>
      <c r="F457" s="11">
        <v>41974</v>
      </c>
      <c r="G457" s="12">
        <v>19341</v>
      </c>
      <c r="H457" s="12" t="s">
        <v>16</v>
      </c>
    </row>
    <row r="458" spans="4:8" x14ac:dyDescent="0.25">
      <c r="D458" s="1"/>
      <c r="F458" s="11">
        <v>41974</v>
      </c>
      <c r="G458" s="12">
        <v>4964</v>
      </c>
      <c r="H458" s="12" t="s">
        <v>14</v>
      </c>
    </row>
    <row r="459" spans="4:8" x14ac:dyDescent="0.25">
      <c r="D459" s="1"/>
      <c r="F459" s="11">
        <v>42005</v>
      </c>
      <c r="G459" s="12">
        <v>5312</v>
      </c>
      <c r="H459" s="12" t="s">
        <v>15</v>
      </c>
    </row>
    <row r="460" spans="4:8" x14ac:dyDescent="0.25">
      <c r="D460" s="1"/>
      <c r="F460" s="11">
        <v>42005</v>
      </c>
      <c r="G460" s="12">
        <v>16464</v>
      </c>
      <c r="H460" s="12" t="s">
        <v>16</v>
      </c>
    </row>
    <row r="461" spans="4:8" x14ac:dyDescent="0.25">
      <c r="D461" s="1"/>
      <c r="F461" s="11">
        <v>42005</v>
      </c>
      <c r="G461" s="12">
        <v>4311</v>
      </c>
      <c r="H461" s="12" t="s">
        <v>14</v>
      </c>
    </row>
    <row r="462" spans="4:8" x14ac:dyDescent="0.25">
      <c r="D462" s="1"/>
      <c r="F462" s="11">
        <v>42036</v>
      </c>
      <c r="G462" s="12">
        <v>4691</v>
      </c>
      <c r="H462" s="12" t="s">
        <v>15</v>
      </c>
    </row>
    <row r="463" spans="4:8" x14ac:dyDescent="0.25">
      <c r="D463" s="1"/>
      <c r="F463" s="11">
        <v>42036</v>
      </c>
      <c r="G463" s="12">
        <v>17397</v>
      </c>
      <c r="H463" s="12" t="s">
        <v>16</v>
      </c>
    </row>
    <row r="464" spans="4:8" x14ac:dyDescent="0.25">
      <c r="D464" s="1"/>
      <c r="F464" s="11">
        <v>42036</v>
      </c>
      <c r="G464" s="12">
        <v>4514</v>
      </c>
      <c r="H464" s="12" t="s">
        <v>14</v>
      </c>
    </row>
    <row r="465" spans="4:8" x14ac:dyDescent="0.25">
      <c r="D465" s="1"/>
      <c r="F465" s="11">
        <v>42064</v>
      </c>
      <c r="G465" s="12">
        <v>6102</v>
      </c>
      <c r="H465" s="12" t="s">
        <v>15</v>
      </c>
    </row>
    <row r="466" spans="4:8" x14ac:dyDescent="0.25">
      <c r="D466" s="1"/>
      <c r="F466" s="11">
        <v>42064</v>
      </c>
      <c r="G466" s="12">
        <v>12928</v>
      </c>
      <c r="H466" s="12" t="s">
        <v>16</v>
      </c>
    </row>
    <row r="467" spans="4:8" x14ac:dyDescent="0.25">
      <c r="D467" s="1"/>
      <c r="F467" s="11">
        <v>42064</v>
      </c>
      <c r="G467" s="12">
        <v>4027</v>
      </c>
      <c r="H467" s="12" t="s">
        <v>14</v>
      </c>
    </row>
    <row r="468" spans="4:8" x14ac:dyDescent="0.25">
      <c r="D468" s="1"/>
      <c r="F468" s="11">
        <v>42095</v>
      </c>
      <c r="G468" s="12">
        <v>8358</v>
      </c>
      <c r="H468" s="12" t="s">
        <v>15</v>
      </c>
    </row>
    <row r="469" spans="4:8" x14ac:dyDescent="0.25">
      <c r="D469" s="1"/>
      <c r="F469" s="11">
        <v>42095</v>
      </c>
      <c r="G469" s="12">
        <v>14247</v>
      </c>
      <c r="H469" s="12" t="s">
        <v>16</v>
      </c>
    </row>
    <row r="470" spans="4:8" x14ac:dyDescent="0.25">
      <c r="D470" s="1"/>
      <c r="F470" s="11">
        <v>42095</v>
      </c>
      <c r="G470" s="12">
        <v>4313</v>
      </c>
      <c r="H470" s="12" t="s">
        <v>14</v>
      </c>
    </row>
    <row r="471" spans="4:8" x14ac:dyDescent="0.25">
      <c r="D471" s="1"/>
      <c r="F471" s="11">
        <v>42125</v>
      </c>
      <c r="G471" s="12">
        <v>10504</v>
      </c>
      <c r="H471" s="12" t="s">
        <v>15</v>
      </c>
    </row>
    <row r="472" spans="4:8" x14ac:dyDescent="0.25">
      <c r="D472" s="1"/>
      <c r="F472" s="11">
        <v>42125</v>
      </c>
      <c r="G472" s="12">
        <v>20828</v>
      </c>
      <c r="H472" s="12" t="s">
        <v>16</v>
      </c>
    </row>
    <row r="473" spans="4:8" x14ac:dyDescent="0.25">
      <c r="D473" s="1"/>
      <c r="F473" s="11">
        <v>42125</v>
      </c>
      <c r="G473" s="12">
        <v>4902</v>
      </c>
      <c r="H473" s="12" t="s">
        <v>14</v>
      </c>
    </row>
    <row r="474" spans="4:8" x14ac:dyDescent="0.25">
      <c r="D474" s="1"/>
      <c r="F474" s="11">
        <v>42156</v>
      </c>
      <c r="G474" s="12">
        <v>7414</v>
      </c>
      <c r="H474" s="12" t="s">
        <v>15</v>
      </c>
    </row>
    <row r="475" spans="4:8" x14ac:dyDescent="0.25">
      <c r="D475" s="1"/>
      <c r="F475" s="11">
        <v>42156</v>
      </c>
      <c r="G475" s="12">
        <v>23031</v>
      </c>
      <c r="H475" s="12" t="s">
        <v>16</v>
      </c>
    </row>
    <row r="476" spans="4:8" x14ac:dyDescent="0.25">
      <c r="D476" s="1"/>
      <c r="F476" s="11">
        <v>42156</v>
      </c>
      <c r="G476" s="12">
        <v>4601</v>
      </c>
      <c r="H476" s="12" t="s">
        <v>14</v>
      </c>
    </row>
    <row r="477" spans="4:8" x14ac:dyDescent="0.25">
      <c r="D477" s="1"/>
      <c r="F477" s="11">
        <v>42186</v>
      </c>
      <c r="G477" s="12">
        <v>6248</v>
      </c>
      <c r="H477" s="12" t="s">
        <v>15</v>
      </c>
    </row>
    <row r="478" spans="4:8" x14ac:dyDescent="0.25">
      <c r="D478" s="1"/>
      <c r="F478" s="11">
        <v>42186</v>
      </c>
      <c r="G478" s="12">
        <v>25573</v>
      </c>
      <c r="H478" s="12" t="s">
        <v>16</v>
      </c>
    </row>
    <row r="479" spans="4:8" x14ac:dyDescent="0.25">
      <c r="D479" s="1"/>
      <c r="F479" s="11">
        <v>42186</v>
      </c>
      <c r="G479" s="12">
        <v>3819</v>
      </c>
      <c r="H479" s="12" t="s">
        <v>14</v>
      </c>
    </row>
    <row r="480" spans="4:8" x14ac:dyDescent="0.25">
      <c r="D480" s="1"/>
      <c r="F480" s="11">
        <v>42217</v>
      </c>
      <c r="G480" s="12">
        <v>5364</v>
      </c>
      <c r="H480" s="12" t="s">
        <v>15</v>
      </c>
    </row>
    <row r="481" spans="4:8" x14ac:dyDescent="0.25">
      <c r="D481" s="1"/>
      <c r="F481" s="11">
        <v>42217</v>
      </c>
      <c r="G481" s="12">
        <v>27535</v>
      </c>
      <c r="H481" s="12" t="s">
        <v>16</v>
      </c>
    </row>
    <row r="482" spans="4:8" x14ac:dyDescent="0.25">
      <c r="D482" s="1"/>
      <c r="F482" s="11">
        <v>42217</v>
      </c>
      <c r="G482" s="12">
        <v>3730</v>
      </c>
      <c r="H482" s="12" t="s">
        <v>14</v>
      </c>
    </row>
    <row r="483" spans="4:8" x14ac:dyDescent="0.25">
      <c r="D483" s="1"/>
      <c r="F483" s="11">
        <v>42248</v>
      </c>
      <c r="G483" s="12">
        <v>4172</v>
      </c>
      <c r="H483" s="12" t="s">
        <v>15</v>
      </c>
    </row>
    <row r="484" spans="4:8" x14ac:dyDescent="0.25">
      <c r="D484" s="1"/>
      <c r="F484" s="11">
        <v>42248</v>
      </c>
      <c r="G484" s="12">
        <v>27190</v>
      </c>
      <c r="H484" s="12" t="s">
        <v>16</v>
      </c>
    </row>
    <row r="485" spans="4:8" x14ac:dyDescent="0.25">
      <c r="D485" s="1"/>
      <c r="F485" s="11">
        <v>42248</v>
      </c>
      <c r="G485" s="12">
        <v>3246</v>
      </c>
      <c r="H485" s="12" t="s">
        <v>14</v>
      </c>
    </row>
    <row r="486" spans="4:8" x14ac:dyDescent="0.25">
      <c r="D486" s="1"/>
      <c r="F486" s="11">
        <v>42278</v>
      </c>
      <c r="G486" s="12">
        <v>4342</v>
      </c>
      <c r="H486" s="12" t="s">
        <v>15</v>
      </c>
    </row>
    <row r="487" spans="4:8" x14ac:dyDescent="0.25">
      <c r="D487" s="1"/>
      <c r="F487" s="11">
        <v>42278</v>
      </c>
      <c r="G487" s="12">
        <v>26069</v>
      </c>
      <c r="H487" s="12" t="s">
        <v>16</v>
      </c>
    </row>
    <row r="488" spans="4:8" x14ac:dyDescent="0.25">
      <c r="D488" s="1"/>
      <c r="F488" s="11">
        <v>42278</v>
      </c>
      <c r="G488" s="12">
        <v>3222</v>
      </c>
      <c r="H488" s="12" t="s">
        <v>14</v>
      </c>
    </row>
    <row r="489" spans="4:8" x14ac:dyDescent="0.25">
      <c r="D489" s="1"/>
      <c r="F489" s="11">
        <v>42309</v>
      </c>
      <c r="G489" s="12">
        <v>23900</v>
      </c>
      <c r="H489" s="12" t="s">
        <v>16</v>
      </c>
    </row>
    <row r="490" spans="4:8" x14ac:dyDescent="0.25">
      <c r="D490" s="1"/>
      <c r="F490" s="11">
        <v>42309</v>
      </c>
      <c r="G490" s="12">
        <v>3122</v>
      </c>
      <c r="H490" s="12" t="s">
        <v>14</v>
      </c>
    </row>
    <row r="491" spans="4:8" x14ac:dyDescent="0.25">
      <c r="D491" s="1"/>
      <c r="F491" s="11">
        <v>42309</v>
      </c>
      <c r="G491" s="12">
        <v>4682</v>
      </c>
      <c r="H491" s="12" t="s">
        <v>15</v>
      </c>
    </row>
    <row r="492" spans="4:8" x14ac:dyDescent="0.25">
      <c r="D492" s="1"/>
      <c r="F492" s="11">
        <v>42339</v>
      </c>
      <c r="G492" s="12">
        <v>2924</v>
      </c>
      <c r="H492" s="12" t="s">
        <v>14</v>
      </c>
    </row>
    <row r="493" spans="4:8" x14ac:dyDescent="0.25">
      <c r="D493" s="1"/>
      <c r="F493" s="11">
        <v>42339</v>
      </c>
      <c r="G493" s="12">
        <v>22067</v>
      </c>
      <c r="H493" s="12" t="s">
        <v>16</v>
      </c>
    </row>
    <row r="494" spans="4:8" x14ac:dyDescent="0.25">
      <c r="D494" s="1"/>
      <c r="F494" s="11">
        <v>42339</v>
      </c>
      <c r="G494" s="12">
        <v>5187</v>
      </c>
      <c r="H494" s="12" t="s">
        <v>15</v>
      </c>
    </row>
    <row r="495" spans="4:8" x14ac:dyDescent="0.25">
      <c r="D495" s="1"/>
      <c r="F495" s="11">
        <v>42370</v>
      </c>
      <c r="G495" s="12">
        <v>4676</v>
      </c>
      <c r="H495" s="12" t="s">
        <v>15</v>
      </c>
    </row>
    <row r="496" spans="4:8" x14ac:dyDescent="0.25">
      <c r="D496" s="1"/>
      <c r="F496" s="11">
        <v>42370</v>
      </c>
      <c r="G496" s="12">
        <v>2083</v>
      </c>
      <c r="H496" s="12" t="s">
        <v>14</v>
      </c>
    </row>
    <row r="497" spans="4:8" x14ac:dyDescent="0.25">
      <c r="D497" s="1"/>
      <c r="F497" s="11">
        <v>42370</v>
      </c>
      <c r="G497" s="12">
        <v>16430</v>
      </c>
      <c r="H497" s="12" t="s">
        <v>16</v>
      </c>
    </row>
    <row r="498" spans="4:8" x14ac:dyDescent="0.25">
      <c r="D498" s="1"/>
      <c r="F498" s="11">
        <v>42401</v>
      </c>
      <c r="G498" s="12">
        <v>1595</v>
      </c>
      <c r="H498" s="12" t="s">
        <v>14</v>
      </c>
    </row>
    <row r="499" spans="4:8" x14ac:dyDescent="0.25">
      <c r="D499" s="1"/>
      <c r="F499" s="11">
        <v>42401</v>
      </c>
      <c r="G499" s="12">
        <v>11029</v>
      </c>
      <c r="H499" s="12" t="s">
        <v>16</v>
      </c>
    </row>
    <row r="500" spans="4:8" x14ac:dyDescent="0.25">
      <c r="D500" s="1"/>
      <c r="F500" s="11">
        <v>42401</v>
      </c>
      <c r="G500" s="12">
        <v>2805</v>
      </c>
      <c r="H500" s="12" t="s">
        <v>15</v>
      </c>
    </row>
    <row r="501" spans="4:8" x14ac:dyDescent="0.25">
      <c r="D501" s="1"/>
      <c r="F501" s="11">
        <v>42430</v>
      </c>
      <c r="G501" s="12">
        <v>154</v>
      </c>
      <c r="H501" s="12" t="s">
        <v>14</v>
      </c>
    </row>
    <row r="502" spans="4:8" x14ac:dyDescent="0.25">
      <c r="D502" s="1"/>
      <c r="F502" s="11">
        <v>42430</v>
      </c>
      <c r="G502" s="12">
        <v>432</v>
      </c>
      <c r="H502" s="12" t="s">
        <v>16</v>
      </c>
    </row>
    <row r="503" spans="4:8" x14ac:dyDescent="0.25">
      <c r="D503" s="1"/>
      <c r="F503" s="11">
        <v>42430</v>
      </c>
      <c r="G503" s="12">
        <v>147</v>
      </c>
      <c r="H503" s="12" t="s">
        <v>15</v>
      </c>
    </row>
    <row r="504" spans="4:8" x14ac:dyDescent="0.25">
      <c r="D504" s="1"/>
    </row>
    <row r="505" spans="4:8" x14ac:dyDescent="0.25">
      <c r="D505" s="1"/>
    </row>
    <row r="506" spans="4:8" x14ac:dyDescent="0.25">
      <c r="D506" s="1"/>
    </row>
    <row r="507" spans="4:8" x14ac:dyDescent="0.25">
      <c r="D507" s="1"/>
    </row>
    <row r="508" spans="4:8" x14ac:dyDescent="0.25">
      <c r="D508" s="1"/>
    </row>
    <row r="509" spans="4:8" x14ac:dyDescent="0.25">
      <c r="D509" s="1"/>
    </row>
    <row r="510" spans="4:8" x14ac:dyDescent="0.25">
      <c r="D510" s="1"/>
    </row>
    <row r="511" spans="4:8" x14ac:dyDescent="0.25">
      <c r="D511" s="1"/>
    </row>
    <row r="512" spans="4:8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H3233"/>
  <sheetViews>
    <sheetView topLeftCell="J1" workbookViewId="0">
      <selection activeCell="J58" sqref="J58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7" customWidth="1"/>
    <col min="15" max="15" width="8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8.7109375" customWidth="1"/>
    <col min="25" max="25" width="12.7109375" customWidth="1"/>
    <col min="26" max="26" width="11.28515625" customWidth="1"/>
    <col min="27" max="27" width="11.28515625" bestFit="1" customWidth="1"/>
    <col min="34" max="34" width="9.140625" style="13"/>
  </cols>
  <sheetData>
    <row r="4" spans="1:34" x14ac:dyDescent="0.25">
      <c r="A4" s="12" t="s">
        <v>26</v>
      </c>
      <c r="B4" s="12" t="s">
        <v>0</v>
      </c>
      <c r="C4" s="12" t="s">
        <v>1</v>
      </c>
      <c r="F4" s="12" t="s">
        <v>26</v>
      </c>
      <c r="G4" s="12" t="s">
        <v>0</v>
      </c>
      <c r="H4" s="12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4" x14ac:dyDescent="0.25">
      <c r="A5" s="11">
        <v>38353</v>
      </c>
      <c r="B5">
        <v>1410</v>
      </c>
      <c r="C5" t="s">
        <v>2</v>
      </c>
      <c r="F5" s="11">
        <v>38353</v>
      </c>
      <c r="G5">
        <v>367</v>
      </c>
      <c r="H5" s="12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29</v>
      </c>
      <c r="X5" t="s">
        <v>16</v>
      </c>
      <c r="Y5" t="s">
        <v>15</v>
      </c>
      <c r="Z5" t="s">
        <v>9</v>
      </c>
      <c r="AE5" t="s">
        <v>41</v>
      </c>
      <c r="AF5" t="s">
        <v>44</v>
      </c>
      <c r="AH5" s="13" t="s">
        <v>45</v>
      </c>
    </row>
    <row r="6" spans="1:34" x14ac:dyDescent="0.25">
      <c r="A6" s="11">
        <v>38353</v>
      </c>
      <c r="B6" s="12">
        <v>219</v>
      </c>
      <c r="C6" s="12" t="s">
        <v>3</v>
      </c>
      <c r="D6" s="1"/>
      <c r="F6" s="11">
        <v>38353</v>
      </c>
      <c r="G6" s="12">
        <v>1262</v>
      </c>
      <c r="H6" s="12" t="s">
        <v>15</v>
      </c>
      <c r="L6" s="3">
        <v>38353</v>
      </c>
      <c r="M6" s="5">
        <v>219</v>
      </c>
      <c r="N6" s="5"/>
      <c r="O6" s="5">
        <v>1410</v>
      </c>
      <c r="P6" s="5"/>
      <c r="Q6" s="5"/>
      <c r="R6" s="5">
        <v>1629</v>
      </c>
      <c r="V6" s="3">
        <v>38353</v>
      </c>
      <c r="W6" s="5"/>
      <c r="X6" s="5">
        <v>367</v>
      </c>
      <c r="Y6" s="5">
        <v>1262</v>
      </c>
      <c r="Z6" s="5">
        <v>1629</v>
      </c>
      <c r="AD6" s="3">
        <v>38353</v>
      </c>
      <c r="AE6">
        <f>VLOOKUP(AD6,L:R,3,0)</f>
        <v>0</v>
      </c>
      <c r="AF6">
        <f>VLOOKUP(AD6,V:Z,4,0) - VLOOKUP(AD6,L:R,2,0)</f>
        <v>1043</v>
      </c>
      <c r="AG6" s="1">
        <f>AD6</f>
        <v>38353</v>
      </c>
      <c r="AH6" s="13">
        <f>AE6/AF6</f>
        <v>0</v>
      </c>
    </row>
    <row r="7" spans="1:34" x14ac:dyDescent="0.25">
      <c r="A7" s="11">
        <v>38384</v>
      </c>
      <c r="B7" s="12">
        <v>193</v>
      </c>
      <c r="C7" s="12" t="s">
        <v>3</v>
      </c>
      <c r="D7" s="1"/>
      <c r="F7" s="11">
        <v>38384</v>
      </c>
      <c r="G7" s="12">
        <v>1028</v>
      </c>
      <c r="H7" s="12" t="s">
        <v>15</v>
      </c>
      <c r="L7" s="3">
        <v>38384</v>
      </c>
      <c r="M7" s="5">
        <v>193</v>
      </c>
      <c r="N7" s="5"/>
      <c r="O7" s="5">
        <v>1207</v>
      </c>
      <c r="P7" s="5"/>
      <c r="Q7" s="5"/>
      <c r="R7" s="5">
        <v>1400</v>
      </c>
      <c r="V7" s="3">
        <v>38384</v>
      </c>
      <c r="W7" s="5"/>
      <c r="X7" s="5">
        <v>372</v>
      </c>
      <c r="Y7" s="5">
        <v>1028</v>
      </c>
      <c r="Z7" s="5">
        <v>1400</v>
      </c>
      <c r="AD7" s="3">
        <v>38384</v>
      </c>
      <c r="AE7">
        <f t="shared" ref="AE7:AE70" si="0">VLOOKUP(AD7,L:R,3,0)</f>
        <v>0</v>
      </c>
      <c r="AF7">
        <f t="shared" ref="AF7:AF70" si="1">VLOOKUP(AD7,V:Z,4,0) - VLOOKUP(AD7,L:R,2,0)</f>
        <v>835</v>
      </c>
      <c r="AG7" s="1">
        <f t="shared" ref="AG7:AG70" si="2">AD7</f>
        <v>38384</v>
      </c>
      <c r="AH7" s="13">
        <f>AE7/AF7</f>
        <v>0</v>
      </c>
    </row>
    <row r="8" spans="1:34" x14ac:dyDescent="0.25">
      <c r="A8" s="11">
        <v>38384</v>
      </c>
      <c r="B8" s="12">
        <v>1207</v>
      </c>
      <c r="C8" s="12" t="s">
        <v>2</v>
      </c>
      <c r="D8" s="1"/>
      <c r="F8" s="11">
        <v>38384</v>
      </c>
      <c r="G8" s="12">
        <v>372</v>
      </c>
      <c r="H8" s="12" t="s">
        <v>16</v>
      </c>
      <c r="L8" s="3">
        <v>38412</v>
      </c>
      <c r="M8" s="5">
        <v>150</v>
      </c>
      <c r="N8" s="5"/>
      <c r="O8" s="5">
        <v>1043</v>
      </c>
      <c r="P8" s="5"/>
      <c r="Q8" s="5"/>
      <c r="R8" s="5">
        <v>1193</v>
      </c>
      <c r="V8" s="3">
        <v>38412</v>
      </c>
      <c r="W8" s="5">
        <v>2</v>
      </c>
      <c r="X8" s="5">
        <v>327</v>
      </c>
      <c r="Y8" s="5">
        <v>864</v>
      </c>
      <c r="Z8" s="5">
        <v>1193</v>
      </c>
      <c r="AD8" s="3">
        <v>38412</v>
      </c>
      <c r="AE8">
        <f t="shared" si="0"/>
        <v>0</v>
      </c>
      <c r="AF8">
        <f t="shared" si="1"/>
        <v>714</v>
      </c>
      <c r="AG8" s="1">
        <f t="shared" si="2"/>
        <v>38412</v>
      </c>
      <c r="AH8" s="13">
        <f>AE8/AF8</f>
        <v>0</v>
      </c>
    </row>
    <row r="9" spans="1:34" x14ac:dyDescent="0.25">
      <c r="A9" s="11">
        <v>38412</v>
      </c>
      <c r="B9" s="12">
        <v>1043</v>
      </c>
      <c r="C9" s="12" t="s">
        <v>2</v>
      </c>
      <c r="D9" s="1"/>
      <c r="F9" s="11">
        <v>38412</v>
      </c>
      <c r="G9" s="12">
        <v>2</v>
      </c>
      <c r="H9" s="12" t="s">
        <v>29</v>
      </c>
      <c r="L9" s="3">
        <v>38443</v>
      </c>
      <c r="M9" s="5">
        <v>220</v>
      </c>
      <c r="N9" s="5"/>
      <c r="O9" s="5">
        <v>1068</v>
      </c>
      <c r="P9" s="5"/>
      <c r="Q9" s="5"/>
      <c r="R9" s="5">
        <v>1288</v>
      </c>
      <c r="V9" s="3">
        <v>38443</v>
      </c>
      <c r="W9" s="5">
        <v>1</v>
      </c>
      <c r="X9" s="5">
        <v>322</v>
      </c>
      <c r="Y9" s="5">
        <v>965</v>
      </c>
      <c r="Z9" s="5">
        <v>1288</v>
      </c>
      <c r="AD9" s="3">
        <v>38443</v>
      </c>
      <c r="AE9">
        <f t="shared" si="0"/>
        <v>0</v>
      </c>
      <c r="AF9">
        <f t="shared" si="1"/>
        <v>745</v>
      </c>
      <c r="AG9" s="1">
        <f t="shared" si="2"/>
        <v>38443</v>
      </c>
      <c r="AH9" s="13">
        <f>AE9/AF9</f>
        <v>0</v>
      </c>
    </row>
    <row r="10" spans="1:34" x14ac:dyDescent="0.25">
      <c r="A10" s="11">
        <v>38412</v>
      </c>
      <c r="B10" s="12">
        <v>150</v>
      </c>
      <c r="C10" s="12" t="s">
        <v>3</v>
      </c>
      <c r="D10" s="1"/>
      <c r="F10" s="11">
        <v>38412</v>
      </c>
      <c r="G10" s="12">
        <v>327</v>
      </c>
      <c r="H10" s="12" t="s">
        <v>16</v>
      </c>
      <c r="L10" s="3">
        <v>38473</v>
      </c>
      <c r="M10" s="5">
        <v>341</v>
      </c>
      <c r="N10" s="5"/>
      <c r="O10" s="5">
        <v>1567</v>
      </c>
      <c r="P10" s="5"/>
      <c r="Q10" s="5"/>
      <c r="R10" s="5">
        <v>1908</v>
      </c>
      <c r="V10" s="3">
        <v>38473</v>
      </c>
      <c r="W10" s="5">
        <v>1</v>
      </c>
      <c r="X10" s="5">
        <v>447</v>
      </c>
      <c r="Y10" s="5">
        <v>1460</v>
      </c>
      <c r="Z10" s="5">
        <v>1908</v>
      </c>
      <c r="AD10" s="3">
        <v>38473</v>
      </c>
      <c r="AE10">
        <f t="shared" si="0"/>
        <v>0</v>
      </c>
      <c r="AF10">
        <f t="shared" si="1"/>
        <v>1119</v>
      </c>
      <c r="AG10" s="1">
        <f t="shared" si="2"/>
        <v>38473</v>
      </c>
      <c r="AH10" s="13">
        <f>AE10/AF10</f>
        <v>0</v>
      </c>
    </row>
    <row r="11" spans="1:34" x14ac:dyDescent="0.25">
      <c r="A11" s="11">
        <v>38443</v>
      </c>
      <c r="B11" s="12">
        <v>220</v>
      </c>
      <c r="C11" s="12" t="s">
        <v>3</v>
      </c>
      <c r="D11" s="1"/>
      <c r="F11" s="11">
        <v>38412</v>
      </c>
      <c r="G11" s="12">
        <v>864</v>
      </c>
      <c r="H11" s="12" t="s">
        <v>15</v>
      </c>
      <c r="L11" s="3">
        <v>38504</v>
      </c>
      <c r="M11" s="5">
        <v>218</v>
      </c>
      <c r="N11" s="5"/>
      <c r="O11" s="5">
        <v>1555</v>
      </c>
      <c r="P11" s="5"/>
      <c r="Q11" s="5"/>
      <c r="R11" s="5">
        <v>1773</v>
      </c>
      <c r="V11" s="3">
        <v>38504</v>
      </c>
      <c r="W11" s="5">
        <v>1</v>
      </c>
      <c r="X11" s="5">
        <v>535</v>
      </c>
      <c r="Y11" s="5">
        <v>1237</v>
      </c>
      <c r="Z11" s="5">
        <v>1773</v>
      </c>
      <c r="AD11" s="3">
        <v>38504</v>
      </c>
      <c r="AE11">
        <f t="shared" si="0"/>
        <v>0</v>
      </c>
      <c r="AF11">
        <f t="shared" si="1"/>
        <v>1019</v>
      </c>
      <c r="AG11" s="1">
        <f t="shared" si="2"/>
        <v>38504</v>
      </c>
      <c r="AH11" s="13">
        <f>AE11/AF11</f>
        <v>0</v>
      </c>
    </row>
    <row r="12" spans="1:34" x14ac:dyDescent="0.25">
      <c r="A12" s="11">
        <v>38443</v>
      </c>
      <c r="B12" s="12">
        <v>1068</v>
      </c>
      <c r="C12" s="12" t="s">
        <v>2</v>
      </c>
      <c r="D12" s="1"/>
      <c r="F12" s="11">
        <v>38443</v>
      </c>
      <c r="G12" s="12">
        <v>1</v>
      </c>
      <c r="H12" s="12" t="s">
        <v>29</v>
      </c>
      <c r="L12" s="3">
        <v>38534</v>
      </c>
      <c r="M12" s="5">
        <v>231</v>
      </c>
      <c r="N12" s="5"/>
      <c r="O12" s="5">
        <v>1684</v>
      </c>
      <c r="P12" s="5"/>
      <c r="Q12" s="5"/>
      <c r="R12" s="5">
        <v>1915</v>
      </c>
      <c r="V12" s="3">
        <v>38534</v>
      </c>
      <c r="W12" s="5"/>
      <c r="X12" s="5">
        <v>645</v>
      </c>
      <c r="Y12" s="5">
        <v>1270</v>
      </c>
      <c r="Z12" s="5">
        <v>1915</v>
      </c>
      <c r="AD12" s="3">
        <v>38534</v>
      </c>
      <c r="AE12">
        <f t="shared" si="0"/>
        <v>0</v>
      </c>
      <c r="AF12">
        <f t="shared" si="1"/>
        <v>1039</v>
      </c>
      <c r="AG12" s="1">
        <f t="shared" si="2"/>
        <v>38534</v>
      </c>
      <c r="AH12" s="13">
        <f>AE12/AF12</f>
        <v>0</v>
      </c>
    </row>
    <row r="13" spans="1:34" x14ac:dyDescent="0.25">
      <c r="A13" s="11">
        <v>38473</v>
      </c>
      <c r="B13" s="12">
        <v>341</v>
      </c>
      <c r="C13" s="12" t="s">
        <v>3</v>
      </c>
      <c r="D13" s="1"/>
      <c r="F13" s="11">
        <v>38443</v>
      </c>
      <c r="G13" s="12">
        <v>322</v>
      </c>
      <c r="H13" s="12" t="s">
        <v>16</v>
      </c>
      <c r="L13" s="3">
        <v>38565</v>
      </c>
      <c r="M13" s="5">
        <v>286</v>
      </c>
      <c r="N13" s="5"/>
      <c r="O13" s="5">
        <v>2185</v>
      </c>
      <c r="P13" s="5"/>
      <c r="Q13" s="5"/>
      <c r="R13" s="5">
        <v>2471</v>
      </c>
      <c r="V13" s="3">
        <v>38565</v>
      </c>
      <c r="W13" s="5">
        <v>1</v>
      </c>
      <c r="X13" s="5">
        <v>860</v>
      </c>
      <c r="Y13" s="5">
        <v>1610</v>
      </c>
      <c r="Z13" s="5">
        <v>2471</v>
      </c>
      <c r="AD13" s="3">
        <v>38565</v>
      </c>
      <c r="AE13">
        <f t="shared" si="0"/>
        <v>0</v>
      </c>
      <c r="AF13">
        <f t="shared" si="1"/>
        <v>1324</v>
      </c>
      <c r="AG13" s="1">
        <f t="shared" si="2"/>
        <v>38565</v>
      </c>
      <c r="AH13" s="13">
        <f>AE13/AF13</f>
        <v>0</v>
      </c>
    </row>
    <row r="14" spans="1:34" x14ac:dyDescent="0.25">
      <c r="A14" s="11">
        <v>38473</v>
      </c>
      <c r="B14" s="12">
        <v>1567</v>
      </c>
      <c r="C14" s="12" t="s">
        <v>2</v>
      </c>
      <c r="D14" s="1"/>
      <c r="F14" s="11">
        <v>38443</v>
      </c>
      <c r="G14" s="12">
        <v>965</v>
      </c>
      <c r="H14" s="12" t="s">
        <v>15</v>
      </c>
      <c r="L14" s="3">
        <v>38596</v>
      </c>
      <c r="M14" s="5">
        <v>472</v>
      </c>
      <c r="N14" s="5"/>
      <c r="O14" s="5">
        <v>2943</v>
      </c>
      <c r="P14" s="5"/>
      <c r="Q14" s="5"/>
      <c r="R14" s="5">
        <v>3415</v>
      </c>
      <c r="V14" s="3">
        <v>38596</v>
      </c>
      <c r="W14" s="5">
        <v>1</v>
      </c>
      <c r="X14" s="5">
        <v>977</v>
      </c>
      <c r="Y14" s="5">
        <v>2437</v>
      </c>
      <c r="Z14" s="5">
        <v>3415</v>
      </c>
      <c r="AD14" s="3">
        <v>38596</v>
      </c>
      <c r="AE14">
        <f t="shared" si="0"/>
        <v>0</v>
      </c>
      <c r="AF14">
        <f t="shared" si="1"/>
        <v>1965</v>
      </c>
      <c r="AG14" s="1">
        <f t="shared" si="2"/>
        <v>38596</v>
      </c>
      <c r="AH14" s="13">
        <f>AE14/AF14</f>
        <v>0</v>
      </c>
    </row>
    <row r="15" spans="1:34" x14ac:dyDescent="0.25">
      <c r="A15" s="11">
        <v>38504</v>
      </c>
      <c r="B15" s="12">
        <v>1555</v>
      </c>
      <c r="C15" s="12" t="s">
        <v>2</v>
      </c>
      <c r="D15" s="1"/>
      <c r="F15" s="11">
        <v>38473</v>
      </c>
      <c r="G15" s="12">
        <v>1460</v>
      </c>
      <c r="H15" s="12" t="s">
        <v>15</v>
      </c>
      <c r="L15" s="3">
        <v>38626</v>
      </c>
      <c r="M15" s="5">
        <v>744</v>
      </c>
      <c r="N15" s="5"/>
      <c r="O15" s="5">
        <v>5165</v>
      </c>
      <c r="P15" s="5"/>
      <c r="Q15" s="5"/>
      <c r="R15" s="5">
        <v>5909</v>
      </c>
      <c r="V15" s="3">
        <v>38626</v>
      </c>
      <c r="W15" s="5"/>
      <c r="X15" s="5">
        <v>1756</v>
      </c>
      <c r="Y15" s="5">
        <v>4153</v>
      </c>
      <c r="Z15" s="5">
        <v>5909</v>
      </c>
      <c r="AD15" s="3">
        <v>38626</v>
      </c>
      <c r="AE15">
        <f t="shared" si="0"/>
        <v>0</v>
      </c>
      <c r="AF15">
        <f t="shared" si="1"/>
        <v>3409</v>
      </c>
      <c r="AG15" s="1">
        <f t="shared" si="2"/>
        <v>38626</v>
      </c>
      <c r="AH15" s="13">
        <f>AE15/AF15</f>
        <v>0</v>
      </c>
    </row>
    <row r="16" spans="1:34" x14ac:dyDescent="0.25">
      <c r="A16" s="11">
        <v>38504</v>
      </c>
      <c r="B16" s="12">
        <v>218</v>
      </c>
      <c r="C16" s="12" t="s">
        <v>3</v>
      </c>
      <c r="D16" s="1"/>
      <c r="F16" s="11">
        <v>38473</v>
      </c>
      <c r="G16" s="12">
        <v>447</v>
      </c>
      <c r="H16" s="12" t="s">
        <v>16</v>
      </c>
      <c r="L16" s="3">
        <v>38657</v>
      </c>
      <c r="M16" s="5">
        <v>1518</v>
      </c>
      <c r="N16" s="5"/>
      <c r="O16" s="5">
        <v>11120</v>
      </c>
      <c r="P16" s="5"/>
      <c r="Q16" s="5"/>
      <c r="R16" s="5">
        <v>12638</v>
      </c>
      <c r="V16" s="3">
        <v>38657</v>
      </c>
      <c r="W16" s="5"/>
      <c r="X16" s="5">
        <v>3165</v>
      </c>
      <c r="Y16" s="5">
        <v>9473</v>
      </c>
      <c r="Z16" s="5">
        <v>12638</v>
      </c>
      <c r="AD16" s="3">
        <v>38657</v>
      </c>
      <c r="AE16">
        <f t="shared" si="0"/>
        <v>0</v>
      </c>
      <c r="AF16">
        <f t="shared" si="1"/>
        <v>7955</v>
      </c>
      <c r="AG16" s="1">
        <f t="shared" si="2"/>
        <v>38657</v>
      </c>
      <c r="AH16" s="13">
        <f>AE16/AF16</f>
        <v>0</v>
      </c>
    </row>
    <row r="17" spans="1:34" x14ac:dyDescent="0.25">
      <c r="A17" s="11">
        <v>38534</v>
      </c>
      <c r="B17" s="12">
        <v>1684</v>
      </c>
      <c r="C17" s="12" t="s">
        <v>2</v>
      </c>
      <c r="D17" s="1"/>
      <c r="F17" s="11">
        <v>38473</v>
      </c>
      <c r="G17" s="12">
        <v>1</v>
      </c>
      <c r="H17" s="12" t="s">
        <v>29</v>
      </c>
      <c r="L17" s="3">
        <v>38687</v>
      </c>
      <c r="M17" s="5">
        <v>6328</v>
      </c>
      <c r="N17" s="5"/>
      <c r="O17" s="5">
        <v>40587</v>
      </c>
      <c r="P17" s="5"/>
      <c r="Q17" s="5"/>
      <c r="R17" s="5">
        <v>46915</v>
      </c>
      <c r="V17" s="3">
        <v>38687</v>
      </c>
      <c r="W17" s="5"/>
      <c r="X17" s="5">
        <v>11083</v>
      </c>
      <c r="Y17" s="5">
        <v>35832</v>
      </c>
      <c r="Z17" s="5">
        <v>46915</v>
      </c>
      <c r="AD17" s="3">
        <v>38687</v>
      </c>
      <c r="AE17">
        <f t="shared" si="0"/>
        <v>0</v>
      </c>
      <c r="AF17">
        <f t="shared" si="1"/>
        <v>29504</v>
      </c>
      <c r="AG17" s="1">
        <f t="shared" si="2"/>
        <v>38687</v>
      </c>
      <c r="AH17" s="13">
        <f>AE17/AF17</f>
        <v>0</v>
      </c>
    </row>
    <row r="18" spans="1:34" x14ac:dyDescent="0.25">
      <c r="A18" s="11">
        <v>38534</v>
      </c>
      <c r="B18" s="12">
        <v>231</v>
      </c>
      <c r="C18" s="12" t="s">
        <v>3</v>
      </c>
      <c r="D18" s="1"/>
      <c r="F18" s="11">
        <v>38504</v>
      </c>
      <c r="G18" s="12">
        <v>1237</v>
      </c>
      <c r="H18" s="12" t="s">
        <v>15</v>
      </c>
      <c r="L18" s="3">
        <v>38718</v>
      </c>
      <c r="M18" s="5">
        <v>9762</v>
      </c>
      <c r="N18" s="5"/>
      <c r="O18" s="5">
        <v>69960</v>
      </c>
      <c r="P18" s="5"/>
      <c r="Q18" s="5"/>
      <c r="R18" s="5">
        <v>79722</v>
      </c>
      <c r="V18" s="3">
        <v>38718</v>
      </c>
      <c r="W18" s="5">
        <v>1</v>
      </c>
      <c r="X18" s="5">
        <v>20793</v>
      </c>
      <c r="Y18" s="5">
        <v>58928</v>
      </c>
      <c r="Z18" s="5">
        <v>79722</v>
      </c>
      <c r="AD18" s="3">
        <v>38718</v>
      </c>
      <c r="AE18">
        <f t="shared" si="0"/>
        <v>0</v>
      </c>
      <c r="AF18">
        <f t="shared" si="1"/>
        <v>49166</v>
      </c>
      <c r="AG18" s="1">
        <f t="shared" si="2"/>
        <v>38718</v>
      </c>
      <c r="AH18" s="13">
        <f>AE18/AF18</f>
        <v>0</v>
      </c>
    </row>
    <row r="19" spans="1:34" x14ac:dyDescent="0.25">
      <c r="A19" s="11">
        <v>38565</v>
      </c>
      <c r="B19" s="12">
        <v>286</v>
      </c>
      <c r="C19" s="12" t="s">
        <v>3</v>
      </c>
      <c r="D19" s="1"/>
      <c r="F19" s="11">
        <v>38504</v>
      </c>
      <c r="G19" s="12">
        <v>535</v>
      </c>
      <c r="H19" s="12" t="s">
        <v>16</v>
      </c>
      <c r="L19" s="3">
        <v>38749</v>
      </c>
      <c r="M19" s="5">
        <v>8521</v>
      </c>
      <c r="N19" s="5"/>
      <c r="O19" s="5">
        <v>63040</v>
      </c>
      <c r="P19" s="5"/>
      <c r="Q19" s="5"/>
      <c r="R19" s="5">
        <v>71561</v>
      </c>
      <c r="V19" s="3">
        <v>38749</v>
      </c>
      <c r="W19" s="5">
        <v>1</v>
      </c>
      <c r="X19" s="5">
        <v>19719</v>
      </c>
      <c r="Y19" s="5">
        <v>51841</v>
      </c>
      <c r="Z19" s="5">
        <v>71561</v>
      </c>
      <c r="AD19" s="3">
        <v>38749</v>
      </c>
      <c r="AE19">
        <f t="shared" si="0"/>
        <v>0</v>
      </c>
      <c r="AF19">
        <f t="shared" si="1"/>
        <v>43320</v>
      </c>
      <c r="AG19" s="1">
        <f t="shared" si="2"/>
        <v>38749</v>
      </c>
      <c r="AH19" s="13">
        <f>AE19/AF19</f>
        <v>0</v>
      </c>
    </row>
    <row r="20" spans="1:34" x14ac:dyDescent="0.25">
      <c r="A20" s="11">
        <v>38565</v>
      </c>
      <c r="B20" s="12">
        <v>2185</v>
      </c>
      <c r="C20" s="12" t="s">
        <v>2</v>
      </c>
      <c r="D20" s="1"/>
      <c r="F20" s="11">
        <v>38504</v>
      </c>
      <c r="G20" s="12">
        <v>1</v>
      </c>
      <c r="H20" s="12" t="s">
        <v>29</v>
      </c>
      <c r="L20" s="3">
        <v>38777</v>
      </c>
      <c r="M20" s="5">
        <v>7898</v>
      </c>
      <c r="N20" s="5"/>
      <c r="O20" s="5">
        <v>52304</v>
      </c>
      <c r="P20" s="5"/>
      <c r="Q20" s="5"/>
      <c r="R20" s="5">
        <v>60202</v>
      </c>
      <c r="V20" s="3">
        <v>38777</v>
      </c>
      <c r="W20" s="5"/>
      <c r="X20" s="5">
        <v>15051</v>
      </c>
      <c r="Y20" s="5">
        <v>45151</v>
      </c>
      <c r="Z20" s="5">
        <v>60202</v>
      </c>
      <c r="AD20" s="3">
        <v>38777</v>
      </c>
      <c r="AE20">
        <f t="shared" si="0"/>
        <v>0</v>
      </c>
      <c r="AF20">
        <f t="shared" si="1"/>
        <v>37253</v>
      </c>
      <c r="AG20" s="1">
        <f t="shared" si="2"/>
        <v>38777</v>
      </c>
      <c r="AH20" s="13">
        <f>AE20/AF20</f>
        <v>0</v>
      </c>
    </row>
    <row r="21" spans="1:34" x14ac:dyDescent="0.25">
      <c r="A21" s="11">
        <v>38596</v>
      </c>
      <c r="B21" s="12">
        <v>2943</v>
      </c>
      <c r="C21" s="12" t="s">
        <v>2</v>
      </c>
      <c r="D21" s="1"/>
      <c r="F21" s="11">
        <v>38534</v>
      </c>
      <c r="G21" s="12">
        <v>1270</v>
      </c>
      <c r="H21" s="12" t="s">
        <v>15</v>
      </c>
      <c r="L21" s="3">
        <v>38808</v>
      </c>
      <c r="M21" s="5">
        <v>8710</v>
      </c>
      <c r="N21" s="5"/>
      <c r="O21" s="5">
        <v>57784</v>
      </c>
      <c r="P21" s="5"/>
      <c r="Q21" s="5"/>
      <c r="R21" s="5">
        <v>66494</v>
      </c>
      <c r="V21" s="3">
        <v>38808</v>
      </c>
      <c r="W21" s="5"/>
      <c r="X21" s="5">
        <v>15987</v>
      </c>
      <c r="Y21" s="5">
        <v>50507</v>
      </c>
      <c r="Z21" s="5">
        <v>66494</v>
      </c>
      <c r="AD21" s="3">
        <v>38808</v>
      </c>
      <c r="AE21">
        <f t="shared" si="0"/>
        <v>0</v>
      </c>
      <c r="AF21">
        <f t="shared" si="1"/>
        <v>41797</v>
      </c>
      <c r="AG21" s="1">
        <f t="shared" si="2"/>
        <v>38808</v>
      </c>
      <c r="AH21" s="13">
        <f>AE21/AF21</f>
        <v>0</v>
      </c>
    </row>
    <row r="22" spans="1:34" x14ac:dyDescent="0.25">
      <c r="A22" s="11">
        <v>38596</v>
      </c>
      <c r="B22" s="12">
        <v>472</v>
      </c>
      <c r="C22" s="12" t="s">
        <v>3</v>
      </c>
      <c r="D22" s="1"/>
      <c r="F22" s="11">
        <v>38534</v>
      </c>
      <c r="G22" s="12">
        <v>645</v>
      </c>
      <c r="H22" s="12" t="s">
        <v>16</v>
      </c>
      <c r="L22" s="3">
        <v>38838</v>
      </c>
      <c r="M22" s="5">
        <v>8999</v>
      </c>
      <c r="N22" s="5"/>
      <c r="O22" s="5">
        <v>63784</v>
      </c>
      <c r="P22" s="5"/>
      <c r="Q22" s="5"/>
      <c r="R22" s="5">
        <v>72783</v>
      </c>
      <c r="V22" s="3">
        <v>38838</v>
      </c>
      <c r="W22" s="5">
        <v>2</v>
      </c>
      <c r="X22" s="5">
        <v>20069</v>
      </c>
      <c r="Y22" s="5">
        <v>52712</v>
      </c>
      <c r="Z22" s="5">
        <v>72783</v>
      </c>
      <c r="AD22" s="3">
        <v>38838</v>
      </c>
      <c r="AE22">
        <f t="shared" si="0"/>
        <v>0</v>
      </c>
      <c r="AF22">
        <f t="shared" si="1"/>
        <v>43713</v>
      </c>
      <c r="AG22" s="1">
        <f t="shared" si="2"/>
        <v>38838</v>
      </c>
      <c r="AH22" s="13">
        <f>AE22/AF22</f>
        <v>0</v>
      </c>
    </row>
    <row r="23" spans="1:34" x14ac:dyDescent="0.25">
      <c r="A23" s="11">
        <v>38626</v>
      </c>
      <c r="B23" s="12">
        <v>5165</v>
      </c>
      <c r="C23" s="12" t="s">
        <v>2</v>
      </c>
      <c r="D23" s="1"/>
      <c r="F23" s="11">
        <v>38565</v>
      </c>
      <c r="G23" s="12">
        <v>1610</v>
      </c>
      <c r="H23" s="12" t="s">
        <v>15</v>
      </c>
      <c r="L23" s="3">
        <v>38869</v>
      </c>
      <c r="M23" s="5">
        <v>7853</v>
      </c>
      <c r="N23" s="5"/>
      <c r="O23" s="5">
        <v>57937</v>
      </c>
      <c r="P23" s="5"/>
      <c r="Q23" s="5"/>
      <c r="R23" s="5">
        <v>65790</v>
      </c>
      <c r="V23" s="3">
        <v>38869</v>
      </c>
      <c r="W23" s="5">
        <v>3</v>
      </c>
      <c r="X23" s="5">
        <v>20351</v>
      </c>
      <c r="Y23" s="5">
        <v>45436</v>
      </c>
      <c r="Z23" s="5">
        <v>65790</v>
      </c>
      <c r="AD23" s="3">
        <v>38869</v>
      </c>
      <c r="AE23">
        <f t="shared" si="0"/>
        <v>0</v>
      </c>
      <c r="AF23">
        <f t="shared" si="1"/>
        <v>37583</v>
      </c>
      <c r="AG23" s="1">
        <f t="shared" si="2"/>
        <v>38869</v>
      </c>
      <c r="AH23" s="13">
        <f>AE23/AF23</f>
        <v>0</v>
      </c>
    </row>
    <row r="24" spans="1:34" x14ac:dyDescent="0.25">
      <c r="A24" s="11">
        <v>38626</v>
      </c>
      <c r="B24" s="12">
        <v>744</v>
      </c>
      <c r="C24" s="12" t="s">
        <v>3</v>
      </c>
      <c r="D24" s="1"/>
      <c r="F24" s="11">
        <v>38565</v>
      </c>
      <c r="G24" s="12">
        <v>860</v>
      </c>
      <c r="H24" s="12" t="s">
        <v>16</v>
      </c>
      <c r="L24" s="3">
        <v>38899</v>
      </c>
      <c r="M24" s="5">
        <v>7591</v>
      </c>
      <c r="N24" s="5"/>
      <c r="O24" s="5">
        <v>60667</v>
      </c>
      <c r="P24" s="5"/>
      <c r="Q24" s="5"/>
      <c r="R24" s="5">
        <v>68258</v>
      </c>
      <c r="V24" s="3">
        <v>38899</v>
      </c>
      <c r="W24" s="5"/>
      <c r="X24" s="5">
        <v>23888</v>
      </c>
      <c r="Y24" s="5">
        <v>44370</v>
      </c>
      <c r="Z24" s="5">
        <v>68258</v>
      </c>
      <c r="AD24" s="3">
        <v>38899</v>
      </c>
      <c r="AE24">
        <f t="shared" si="0"/>
        <v>0</v>
      </c>
      <c r="AF24">
        <f t="shared" si="1"/>
        <v>36779</v>
      </c>
      <c r="AG24" s="1">
        <f t="shared" si="2"/>
        <v>38899</v>
      </c>
      <c r="AH24" s="13">
        <f>AE24/AF24</f>
        <v>0</v>
      </c>
    </row>
    <row r="25" spans="1:34" x14ac:dyDescent="0.25">
      <c r="A25" s="11">
        <v>38657</v>
      </c>
      <c r="B25" s="12">
        <v>11120</v>
      </c>
      <c r="C25" s="12" t="s">
        <v>2</v>
      </c>
      <c r="D25" s="1"/>
      <c r="F25" s="11">
        <v>38565</v>
      </c>
      <c r="G25" s="12">
        <v>1</v>
      </c>
      <c r="H25" s="12" t="s">
        <v>29</v>
      </c>
      <c r="L25" s="3">
        <v>38930</v>
      </c>
      <c r="M25" s="5">
        <v>6948</v>
      </c>
      <c r="N25" s="5"/>
      <c r="O25" s="5">
        <v>62397</v>
      </c>
      <c r="P25" s="5"/>
      <c r="Q25" s="5"/>
      <c r="R25" s="5">
        <v>69345</v>
      </c>
      <c r="V25" s="3">
        <v>38930</v>
      </c>
      <c r="W25" s="5">
        <v>1</v>
      </c>
      <c r="X25" s="5">
        <v>28035</v>
      </c>
      <c r="Y25" s="5">
        <v>41309</v>
      </c>
      <c r="Z25" s="5">
        <v>69345</v>
      </c>
      <c r="AD25" s="3">
        <v>38930</v>
      </c>
      <c r="AE25">
        <f t="shared" si="0"/>
        <v>0</v>
      </c>
      <c r="AF25">
        <f t="shared" si="1"/>
        <v>34361</v>
      </c>
      <c r="AG25" s="1">
        <f t="shared" si="2"/>
        <v>38930</v>
      </c>
      <c r="AH25" s="13">
        <f>AE25/AF25</f>
        <v>0</v>
      </c>
    </row>
    <row r="26" spans="1:34" x14ac:dyDescent="0.25">
      <c r="A26" s="11">
        <v>38657</v>
      </c>
      <c r="B26" s="12">
        <v>1518</v>
      </c>
      <c r="C26" s="12" t="s">
        <v>3</v>
      </c>
      <c r="D26" s="1"/>
      <c r="F26" s="11">
        <v>38596</v>
      </c>
      <c r="G26" s="12">
        <v>2437</v>
      </c>
      <c r="H26" s="12" t="s">
        <v>15</v>
      </c>
      <c r="L26" s="3">
        <v>38961</v>
      </c>
      <c r="M26" s="5">
        <v>6729</v>
      </c>
      <c r="N26" s="5"/>
      <c r="O26" s="5">
        <v>56561</v>
      </c>
      <c r="P26" s="5"/>
      <c r="Q26" s="5"/>
      <c r="R26" s="5">
        <v>63290</v>
      </c>
      <c r="V26" s="3">
        <v>38961</v>
      </c>
      <c r="W26" s="5">
        <v>3</v>
      </c>
      <c r="X26" s="5">
        <v>24924</v>
      </c>
      <c r="Y26" s="5">
        <v>38363</v>
      </c>
      <c r="Z26" s="5">
        <v>63290</v>
      </c>
      <c r="AD26" s="3">
        <v>38961</v>
      </c>
      <c r="AE26">
        <f t="shared" si="0"/>
        <v>0</v>
      </c>
      <c r="AF26">
        <f t="shared" si="1"/>
        <v>31634</v>
      </c>
      <c r="AG26" s="1">
        <f t="shared" si="2"/>
        <v>38961</v>
      </c>
      <c r="AH26" s="13">
        <f>AE26/AF26</f>
        <v>0</v>
      </c>
    </row>
    <row r="27" spans="1:34" x14ac:dyDescent="0.25">
      <c r="A27" s="11">
        <v>38687</v>
      </c>
      <c r="B27" s="12">
        <v>6328</v>
      </c>
      <c r="C27" s="12" t="s">
        <v>3</v>
      </c>
      <c r="D27" s="1"/>
      <c r="F27" s="11">
        <v>38596</v>
      </c>
      <c r="G27" s="12">
        <v>977</v>
      </c>
      <c r="H27" s="12" t="s">
        <v>16</v>
      </c>
      <c r="L27" s="3">
        <v>38991</v>
      </c>
      <c r="M27" s="5">
        <v>7143</v>
      </c>
      <c r="N27" s="5"/>
      <c r="O27" s="5">
        <v>59011</v>
      </c>
      <c r="P27" s="5"/>
      <c r="Q27" s="5"/>
      <c r="R27" s="5">
        <v>66154</v>
      </c>
      <c r="V27" s="3">
        <v>38991</v>
      </c>
      <c r="W27" s="5">
        <v>1</v>
      </c>
      <c r="X27" s="5">
        <v>24933</v>
      </c>
      <c r="Y27" s="5">
        <v>41220</v>
      </c>
      <c r="Z27" s="5">
        <v>66154</v>
      </c>
      <c r="AD27" s="3">
        <v>38991</v>
      </c>
      <c r="AE27">
        <f t="shared" si="0"/>
        <v>0</v>
      </c>
      <c r="AF27">
        <f t="shared" si="1"/>
        <v>34077</v>
      </c>
      <c r="AG27" s="1">
        <f t="shared" si="2"/>
        <v>38991</v>
      </c>
      <c r="AH27" s="13">
        <f>AE27/AF27</f>
        <v>0</v>
      </c>
    </row>
    <row r="28" spans="1:34" x14ac:dyDescent="0.25">
      <c r="A28" s="11">
        <v>38687</v>
      </c>
      <c r="B28" s="12">
        <v>40587</v>
      </c>
      <c r="C28" s="12" t="s">
        <v>2</v>
      </c>
      <c r="D28" s="1"/>
      <c r="F28" s="11">
        <v>38596</v>
      </c>
      <c r="G28" s="12">
        <v>1</v>
      </c>
      <c r="H28" s="12" t="s">
        <v>29</v>
      </c>
      <c r="L28" s="3">
        <v>39022</v>
      </c>
      <c r="M28" s="5">
        <v>8181</v>
      </c>
      <c r="N28" s="5"/>
      <c r="O28" s="5">
        <v>56669</v>
      </c>
      <c r="P28" s="5"/>
      <c r="Q28" s="5"/>
      <c r="R28" s="5">
        <v>64850</v>
      </c>
      <c r="V28" s="3">
        <v>39022</v>
      </c>
      <c r="W28" s="5">
        <v>1</v>
      </c>
      <c r="X28" s="5">
        <v>21428</v>
      </c>
      <c r="Y28" s="5">
        <v>43421</v>
      </c>
      <c r="Z28" s="5">
        <v>64850</v>
      </c>
      <c r="AD28" s="3">
        <v>39022</v>
      </c>
      <c r="AE28">
        <f t="shared" si="0"/>
        <v>0</v>
      </c>
      <c r="AF28">
        <f t="shared" si="1"/>
        <v>35240</v>
      </c>
      <c r="AG28" s="1">
        <f t="shared" si="2"/>
        <v>39022</v>
      </c>
      <c r="AH28" s="13">
        <f>AE28/AF28</f>
        <v>0</v>
      </c>
    </row>
    <row r="29" spans="1:34" x14ac:dyDescent="0.25">
      <c r="A29" s="11">
        <v>38718</v>
      </c>
      <c r="B29" s="12">
        <v>9762</v>
      </c>
      <c r="C29" s="12" t="s">
        <v>3</v>
      </c>
      <c r="D29" s="1"/>
      <c r="F29" s="11">
        <v>38626</v>
      </c>
      <c r="G29" s="12">
        <v>4153</v>
      </c>
      <c r="H29" s="12" t="s">
        <v>15</v>
      </c>
      <c r="L29" s="3">
        <v>39052</v>
      </c>
      <c r="M29" s="5">
        <v>11307</v>
      </c>
      <c r="N29" s="5"/>
      <c r="O29" s="5">
        <v>67168</v>
      </c>
      <c r="P29" s="5"/>
      <c r="Q29" s="5"/>
      <c r="R29" s="5">
        <v>78475</v>
      </c>
      <c r="V29" s="3">
        <v>39052</v>
      </c>
      <c r="W29" s="5">
        <v>5</v>
      </c>
      <c r="X29" s="5">
        <v>22045</v>
      </c>
      <c r="Y29" s="5">
        <v>56425</v>
      </c>
      <c r="Z29" s="5">
        <v>78475</v>
      </c>
      <c r="AD29" s="3">
        <v>39052</v>
      </c>
      <c r="AE29">
        <f t="shared" si="0"/>
        <v>0</v>
      </c>
      <c r="AF29">
        <f t="shared" si="1"/>
        <v>45118</v>
      </c>
      <c r="AG29" s="1">
        <f t="shared" si="2"/>
        <v>39052</v>
      </c>
      <c r="AH29" s="13">
        <f>AE29/AF29</f>
        <v>0</v>
      </c>
    </row>
    <row r="30" spans="1:34" x14ac:dyDescent="0.25">
      <c r="A30" s="11">
        <v>38718</v>
      </c>
      <c r="B30" s="12">
        <v>69960</v>
      </c>
      <c r="C30" s="12" t="s">
        <v>2</v>
      </c>
      <c r="D30" s="1"/>
      <c r="F30" s="11">
        <v>38626</v>
      </c>
      <c r="G30" s="12">
        <v>1756</v>
      </c>
      <c r="H30" s="12" t="s">
        <v>16</v>
      </c>
      <c r="L30" s="3">
        <v>39083</v>
      </c>
      <c r="M30" s="5">
        <v>10941</v>
      </c>
      <c r="N30" s="5"/>
      <c r="O30" s="5">
        <v>60980</v>
      </c>
      <c r="P30" s="5"/>
      <c r="Q30" s="5"/>
      <c r="R30" s="5">
        <v>71921</v>
      </c>
      <c r="V30" s="3">
        <v>39083</v>
      </c>
      <c r="W30" s="5">
        <v>5</v>
      </c>
      <c r="X30" s="5">
        <v>20459</v>
      </c>
      <c r="Y30" s="5">
        <v>51457</v>
      </c>
      <c r="Z30" s="5">
        <v>71921</v>
      </c>
      <c r="AD30" s="3">
        <v>39083</v>
      </c>
      <c r="AE30">
        <f t="shared" si="0"/>
        <v>0</v>
      </c>
      <c r="AF30">
        <f t="shared" si="1"/>
        <v>40516</v>
      </c>
      <c r="AG30" s="1">
        <f t="shared" si="2"/>
        <v>39083</v>
      </c>
      <c r="AH30" s="13">
        <f>AE30/AF30</f>
        <v>0</v>
      </c>
    </row>
    <row r="31" spans="1:34" x14ac:dyDescent="0.25">
      <c r="A31" s="11">
        <v>38749</v>
      </c>
      <c r="B31" s="12">
        <v>8521</v>
      </c>
      <c r="C31" s="12" t="s">
        <v>3</v>
      </c>
      <c r="D31" s="1"/>
      <c r="F31" s="11">
        <v>38657</v>
      </c>
      <c r="G31" s="12">
        <v>9473</v>
      </c>
      <c r="H31" s="12" t="s">
        <v>15</v>
      </c>
      <c r="L31" s="3">
        <v>39114</v>
      </c>
      <c r="M31" s="5">
        <v>14203</v>
      </c>
      <c r="N31" s="5"/>
      <c r="O31" s="5">
        <v>65702</v>
      </c>
      <c r="P31" s="5"/>
      <c r="Q31" s="5"/>
      <c r="R31" s="5">
        <v>79905</v>
      </c>
      <c r="V31" s="3">
        <v>39114</v>
      </c>
      <c r="W31" s="5"/>
      <c r="X31" s="5">
        <v>19600</v>
      </c>
      <c r="Y31" s="5">
        <v>60305</v>
      </c>
      <c r="Z31" s="5">
        <v>79905</v>
      </c>
      <c r="AD31" s="3">
        <v>39114</v>
      </c>
      <c r="AE31">
        <f t="shared" si="0"/>
        <v>0</v>
      </c>
      <c r="AF31">
        <f t="shared" si="1"/>
        <v>46102</v>
      </c>
      <c r="AG31" s="1">
        <f t="shared" si="2"/>
        <v>39114</v>
      </c>
      <c r="AH31" s="13">
        <f>AE31/AF31</f>
        <v>0</v>
      </c>
    </row>
    <row r="32" spans="1:34" x14ac:dyDescent="0.25">
      <c r="A32" s="11">
        <v>38749</v>
      </c>
      <c r="B32" s="12">
        <v>63040</v>
      </c>
      <c r="C32" s="12" t="s">
        <v>2</v>
      </c>
      <c r="D32" s="1"/>
      <c r="F32" s="11">
        <v>38657</v>
      </c>
      <c r="G32" s="12">
        <v>3165</v>
      </c>
      <c r="H32" s="12" t="s">
        <v>16</v>
      </c>
      <c r="L32" s="3">
        <v>39142</v>
      </c>
      <c r="M32" s="5">
        <v>14041</v>
      </c>
      <c r="N32" s="5"/>
      <c r="O32" s="5">
        <v>59879</v>
      </c>
      <c r="P32" s="5"/>
      <c r="Q32" s="5"/>
      <c r="R32" s="5">
        <v>73920</v>
      </c>
      <c r="V32" s="3">
        <v>39142</v>
      </c>
      <c r="W32" s="5">
        <v>4</v>
      </c>
      <c r="X32" s="5">
        <v>16113</v>
      </c>
      <c r="Y32" s="5">
        <v>57803</v>
      </c>
      <c r="Z32" s="5">
        <v>73920</v>
      </c>
      <c r="AD32" s="3">
        <v>39142</v>
      </c>
      <c r="AE32">
        <f t="shared" si="0"/>
        <v>0</v>
      </c>
      <c r="AF32">
        <f t="shared" si="1"/>
        <v>43762</v>
      </c>
      <c r="AG32" s="1">
        <f t="shared" si="2"/>
        <v>39142</v>
      </c>
      <c r="AH32" s="13">
        <f>AE32/AF32</f>
        <v>0</v>
      </c>
    </row>
    <row r="33" spans="1:34" x14ac:dyDescent="0.25">
      <c r="A33" s="11">
        <v>38777</v>
      </c>
      <c r="B33" s="12">
        <v>7898</v>
      </c>
      <c r="C33" s="12" t="s">
        <v>3</v>
      </c>
      <c r="D33" s="1"/>
      <c r="F33" s="11">
        <v>38687</v>
      </c>
      <c r="G33" s="12">
        <v>35832</v>
      </c>
      <c r="H33" s="12" t="s">
        <v>15</v>
      </c>
      <c r="L33" s="3">
        <v>39173</v>
      </c>
      <c r="M33" s="5">
        <v>12026</v>
      </c>
      <c r="N33" s="5"/>
      <c r="O33" s="5">
        <v>60253</v>
      </c>
      <c r="P33" s="5"/>
      <c r="Q33" s="5"/>
      <c r="R33" s="5">
        <v>72279</v>
      </c>
      <c r="V33" s="3">
        <v>39173</v>
      </c>
      <c r="W33" s="5">
        <v>5</v>
      </c>
      <c r="X33" s="5">
        <v>18600</v>
      </c>
      <c r="Y33" s="5">
        <v>53674</v>
      </c>
      <c r="Z33" s="5">
        <v>72279</v>
      </c>
      <c r="AD33" s="3">
        <v>39173</v>
      </c>
      <c r="AE33">
        <f t="shared" si="0"/>
        <v>0</v>
      </c>
      <c r="AF33">
        <f t="shared" si="1"/>
        <v>41648</v>
      </c>
      <c r="AG33" s="1">
        <f t="shared" si="2"/>
        <v>39173</v>
      </c>
      <c r="AH33" s="13">
        <f>AE33/AF33</f>
        <v>0</v>
      </c>
    </row>
    <row r="34" spans="1:34" x14ac:dyDescent="0.25">
      <c r="A34" s="11">
        <v>38777</v>
      </c>
      <c r="B34" s="12">
        <v>52304</v>
      </c>
      <c r="C34" s="12" t="s">
        <v>2</v>
      </c>
      <c r="D34" s="1"/>
      <c r="F34" s="11">
        <v>38687</v>
      </c>
      <c r="G34" s="12">
        <v>11083</v>
      </c>
      <c r="H34" s="12" t="s">
        <v>16</v>
      </c>
      <c r="L34" s="3">
        <v>39203</v>
      </c>
      <c r="M34" s="5">
        <v>15743</v>
      </c>
      <c r="N34" s="5"/>
      <c r="O34" s="5">
        <v>76142</v>
      </c>
      <c r="P34" s="5"/>
      <c r="Q34" s="5"/>
      <c r="R34" s="5">
        <v>91885</v>
      </c>
      <c r="V34" s="3">
        <v>39203</v>
      </c>
      <c r="W34" s="5">
        <v>3</v>
      </c>
      <c r="X34" s="5">
        <v>24753</v>
      </c>
      <c r="Y34" s="5">
        <v>67129</v>
      </c>
      <c r="Z34" s="5">
        <v>91885</v>
      </c>
      <c r="AD34" s="3">
        <v>39203</v>
      </c>
      <c r="AE34">
        <f t="shared" si="0"/>
        <v>0</v>
      </c>
      <c r="AF34">
        <f t="shared" si="1"/>
        <v>51386</v>
      </c>
      <c r="AG34" s="1">
        <f t="shared" si="2"/>
        <v>39203</v>
      </c>
      <c r="AH34" s="13">
        <f>AE34/AF34</f>
        <v>0</v>
      </c>
    </row>
    <row r="35" spans="1:34" x14ac:dyDescent="0.25">
      <c r="A35" s="11">
        <v>38808</v>
      </c>
      <c r="B35" s="12">
        <v>8710</v>
      </c>
      <c r="C35" s="12" t="s">
        <v>3</v>
      </c>
      <c r="D35" s="1"/>
      <c r="F35" s="11">
        <v>38718</v>
      </c>
      <c r="G35" s="12">
        <v>58928</v>
      </c>
      <c r="H35" s="12" t="s">
        <v>15</v>
      </c>
      <c r="L35" s="3">
        <v>39234</v>
      </c>
      <c r="M35" s="5">
        <v>17060</v>
      </c>
      <c r="N35" s="5"/>
      <c r="O35" s="5">
        <v>78204</v>
      </c>
      <c r="P35" s="5"/>
      <c r="Q35" s="5"/>
      <c r="R35" s="5">
        <v>95264</v>
      </c>
      <c r="V35" s="3">
        <v>39234</v>
      </c>
      <c r="W35" s="5">
        <v>5</v>
      </c>
      <c r="X35" s="5">
        <v>26052</v>
      </c>
      <c r="Y35" s="5">
        <v>69207</v>
      </c>
      <c r="Z35" s="5">
        <v>95264</v>
      </c>
      <c r="AD35" s="3">
        <v>39234</v>
      </c>
      <c r="AE35">
        <f t="shared" si="0"/>
        <v>0</v>
      </c>
      <c r="AF35">
        <f t="shared" si="1"/>
        <v>52147</v>
      </c>
      <c r="AG35" s="1">
        <f t="shared" si="2"/>
        <v>39234</v>
      </c>
      <c r="AH35" s="13">
        <f>AE35/AF35</f>
        <v>0</v>
      </c>
    </row>
    <row r="36" spans="1:34" x14ac:dyDescent="0.25">
      <c r="A36" s="11">
        <v>38808</v>
      </c>
      <c r="B36" s="12">
        <v>57784</v>
      </c>
      <c r="C36" s="12" t="s">
        <v>2</v>
      </c>
      <c r="D36" s="1"/>
      <c r="F36" s="11">
        <v>38718</v>
      </c>
      <c r="G36" s="12">
        <v>20793</v>
      </c>
      <c r="H36" s="12" t="s">
        <v>16</v>
      </c>
      <c r="L36" s="3">
        <v>39264</v>
      </c>
      <c r="M36" s="5">
        <v>14675</v>
      </c>
      <c r="N36" s="5"/>
      <c r="O36" s="5">
        <v>74611</v>
      </c>
      <c r="P36" s="5"/>
      <c r="Q36" s="5"/>
      <c r="R36" s="5">
        <v>89286</v>
      </c>
      <c r="V36" s="3">
        <v>39264</v>
      </c>
      <c r="W36" s="5">
        <v>2</v>
      </c>
      <c r="X36" s="5">
        <v>27439</v>
      </c>
      <c r="Y36" s="5">
        <v>61845</v>
      </c>
      <c r="Z36" s="5">
        <v>89286</v>
      </c>
      <c r="AD36" s="3">
        <v>39264</v>
      </c>
      <c r="AE36">
        <f t="shared" si="0"/>
        <v>0</v>
      </c>
      <c r="AF36">
        <f t="shared" si="1"/>
        <v>47170</v>
      </c>
      <c r="AG36" s="1">
        <f t="shared" si="2"/>
        <v>39264</v>
      </c>
      <c r="AH36" s="13">
        <f>AE36/AF36</f>
        <v>0</v>
      </c>
    </row>
    <row r="37" spans="1:34" x14ac:dyDescent="0.25">
      <c r="A37" s="11">
        <v>38838</v>
      </c>
      <c r="B37" s="12">
        <v>8999</v>
      </c>
      <c r="C37" s="12" t="s">
        <v>3</v>
      </c>
      <c r="D37" s="1"/>
      <c r="F37" s="11">
        <v>38718</v>
      </c>
      <c r="G37" s="12">
        <v>1</v>
      </c>
      <c r="H37" s="12" t="s">
        <v>29</v>
      </c>
      <c r="L37" s="3">
        <v>39295</v>
      </c>
      <c r="M37" s="5">
        <v>11149</v>
      </c>
      <c r="N37" s="5"/>
      <c r="O37" s="5">
        <v>64902</v>
      </c>
      <c r="P37" s="5"/>
      <c r="Q37" s="5"/>
      <c r="R37" s="5">
        <v>76051</v>
      </c>
      <c r="V37" s="3">
        <v>39295</v>
      </c>
      <c r="W37" s="5">
        <v>1</v>
      </c>
      <c r="X37" s="5">
        <v>27323</v>
      </c>
      <c r="Y37" s="5">
        <v>48727</v>
      </c>
      <c r="Z37" s="5">
        <v>76051</v>
      </c>
      <c r="AD37" s="3">
        <v>39295</v>
      </c>
      <c r="AE37">
        <f t="shared" si="0"/>
        <v>0</v>
      </c>
      <c r="AF37">
        <f t="shared" si="1"/>
        <v>37578</v>
      </c>
      <c r="AG37" s="1">
        <f t="shared" si="2"/>
        <v>39295</v>
      </c>
      <c r="AH37" s="13">
        <f>AE37/AF37</f>
        <v>0</v>
      </c>
    </row>
    <row r="38" spans="1:34" x14ac:dyDescent="0.25">
      <c r="A38" s="11">
        <v>38838</v>
      </c>
      <c r="B38" s="12">
        <v>63784</v>
      </c>
      <c r="C38" s="12" t="s">
        <v>2</v>
      </c>
      <c r="D38" s="1"/>
      <c r="F38" s="11">
        <v>38749</v>
      </c>
      <c r="G38" s="12">
        <v>51841</v>
      </c>
      <c r="H38" s="12" t="s">
        <v>15</v>
      </c>
      <c r="L38" s="3">
        <v>39326</v>
      </c>
      <c r="M38" s="5">
        <v>9543</v>
      </c>
      <c r="N38" s="5"/>
      <c r="O38" s="5">
        <v>58721</v>
      </c>
      <c r="P38" s="5"/>
      <c r="Q38" s="5"/>
      <c r="R38" s="5">
        <v>68264</v>
      </c>
      <c r="V38" s="3">
        <v>39326</v>
      </c>
      <c r="W38" s="5">
        <v>2</v>
      </c>
      <c r="X38" s="5">
        <v>25505</v>
      </c>
      <c r="Y38" s="5">
        <v>42757</v>
      </c>
      <c r="Z38" s="5">
        <v>68264</v>
      </c>
      <c r="AD38" s="3">
        <v>39326</v>
      </c>
      <c r="AE38">
        <f t="shared" si="0"/>
        <v>0</v>
      </c>
      <c r="AF38">
        <f t="shared" si="1"/>
        <v>33214</v>
      </c>
      <c r="AG38" s="1">
        <f t="shared" si="2"/>
        <v>39326</v>
      </c>
      <c r="AH38" s="13">
        <f>AE38/AF38</f>
        <v>0</v>
      </c>
    </row>
    <row r="39" spans="1:34" x14ac:dyDescent="0.25">
      <c r="A39" s="11">
        <v>38869</v>
      </c>
      <c r="B39" s="12">
        <v>7853</v>
      </c>
      <c r="C39" s="12" t="s">
        <v>3</v>
      </c>
      <c r="D39" s="1"/>
      <c r="F39" s="11">
        <v>38749</v>
      </c>
      <c r="G39" s="12">
        <v>19719</v>
      </c>
      <c r="H39" s="12" t="s">
        <v>16</v>
      </c>
      <c r="L39" s="3">
        <v>39356</v>
      </c>
      <c r="M39" s="5">
        <v>9423</v>
      </c>
      <c r="N39" s="5"/>
      <c r="O39" s="5">
        <v>56009</v>
      </c>
      <c r="P39" s="5"/>
      <c r="Q39" s="5"/>
      <c r="R39" s="5">
        <v>65432</v>
      </c>
      <c r="V39" s="3">
        <v>39356</v>
      </c>
      <c r="W39" s="5">
        <v>2</v>
      </c>
      <c r="X39" s="5">
        <v>24490</v>
      </c>
      <c r="Y39" s="5">
        <v>40940</v>
      </c>
      <c r="Z39" s="5">
        <v>65432</v>
      </c>
      <c r="AD39" s="3">
        <v>39356</v>
      </c>
      <c r="AE39">
        <f t="shared" si="0"/>
        <v>0</v>
      </c>
      <c r="AF39">
        <f t="shared" si="1"/>
        <v>31517</v>
      </c>
      <c r="AG39" s="1">
        <f t="shared" si="2"/>
        <v>39356</v>
      </c>
      <c r="AH39" s="13">
        <f>AE39/AF39</f>
        <v>0</v>
      </c>
    </row>
    <row r="40" spans="1:34" x14ac:dyDescent="0.25">
      <c r="A40" s="11">
        <v>38869</v>
      </c>
      <c r="B40" s="12">
        <v>57937</v>
      </c>
      <c r="C40" s="12" t="s">
        <v>2</v>
      </c>
      <c r="D40" s="1"/>
      <c r="F40" s="11">
        <v>38749</v>
      </c>
      <c r="G40" s="12">
        <v>1</v>
      </c>
      <c r="H40" s="12" t="s">
        <v>29</v>
      </c>
      <c r="L40" s="3">
        <v>39387</v>
      </c>
      <c r="M40" s="5">
        <v>10767</v>
      </c>
      <c r="N40" s="5"/>
      <c r="O40" s="5">
        <v>51683</v>
      </c>
      <c r="P40" s="5"/>
      <c r="Q40" s="5"/>
      <c r="R40" s="5">
        <v>62450</v>
      </c>
      <c r="V40" s="3">
        <v>39387</v>
      </c>
      <c r="W40" s="5">
        <v>3</v>
      </c>
      <c r="X40" s="5">
        <v>19917</v>
      </c>
      <c r="Y40" s="5">
        <v>42530</v>
      </c>
      <c r="Z40" s="5">
        <v>62450</v>
      </c>
      <c r="AD40" s="3">
        <v>39387</v>
      </c>
      <c r="AE40">
        <f t="shared" si="0"/>
        <v>0</v>
      </c>
      <c r="AF40">
        <f t="shared" si="1"/>
        <v>31763</v>
      </c>
      <c r="AG40" s="1">
        <f t="shared" si="2"/>
        <v>39387</v>
      </c>
      <c r="AH40" s="13">
        <f>AE40/AF40</f>
        <v>0</v>
      </c>
    </row>
    <row r="41" spans="1:34" x14ac:dyDescent="0.25">
      <c r="A41" s="11">
        <v>38899</v>
      </c>
      <c r="B41" s="12">
        <v>7591</v>
      </c>
      <c r="C41" s="12" t="s">
        <v>3</v>
      </c>
      <c r="D41" s="1"/>
      <c r="F41" s="11">
        <v>38777</v>
      </c>
      <c r="G41" s="12">
        <v>45151</v>
      </c>
      <c r="H41" s="12" t="s">
        <v>15</v>
      </c>
      <c r="L41" s="3">
        <v>39417</v>
      </c>
      <c r="M41" s="5">
        <v>12859</v>
      </c>
      <c r="N41" s="5"/>
      <c r="O41" s="5">
        <v>57048</v>
      </c>
      <c r="P41" s="5"/>
      <c r="Q41" s="5"/>
      <c r="R41" s="5">
        <v>69907</v>
      </c>
      <c r="V41" s="3">
        <v>39417</v>
      </c>
      <c r="W41" s="5">
        <v>6</v>
      </c>
      <c r="X41" s="5">
        <v>18777</v>
      </c>
      <c r="Y41" s="5">
        <v>51124</v>
      </c>
      <c r="Z41" s="5">
        <v>69907</v>
      </c>
      <c r="AD41" s="3">
        <v>39417</v>
      </c>
      <c r="AE41">
        <f t="shared" si="0"/>
        <v>0</v>
      </c>
      <c r="AF41">
        <f t="shared" si="1"/>
        <v>38265</v>
      </c>
      <c r="AG41" s="1">
        <f t="shared" si="2"/>
        <v>39417</v>
      </c>
      <c r="AH41" s="13">
        <f>AE41/AF41</f>
        <v>0</v>
      </c>
    </row>
    <row r="42" spans="1:34" x14ac:dyDescent="0.25">
      <c r="A42" s="11">
        <v>38899</v>
      </c>
      <c r="B42" s="12">
        <v>60667</v>
      </c>
      <c r="C42" s="12" t="s">
        <v>2</v>
      </c>
      <c r="D42" s="1"/>
      <c r="F42" s="11">
        <v>38777</v>
      </c>
      <c r="G42" s="12">
        <v>15051</v>
      </c>
      <c r="H42" s="12" t="s">
        <v>16</v>
      </c>
      <c r="L42" s="3">
        <v>39448</v>
      </c>
      <c r="M42" s="5">
        <v>12264</v>
      </c>
      <c r="N42" s="5"/>
      <c r="O42" s="5">
        <v>47775</v>
      </c>
      <c r="P42" s="5"/>
      <c r="Q42" s="5"/>
      <c r="R42" s="5">
        <v>60039</v>
      </c>
      <c r="V42" s="3">
        <v>39448</v>
      </c>
      <c r="W42" s="5">
        <v>4</v>
      </c>
      <c r="X42" s="5">
        <v>15687</v>
      </c>
      <c r="Y42" s="5">
        <v>44348</v>
      </c>
      <c r="Z42" s="5">
        <v>60039</v>
      </c>
      <c r="AD42" s="3">
        <v>39448</v>
      </c>
      <c r="AE42">
        <f t="shared" si="0"/>
        <v>0</v>
      </c>
      <c r="AF42">
        <f t="shared" si="1"/>
        <v>32084</v>
      </c>
      <c r="AG42" s="1">
        <f t="shared" si="2"/>
        <v>39448</v>
      </c>
      <c r="AH42" s="13">
        <f>AE42/AF42</f>
        <v>0</v>
      </c>
    </row>
    <row r="43" spans="1:34" x14ac:dyDescent="0.25">
      <c r="A43" s="11">
        <v>38930</v>
      </c>
      <c r="B43" s="12">
        <v>6948</v>
      </c>
      <c r="C43" s="12" t="s">
        <v>3</v>
      </c>
      <c r="D43" s="1"/>
      <c r="F43" s="11">
        <v>38808</v>
      </c>
      <c r="G43" s="12">
        <v>50507</v>
      </c>
      <c r="H43" s="12" t="s">
        <v>15</v>
      </c>
      <c r="L43" s="3">
        <v>39479</v>
      </c>
      <c r="M43" s="5">
        <v>18792</v>
      </c>
      <c r="N43" s="5"/>
      <c r="O43" s="5">
        <v>56102</v>
      </c>
      <c r="P43" s="5"/>
      <c r="Q43" s="5"/>
      <c r="R43" s="5">
        <v>74894</v>
      </c>
      <c r="V43" s="3">
        <v>39479</v>
      </c>
      <c r="W43" s="5">
        <v>11</v>
      </c>
      <c r="X43" s="5">
        <v>15997</v>
      </c>
      <c r="Y43" s="5">
        <v>58886</v>
      </c>
      <c r="Z43" s="5">
        <v>74894</v>
      </c>
      <c r="AD43" s="3">
        <v>39479</v>
      </c>
      <c r="AE43">
        <f t="shared" si="0"/>
        <v>0</v>
      </c>
      <c r="AF43">
        <f t="shared" si="1"/>
        <v>40094</v>
      </c>
      <c r="AG43" s="1">
        <f t="shared" si="2"/>
        <v>39479</v>
      </c>
      <c r="AH43" s="13">
        <f>AE43/AF43</f>
        <v>0</v>
      </c>
    </row>
    <row r="44" spans="1:34" x14ac:dyDescent="0.25">
      <c r="A44" s="11">
        <v>38930</v>
      </c>
      <c r="B44" s="12">
        <v>62397</v>
      </c>
      <c r="C44" s="12" t="s">
        <v>2</v>
      </c>
      <c r="D44" s="1"/>
      <c r="F44" s="11">
        <v>38808</v>
      </c>
      <c r="G44" s="12">
        <v>15987</v>
      </c>
      <c r="H44" s="12" t="s">
        <v>16</v>
      </c>
      <c r="L44" s="3">
        <v>39508</v>
      </c>
      <c r="M44" s="5">
        <v>21851</v>
      </c>
      <c r="N44" s="5"/>
      <c r="O44" s="5">
        <v>50861</v>
      </c>
      <c r="P44" s="5"/>
      <c r="Q44" s="5"/>
      <c r="R44" s="5">
        <v>72712</v>
      </c>
      <c r="V44" s="3">
        <v>39508</v>
      </c>
      <c r="W44" s="5">
        <v>10</v>
      </c>
      <c r="X44" s="5">
        <v>12185</v>
      </c>
      <c r="Y44" s="5">
        <v>60517</v>
      </c>
      <c r="Z44" s="5">
        <v>72712</v>
      </c>
      <c r="AD44" s="3">
        <v>39508</v>
      </c>
      <c r="AE44">
        <f t="shared" si="0"/>
        <v>0</v>
      </c>
      <c r="AF44">
        <f t="shared" si="1"/>
        <v>38666</v>
      </c>
      <c r="AG44" s="1">
        <f t="shared" si="2"/>
        <v>39508</v>
      </c>
      <c r="AH44" s="13">
        <f>AE44/AF44</f>
        <v>0</v>
      </c>
    </row>
    <row r="45" spans="1:34" x14ac:dyDescent="0.25">
      <c r="A45" s="11">
        <v>38961</v>
      </c>
      <c r="B45" s="12">
        <v>6729</v>
      </c>
      <c r="C45" s="12" t="s">
        <v>3</v>
      </c>
      <c r="D45" s="1"/>
      <c r="F45" s="11">
        <v>38838</v>
      </c>
      <c r="G45" s="12">
        <v>52712</v>
      </c>
      <c r="H45" s="12" t="s">
        <v>15</v>
      </c>
      <c r="L45" s="3">
        <v>39539</v>
      </c>
      <c r="M45" s="5">
        <v>40501</v>
      </c>
      <c r="N45" s="5"/>
      <c r="O45" s="5">
        <v>83949</v>
      </c>
      <c r="P45" s="5"/>
      <c r="Q45" s="5"/>
      <c r="R45" s="5">
        <v>124450</v>
      </c>
      <c r="V45" s="3">
        <v>39539</v>
      </c>
      <c r="W45" s="5">
        <v>6</v>
      </c>
      <c r="X45" s="5">
        <v>13968</v>
      </c>
      <c r="Y45" s="5">
        <v>110476</v>
      </c>
      <c r="Z45" s="5">
        <v>124450</v>
      </c>
      <c r="AD45" s="3">
        <v>39539</v>
      </c>
      <c r="AE45">
        <f t="shared" si="0"/>
        <v>0</v>
      </c>
      <c r="AF45">
        <f t="shared" si="1"/>
        <v>69975</v>
      </c>
      <c r="AG45" s="1">
        <f t="shared" si="2"/>
        <v>39539</v>
      </c>
      <c r="AH45" s="13">
        <f>AE45/AF45</f>
        <v>0</v>
      </c>
    </row>
    <row r="46" spans="1:34" x14ac:dyDescent="0.25">
      <c r="A46" s="11">
        <v>38961</v>
      </c>
      <c r="B46" s="12">
        <v>56561</v>
      </c>
      <c r="C46" s="12" t="s">
        <v>2</v>
      </c>
      <c r="D46" s="1"/>
      <c r="F46" s="11">
        <v>38838</v>
      </c>
      <c r="G46" s="12">
        <v>20069</v>
      </c>
      <c r="H46" s="12" t="s">
        <v>16</v>
      </c>
      <c r="L46" s="3">
        <v>39569</v>
      </c>
      <c r="M46" s="5">
        <v>27625</v>
      </c>
      <c r="N46" s="5"/>
      <c r="O46" s="5">
        <v>79561</v>
      </c>
      <c r="P46" s="5"/>
      <c r="Q46" s="5"/>
      <c r="R46" s="5">
        <v>107186</v>
      </c>
      <c r="V46" s="3">
        <v>39569</v>
      </c>
      <c r="W46" s="5">
        <v>10</v>
      </c>
      <c r="X46" s="5">
        <v>16976</v>
      </c>
      <c r="Y46" s="5">
        <v>90200</v>
      </c>
      <c r="Z46" s="5">
        <v>107186</v>
      </c>
      <c r="AD46" s="3">
        <v>39569</v>
      </c>
      <c r="AE46">
        <f t="shared" si="0"/>
        <v>0</v>
      </c>
      <c r="AF46">
        <f t="shared" si="1"/>
        <v>62575</v>
      </c>
      <c r="AG46" s="1">
        <f t="shared" si="2"/>
        <v>39569</v>
      </c>
      <c r="AH46" s="13">
        <f>AE46/AF46</f>
        <v>0</v>
      </c>
    </row>
    <row r="47" spans="1:34" x14ac:dyDescent="0.25">
      <c r="A47" s="11">
        <v>38991</v>
      </c>
      <c r="B47" s="12">
        <v>7143</v>
      </c>
      <c r="C47" s="12" t="s">
        <v>3</v>
      </c>
      <c r="D47" s="1"/>
      <c r="F47" s="11">
        <v>38838</v>
      </c>
      <c r="G47" s="12">
        <v>2</v>
      </c>
      <c r="H47" s="12" t="s">
        <v>29</v>
      </c>
      <c r="L47" s="3">
        <v>39600</v>
      </c>
      <c r="M47" s="5">
        <v>26786</v>
      </c>
      <c r="N47" s="5"/>
      <c r="O47" s="5">
        <v>77410</v>
      </c>
      <c r="P47" s="5"/>
      <c r="Q47" s="5"/>
      <c r="R47" s="5">
        <v>104196</v>
      </c>
      <c r="V47" s="3">
        <v>39600</v>
      </c>
      <c r="W47" s="5">
        <v>16</v>
      </c>
      <c r="X47" s="5">
        <v>18378</v>
      </c>
      <c r="Y47" s="5">
        <v>85802</v>
      </c>
      <c r="Z47" s="5">
        <v>104196</v>
      </c>
      <c r="AD47" s="3">
        <v>39600</v>
      </c>
      <c r="AE47">
        <f t="shared" si="0"/>
        <v>0</v>
      </c>
      <c r="AF47">
        <f t="shared" si="1"/>
        <v>59016</v>
      </c>
      <c r="AG47" s="1">
        <f t="shared" si="2"/>
        <v>39600</v>
      </c>
      <c r="AH47" s="13">
        <f>AE47/AF47</f>
        <v>0</v>
      </c>
    </row>
    <row r="48" spans="1:34" x14ac:dyDescent="0.25">
      <c r="A48" s="11">
        <v>38991</v>
      </c>
      <c r="B48" s="12">
        <v>59011</v>
      </c>
      <c r="C48" s="12" t="s">
        <v>2</v>
      </c>
      <c r="D48" s="1"/>
      <c r="F48" s="11">
        <v>38869</v>
      </c>
      <c r="G48" s="12">
        <v>45436</v>
      </c>
      <c r="H48" s="12" t="s">
        <v>15</v>
      </c>
      <c r="L48" s="3">
        <v>39630</v>
      </c>
      <c r="M48" s="5">
        <v>16385</v>
      </c>
      <c r="N48" s="5"/>
      <c r="O48" s="5">
        <v>58325</v>
      </c>
      <c r="P48" s="5"/>
      <c r="Q48" s="5"/>
      <c r="R48" s="5">
        <v>74710</v>
      </c>
      <c r="V48" s="3">
        <v>39630</v>
      </c>
      <c r="W48" s="5">
        <v>25</v>
      </c>
      <c r="X48" s="5">
        <v>18979</v>
      </c>
      <c r="Y48" s="5">
        <v>55706</v>
      </c>
      <c r="Z48" s="5">
        <v>74710</v>
      </c>
      <c r="AD48" s="3">
        <v>39630</v>
      </c>
      <c r="AE48">
        <f t="shared" si="0"/>
        <v>0</v>
      </c>
      <c r="AF48">
        <f t="shared" si="1"/>
        <v>39321</v>
      </c>
      <c r="AG48" s="1">
        <f t="shared" si="2"/>
        <v>39630</v>
      </c>
      <c r="AH48" s="13">
        <f>AE48/AF48</f>
        <v>0</v>
      </c>
    </row>
    <row r="49" spans="1:34" x14ac:dyDescent="0.25">
      <c r="A49" s="11">
        <v>39022</v>
      </c>
      <c r="B49" s="12">
        <v>56669</v>
      </c>
      <c r="C49" s="12" t="s">
        <v>2</v>
      </c>
      <c r="D49" s="1"/>
      <c r="F49" s="11">
        <v>38869</v>
      </c>
      <c r="G49" s="12">
        <v>20351</v>
      </c>
      <c r="H49" s="12" t="s">
        <v>16</v>
      </c>
      <c r="L49" s="3">
        <v>39661</v>
      </c>
      <c r="M49" s="5">
        <v>12045</v>
      </c>
      <c r="N49" s="5"/>
      <c r="O49" s="5">
        <v>51839</v>
      </c>
      <c r="P49" s="5"/>
      <c r="Q49" s="5"/>
      <c r="R49" s="5">
        <v>63884</v>
      </c>
      <c r="V49" s="3">
        <v>39661</v>
      </c>
      <c r="W49" s="5">
        <v>41</v>
      </c>
      <c r="X49" s="5">
        <v>20826</v>
      </c>
      <c r="Y49" s="5">
        <v>43017</v>
      </c>
      <c r="Z49" s="5">
        <v>63884</v>
      </c>
      <c r="AD49" s="3">
        <v>39661</v>
      </c>
      <c r="AE49">
        <f t="shared" si="0"/>
        <v>0</v>
      </c>
      <c r="AF49">
        <f t="shared" si="1"/>
        <v>30972</v>
      </c>
      <c r="AG49" s="1">
        <f t="shared" si="2"/>
        <v>39661</v>
      </c>
      <c r="AH49" s="13">
        <f>AE49/AF49</f>
        <v>0</v>
      </c>
    </row>
    <row r="50" spans="1:34" x14ac:dyDescent="0.25">
      <c r="A50" s="11">
        <v>39022</v>
      </c>
      <c r="B50" s="12">
        <v>8181</v>
      </c>
      <c r="C50" s="12" t="s">
        <v>3</v>
      </c>
      <c r="D50" s="1"/>
      <c r="F50" s="11">
        <v>38869</v>
      </c>
      <c r="G50" s="12">
        <v>3</v>
      </c>
      <c r="H50" s="12" t="s">
        <v>29</v>
      </c>
      <c r="L50" s="3">
        <v>39692</v>
      </c>
      <c r="M50" s="5">
        <v>8038</v>
      </c>
      <c r="N50" s="5"/>
      <c r="O50" s="5">
        <v>38866</v>
      </c>
      <c r="P50" s="5"/>
      <c r="Q50" s="5"/>
      <c r="R50" s="5">
        <v>46904</v>
      </c>
      <c r="V50" s="3">
        <v>39692</v>
      </c>
      <c r="W50" s="5">
        <v>39</v>
      </c>
      <c r="X50" s="5">
        <v>18245</v>
      </c>
      <c r="Y50" s="5">
        <v>28620</v>
      </c>
      <c r="Z50" s="5">
        <v>46904</v>
      </c>
      <c r="AD50" s="3">
        <v>39692</v>
      </c>
      <c r="AE50">
        <f t="shared" si="0"/>
        <v>0</v>
      </c>
      <c r="AF50">
        <f t="shared" si="1"/>
        <v>20582</v>
      </c>
      <c r="AG50" s="1">
        <f t="shared" si="2"/>
        <v>39692</v>
      </c>
      <c r="AH50" s="13">
        <f>AE50/AF50</f>
        <v>0</v>
      </c>
    </row>
    <row r="51" spans="1:34" x14ac:dyDescent="0.25">
      <c r="A51" s="11">
        <v>39052</v>
      </c>
      <c r="B51" s="12">
        <v>67168</v>
      </c>
      <c r="C51" s="12" t="s">
        <v>2</v>
      </c>
      <c r="D51" s="1"/>
      <c r="F51" s="11">
        <v>38899</v>
      </c>
      <c r="G51" s="12">
        <v>44370</v>
      </c>
      <c r="H51" s="12" t="s">
        <v>15</v>
      </c>
      <c r="L51" s="3">
        <v>39722</v>
      </c>
      <c r="M51" s="5">
        <v>4945</v>
      </c>
      <c r="N51" s="5"/>
      <c r="O51" s="5">
        <v>27193</v>
      </c>
      <c r="P51" s="5"/>
      <c r="Q51" s="5"/>
      <c r="R51" s="5">
        <v>32138</v>
      </c>
      <c r="V51" s="3">
        <v>39722</v>
      </c>
      <c r="W51" s="5">
        <v>48</v>
      </c>
      <c r="X51" s="5">
        <v>12793</v>
      </c>
      <c r="Y51" s="5">
        <v>19297</v>
      </c>
      <c r="Z51" s="5">
        <v>32138</v>
      </c>
      <c r="AD51" s="3">
        <v>39722</v>
      </c>
      <c r="AE51">
        <f t="shared" si="0"/>
        <v>0</v>
      </c>
      <c r="AF51">
        <f t="shared" si="1"/>
        <v>14352</v>
      </c>
      <c r="AG51" s="1">
        <f t="shared" si="2"/>
        <v>39722</v>
      </c>
      <c r="AH51" s="13">
        <f>AE51/AF51</f>
        <v>0</v>
      </c>
    </row>
    <row r="52" spans="1:34" x14ac:dyDescent="0.25">
      <c r="A52" s="11">
        <v>39052</v>
      </c>
      <c r="B52" s="12">
        <v>11307</v>
      </c>
      <c r="C52" s="12" t="s">
        <v>3</v>
      </c>
      <c r="D52" s="1"/>
      <c r="F52" s="11">
        <v>38899</v>
      </c>
      <c r="G52" s="12">
        <v>23888</v>
      </c>
      <c r="H52" s="12" t="s">
        <v>16</v>
      </c>
      <c r="L52" s="3">
        <v>39753</v>
      </c>
      <c r="M52" s="5">
        <v>7598</v>
      </c>
      <c r="N52" s="5"/>
      <c r="O52" s="5">
        <v>30484</v>
      </c>
      <c r="P52" s="5"/>
      <c r="Q52" s="5"/>
      <c r="R52" s="5">
        <v>38082</v>
      </c>
      <c r="V52" s="3">
        <v>39753</v>
      </c>
      <c r="W52" s="5">
        <v>107</v>
      </c>
      <c r="X52" s="5">
        <v>13863</v>
      </c>
      <c r="Y52" s="5">
        <v>24112</v>
      </c>
      <c r="Z52" s="5">
        <v>38082</v>
      </c>
      <c r="AD52" s="3">
        <v>39753</v>
      </c>
      <c r="AE52">
        <f t="shared" si="0"/>
        <v>0</v>
      </c>
      <c r="AF52">
        <f t="shared" si="1"/>
        <v>16514</v>
      </c>
      <c r="AG52" s="1">
        <f t="shared" si="2"/>
        <v>39753</v>
      </c>
      <c r="AH52" s="13">
        <f>AE52/AF52</f>
        <v>0</v>
      </c>
    </row>
    <row r="53" spans="1:34" x14ac:dyDescent="0.25">
      <c r="A53" s="11">
        <v>39083</v>
      </c>
      <c r="B53" s="12">
        <v>10941</v>
      </c>
      <c r="C53" s="12" t="s">
        <v>3</v>
      </c>
      <c r="D53" s="1"/>
      <c r="F53" s="11">
        <v>38930</v>
      </c>
      <c r="G53" s="12">
        <v>41309</v>
      </c>
      <c r="H53" s="12" t="s">
        <v>15</v>
      </c>
      <c r="L53" s="3">
        <v>39783</v>
      </c>
      <c r="M53" s="5">
        <v>11576</v>
      </c>
      <c r="N53" s="5"/>
      <c r="O53" s="5">
        <v>33221</v>
      </c>
      <c r="P53" s="5"/>
      <c r="Q53" s="5"/>
      <c r="R53" s="5">
        <v>44797</v>
      </c>
      <c r="V53" s="3">
        <v>39783</v>
      </c>
      <c r="W53" s="5">
        <v>164</v>
      </c>
      <c r="X53" s="5">
        <v>12939</v>
      </c>
      <c r="Y53" s="5">
        <v>31694</v>
      </c>
      <c r="Z53" s="5">
        <v>44797</v>
      </c>
      <c r="AD53" s="3">
        <v>39783</v>
      </c>
      <c r="AE53">
        <f t="shared" si="0"/>
        <v>0</v>
      </c>
      <c r="AF53">
        <f t="shared" si="1"/>
        <v>20118</v>
      </c>
      <c r="AG53" s="1">
        <f t="shared" si="2"/>
        <v>39783</v>
      </c>
      <c r="AH53" s="13">
        <f>AE53/AF53</f>
        <v>0</v>
      </c>
    </row>
    <row r="54" spans="1:34" x14ac:dyDescent="0.25">
      <c r="A54" s="11">
        <v>39083</v>
      </c>
      <c r="B54" s="12">
        <v>60980</v>
      </c>
      <c r="C54" s="12" t="s">
        <v>2</v>
      </c>
      <c r="D54" s="1"/>
      <c r="F54" s="11">
        <v>38930</v>
      </c>
      <c r="G54" s="12">
        <v>28035</v>
      </c>
      <c r="H54" s="12" t="s">
        <v>16</v>
      </c>
      <c r="L54" s="3">
        <v>39814</v>
      </c>
      <c r="M54" s="5">
        <v>5204</v>
      </c>
      <c r="N54" s="5"/>
      <c r="O54" s="5">
        <v>19558</v>
      </c>
      <c r="P54" s="5"/>
      <c r="Q54" s="5"/>
      <c r="R54" s="5">
        <v>24762</v>
      </c>
      <c r="V54" s="3">
        <v>39814</v>
      </c>
      <c r="W54" s="5">
        <v>215</v>
      </c>
      <c r="X54" s="5">
        <v>8606</v>
      </c>
      <c r="Y54" s="5">
        <v>15941</v>
      </c>
      <c r="Z54" s="5">
        <v>24762</v>
      </c>
      <c r="AD54" s="3">
        <v>39814</v>
      </c>
      <c r="AE54">
        <f t="shared" si="0"/>
        <v>0</v>
      </c>
      <c r="AF54">
        <f t="shared" si="1"/>
        <v>10737</v>
      </c>
      <c r="AG54" s="1">
        <f t="shared" si="2"/>
        <v>39814</v>
      </c>
      <c r="AH54" s="13">
        <f>AE54/AF54</f>
        <v>0</v>
      </c>
    </row>
    <row r="55" spans="1:34" x14ac:dyDescent="0.25">
      <c r="A55" s="11">
        <v>39114</v>
      </c>
      <c r="B55" s="12">
        <v>65702</v>
      </c>
      <c r="C55" s="12" t="s">
        <v>2</v>
      </c>
      <c r="D55" s="1"/>
      <c r="F55" s="11">
        <v>38930</v>
      </c>
      <c r="G55" s="12">
        <v>1</v>
      </c>
      <c r="H55" s="12" t="s">
        <v>29</v>
      </c>
      <c r="L55" s="3">
        <v>39845</v>
      </c>
      <c r="M55" s="5">
        <v>24567</v>
      </c>
      <c r="N55" s="5"/>
      <c r="O55" s="5">
        <v>36500</v>
      </c>
      <c r="P55" s="5"/>
      <c r="Q55" s="5"/>
      <c r="R55" s="5">
        <v>61067</v>
      </c>
      <c r="V55" s="3">
        <v>39845</v>
      </c>
      <c r="W55" s="5">
        <v>204</v>
      </c>
      <c r="X55" s="5">
        <v>12000</v>
      </c>
      <c r="Y55" s="5">
        <v>48863</v>
      </c>
      <c r="Z55" s="5">
        <v>61067</v>
      </c>
      <c r="AD55" s="3">
        <v>39845</v>
      </c>
      <c r="AE55">
        <f t="shared" si="0"/>
        <v>0</v>
      </c>
      <c r="AF55">
        <f t="shared" si="1"/>
        <v>24296</v>
      </c>
      <c r="AG55" s="1">
        <f t="shared" si="2"/>
        <v>39845</v>
      </c>
      <c r="AH55" s="13">
        <f>AE55/AF55</f>
        <v>0</v>
      </c>
    </row>
    <row r="56" spans="1:34" x14ac:dyDescent="0.25">
      <c r="A56" s="11">
        <v>39114</v>
      </c>
      <c r="B56" s="12">
        <v>14203</v>
      </c>
      <c r="C56" s="12" t="s">
        <v>3</v>
      </c>
      <c r="D56" s="1"/>
      <c r="F56" s="11">
        <v>38961</v>
      </c>
      <c r="G56" s="12">
        <v>38363</v>
      </c>
      <c r="H56" s="12" t="s">
        <v>15</v>
      </c>
      <c r="L56" s="3">
        <v>39873</v>
      </c>
      <c r="M56" s="5">
        <v>63809</v>
      </c>
      <c r="N56" s="5"/>
      <c r="O56" s="5">
        <v>62829</v>
      </c>
      <c r="P56" s="5"/>
      <c r="Q56" s="5"/>
      <c r="R56" s="5">
        <v>126638</v>
      </c>
      <c r="V56" s="3">
        <v>39873</v>
      </c>
      <c r="W56" s="5">
        <v>256</v>
      </c>
      <c r="X56" s="5">
        <v>7878</v>
      </c>
      <c r="Y56" s="5">
        <v>118504</v>
      </c>
      <c r="Z56" s="5">
        <v>126638</v>
      </c>
      <c r="AD56" s="3">
        <v>39873</v>
      </c>
      <c r="AE56">
        <f t="shared" si="0"/>
        <v>0</v>
      </c>
      <c r="AF56">
        <f t="shared" si="1"/>
        <v>54695</v>
      </c>
      <c r="AG56" s="1">
        <f t="shared" si="2"/>
        <v>39873</v>
      </c>
      <c r="AH56" s="13">
        <f>AE56/AF56</f>
        <v>0</v>
      </c>
    </row>
    <row r="57" spans="1:34" x14ac:dyDescent="0.25">
      <c r="A57" s="11">
        <v>39142</v>
      </c>
      <c r="B57" s="12">
        <v>59879</v>
      </c>
      <c r="C57" s="12" t="s">
        <v>2</v>
      </c>
      <c r="D57" s="1"/>
      <c r="F57" s="11">
        <v>38961</v>
      </c>
      <c r="G57" s="12">
        <v>24924</v>
      </c>
      <c r="H57" s="12" t="s">
        <v>16</v>
      </c>
      <c r="L57" s="3">
        <v>39904</v>
      </c>
      <c r="M57" s="5">
        <v>83665</v>
      </c>
      <c r="N57" s="5"/>
      <c r="O57" s="5">
        <v>89979</v>
      </c>
      <c r="P57" s="5"/>
      <c r="Q57" s="5"/>
      <c r="R57" s="5">
        <v>173644</v>
      </c>
      <c r="V57" s="3">
        <v>39904</v>
      </c>
      <c r="W57" s="5">
        <v>234</v>
      </c>
      <c r="X57" s="5">
        <v>8752</v>
      </c>
      <c r="Y57" s="5">
        <v>164658</v>
      </c>
      <c r="Z57" s="5">
        <v>173644</v>
      </c>
      <c r="AD57" s="3">
        <v>39904</v>
      </c>
      <c r="AE57">
        <f t="shared" si="0"/>
        <v>0</v>
      </c>
      <c r="AF57">
        <f t="shared" si="1"/>
        <v>80993</v>
      </c>
      <c r="AG57" s="1">
        <f t="shared" si="2"/>
        <v>39904</v>
      </c>
      <c r="AH57" s="13">
        <f>AE57/AF57</f>
        <v>0</v>
      </c>
    </row>
    <row r="58" spans="1:34" x14ac:dyDescent="0.25">
      <c r="A58" s="11">
        <v>39142</v>
      </c>
      <c r="B58" s="12">
        <v>14041</v>
      </c>
      <c r="C58" s="12" t="s">
        <v>3</v>
      </c>
      <c r="D58" s="1"/>
      <c r="F58" s="11">
        <v>38961</v>
      </c>
      <c r="G58" s="12">
        <v>3</v>
      </c>
      <c r="H58" s="12" t="s">
        <v>29</v>
      </c>
      <c r="L58" s="3">
        <v>39934</v>
      </c>
      <c r="M58" s="5">
        <v>86369</v>
      </c>
      <c r="N58" s="5"/>
      <c r="O58" s="5">
        <v>98796</v>
      </c>
      <c r="P58" s="5"/>
      <c r="Q58" s="5"/>
      <c r="R58" s="5">
        <v>185165</v>
      </c>
      <c r="V58" s="3">
        <v>39934</v>
      </c>
      <c r="W58" s="5">
        <v>132</v>
      </c>
      <c r="X58" s="5">
        <v>11989</v>
      </c>
      <c r="Y58" s="5">
        <v>173044</v>
      </c>
      <c r="Z58" s="5">
        <v>185165</v>
      </c>
      <c r="AD58" s="3">
        <v>39934</v>
      </c>
      <c r="AE58">
        <f t="shared" si="0"/>
        <v>0</v>
      </c>
      <c r="AF58">
        <f t="shared" si="1"/>
        <v>86675</v>
      </c>
      <c r="AG58" s="1">
        <f t="shared" si="2"/>
        <v>39934</v>
      </c>
      <c r="AH58" s="13">
        <f>AE58/AF58</f>
        <v>0</v>
      </c>
    </row>
    <row r="59" spans="1:34" x14ac:dyDescent="0.25">
      <c r="A59" s="11">
        <v>39173</v>
      </c>
      <c r="B59" s="12">
        <v>60253</v>
      </c>
      <c r="C59" s="12" t="s">
        <v>2</v>
      </c>
      <c r="D59" s="1"/>
      <c r="F59" s="11">
        <v>38991</v>
      </c>
      <c r="G59" s="12">
        <v>41220</v>
      </c>
      <c r="H59" s="12" t="s">
        <v>15</v>
      </c>
      <c r="L59" s="3">
        <v>39965</v>
      </c>
      <c r="M59" s="5"/>
      <c r="N59" s="5">
        <v>5953</v>
      </c>
      <c r="O59" s="5">
        <v>95084</v>
      </c>
      <c r="P59" s="5">
        <v>76512</v>
      </c>
      <c r="Q59" s="5"/>
      <c r="R59" s="5">
        <v>177549</v>
      </c>
      <c r="V59" s="3">
        <v>39965</v>
      </c>
      <c r="W59" s="5">
        <v>128</v>
      </c>
      <c r="X59" s="5">
        <v>11449</v>
      </c>
      <c r="Y59" s="5">
        <v>165972</v>
      </c>
      <c r="Z59" s="5">
        <v>177549</v>
      </c>
      <c r="AD59" s="3">
        <v>39965</v>
      </c>
      <c r="AE59">
        <f t="shared" si="0"/>
        <v>5953</v>
      </c>
      <c r="AF59">
        <f t="shared" si="1"/>
        <v>165972</v>
      </c>
      <c r="AG59" s="1">
        <f t="shared" si="2"/>
        <v>39965</v>
      </c>
      <c r="AH59" s="13">
        <f>AE59/AF59</f>
        <v>3.5867495722170004E-2</v>
      </c>
    </row>
    <row r="60" spans="1:34" x14ac:dyDescent="0.25">
      <c r="A60" s="11">
        <v>39173</v>
      </c>
      <c r="B60" s="12">
        <v>12026</v>
      </c>
      <c r="C60" s="12" t="s">
        <v>3</v>
      </c>
      <c r="D60" s="1"/>
      <c r="F60" s="11">
        <v>38991</v>
      </c>
      <c r="G60" s="12">
        <v>24933</v>
      </c>
      <c r="H60" s="12" t="s">
        <v>16</v>
      </c>
      <c r="L60" s="3">
        <v>39995</v>
      </c>
      <c r="M60" s="5"/>
      <c r="N60" s="5">
        <v>6493</v>
      </c>
      <c r="O60" s="5">
        <v>103615</v>
      </c>
      <c r="P60" s="5">
        <v>74381</v>
      </c>
      <c r="Q60" s="5"/>
      <c r="R60" s="5">
        <v>184489</v>
      </c>
      <c r="V60" s="3">
        <v>39995</v>
      </c>
      <c r="W60" s="5">
        <v>88</v>
      </c>
      <c r="X60" s="5">
        <v>13101</v>
      </c>
      <c r="Y60" s="5">
        <v>171300</v>
      </c>
      <c r="Z60" s="5">
        <v>184489</v>
      </c>
      <c r="AD60" s="3">
        <v>39995</v>
      </c>
      <c r="AE60">
        <f t="shared" si="0"/>
        <v>6493</v>
      </c>
      <c r="AF60">
        <f t="shared" si="1"/>
        <v>171300</v>
      </c>
      <c r="AG60" s="1">
        <f t="shared" si="2"/>
        <v>39995</v>
      </c>
      <c r="AH60" s="13">
        <f>AE60/AF60</f>
        <v>3.790426152948044E-2</v>
      </c>
    </row>
    <row r="61" spans="1:34" x14ac:dyDescent="0.25">
      <c r="A61" s="11">
        <v>39203</v>
      </c>
      <c r="B61" s="12">
        <v>15743</v>
      </c>
      <c r="C61" s="12" t="s">
        <v>3</v>
      </c>
      <c r="D61" s="1"/>
      <c r="F61" s="11">
        <v>38991</v>
      </c>
      <c r="G61" s="12">
        <v>1</v>
      </c>
      <c r="H61" s="12" t="s">
        <v>29</v>
      </c>
      <c r="L61" s="3">
        <v>40026</v>
      </c>
      <c r="M61" s="5"/>
      <c r="N61" s="5">
        <v>9314</v>
      </c>
      <c r="O61" s="5">
        <v>101012</v>
      </c>
      <c r="P61" s="5">
        <v>57964</v>
      </c>
      <c r="Q61" s="5"/>
      <c r="R61" s="5">
        <v>168290</v>
      </c>
      <c r="V61" s="3">
        <v>40026</v>
      </c>
      <c r="W61" s="5">
        <v>122</v>
      </c>
      <c r="X61" s="5">
        <v>17144</v>
      </c>
      <c r="Y61" s="5">
        <v>151024</v>
      </c>
      <c r="Z61" s="5">
        <v>168290</v>
      </c>
      <c r="AD61" s="3">
        <v>40026</v>
      </c>
      <c r="AE61">
        <f t="shared" si="0"/>
        <v>9314</v>
      </c>
      <c r="AF61">
        <f t="shared" si="1"/>
        <v>151024</v>
      </c>
      <c r="AG61" s="1">
        <f t="shared" si="2"/>
        <v>40026</v>
      </c>
      <c r="AH61" s="13">
        <f>AE61/AF61</f>
        <v>6.1672316982731221E-2</v>
      </c>
    </row>
    <row r="62" spans="1:34" x14ac:dyDescent="0.25">
      <c r="A62" s="11">
        <v>39203</v>
      </c>
      <c r="B62" s="12">
        <v>76142</v>
      </c>
      <c r="C62" s="12" t="s">
        <v>2</v>
      </c>
      <c r="D62" s="1"/>
      <c r="F62" s="11">
        <v>39022</v>
      </c>
      <c r="G62" s="12">
        <v>43421</v>
      </c>
      <c r="H62" s="12" t="s">
        <v>15</v>
      </c>
      <c r="L62" s="3">
        <v>40057</v>
      </c>
      <c r="M62" s="5"/>
      <c r="N62" s="5">
        <v>7894</v>
      </c>
      <c r="O62" s="5">
        <v>82529</v>
      </c>
      <c r="P62" s="5">
        <v>35841</v>
      </c>
      <c r="Q62" s="5"/>
      <c r="R62" s="5">
        <v>126264</v>
      </c>
      <c r="V62" s="3">
        <v>40057</v>
      </c>
      <c r="W62" s="5">
        <v>131</v>
      </c>
      <c r="X62" s="5">
        <v>18641</v>
      </c>
      <c r="Y62" s="5">
        <v>107492</v>
      </c>
      <c r="Z62" s="5">
        <v>126264</v>
      </c>
      <c r="AD62" s="3">
        <v>40057</v>
      </c>
      <c r="AE62">
        <f t="shared" si="0"/>
        <v>7894</v>
      </c>
      <c r="AF62">
        <f t="shared" si="1"/>
        <v>107492</v>
      </c>
      <c r="AG62" s="1">
        <f t="shared" si="2"/>
        <v>40057</v>
      </c>
      <c r="AH62" s="13">
        <f>AE62/AF62</f>
        <v>7.3438023294756821E-2</v>
      </c>
    </row>
    <row r="63" spans="1:34" x14ac:dyDescent="0.25">
      <c r="A63" s="11">
        <v>39234</v>
      </c>
      <c r="B63" s="12">
        <v>17060</v>
      </c>
      <c r="C63" s="12" t="s">
        <v>3</v>
      </c>
      <c r="D63" s="1"/>
      <c r="F63" s="11">
        <v>39022</v>
      </c>
      <c r="G63" s="12">
        <v>21428</v>
      </c>
      <c r="H63" s="12" t="s">
        <v>16</v>
      </c>
      <c r="L63" s="3">
        <v>40087</v>
      </c>
      <c r="M63" s="5"/>
      <c r="N63" s="5">
        <v>6811</v>
      </c>
      <c r="O63" s="5">
        <v>56510</v>
      </c>
      <c r="P63" s="5">
        <v>19085</v>
      </c>
      <c r="Q63" s="5"/>
      <c r="R63" s="5">
        <v>82406</v>
      </c>
      <c r="V63" s="3">
        <v>40087</v>
      </c>
      <c r="W63" s="5">
        <v>145</v>
      </c>
      <c r="X63" s="5">
        <v>15085</v>
      </c>
      <c r="Y63" s="5">
        <v>67176</v>
      </c>
      <c r="Z63" s="5">
        <v>82406</v>
      </c>
      <c r="AD63" s="3">
        <v>40087</v>
      </c>
      <c r="AE63">
        <f t="shared" si="0"/>
        <v>6811</v>
      </c>
      <c r="AF63">
        <f t="shared" si="1"/>
        <v>67176</v>
      </c>
      <c r="AG63" s="1">
        <f t="shared" si="2"/>
        <v>40087</v>
      </c>
      <c r="AH63" s="13">
        <f>AE63/AF63</f>
        <v>0.10139037751577945</v>
      </c>
    </row>
    <row r="64" spans="1:34" x14ac:dyDescent="0.25">
      <c r="A64" s="11">
        <v>39234</v>
      </c>
      <c r="B64" s="12">
        <v>78204</v>
      </c>
      <c r="C64" s="12" t="s">
        <v>2</v>
      </c>
      <c r="D64" s="1"/>
      <c r="F64" s="11">
        <v>39022</v>
      </c>
      <c r="G64" s="12">
        <v>1</v>
      </c>
      <c r="H64" s="12" t="s">
        <v>29</v>
      </c>
      <c r="L64" s="3">
        <v>40118</v>
      </c>
      <c r="M64" s="5"/>
      <c r="N64" s="5">
        <v>5916</v>
      </c>
      <c r="O64" s="5">
        <v>51610</v>
      </c>
      <c r="P64" s="5">
        <v>16527</v>
      </c>
      <c r="Q64" s="5"/>
      <c r="R64" s="5">
        <v>74053</v>
      </c>
      <c r="V64" s="3">
        <v>40118</v>
      </c>
      <c r="W64" s="5">
        <v>121</v>
      </c>
      <c r="X64" s="5">
        <v>14480</v>
      </c>
      <c r="Y64" s="5">
        <v>59452</v>
      </c>
      <c r="Z64" s="5">
        <v>74053</v>
      </c>
      <c r="AD64" s="3">
        <v>40118</v>
      </c>
      <c r="AE64">
        <f t="shared" si="0"/>
        <v>5916</v>
      </c>
      <c r="AF64">
        <f t="shared" si="1"/>
        <v>59452</v>
      </c>
      <c r="AG64" s="1">
        <f t="shared" si="2"/>
        <v>40118</v>
      </c>
      <c r="AH64" s="13">
        <f>AE64/AF64</f>
        <v>9.9508847473592135E-2</v>
      </c>
    </row>
    <row r="65" spans="1:34" x14ac:dyDescent="0.25">
      <c r="A65" s="11">
        <v>39264</v>
      </c>
      <c r="B65" s="12">
        <v>14675</v>
      </c>
      <c r="C65" s="12" t="s">
        <v>3</v>
      </c>
      <c r="D65" s="1"/>
      <c r="F65" s="11">
        <v>39052</v>
      </c>
      <c r="G65" s="12">
        <v>56425</v>
      </c>
      <c r="H65" s="12" t="s">
        <v>15</v>
      </c>
      <c r="L65" s="3">
        <v>40148</v>
      </c>
      <c r="M65" s="5"/>
      <c r="N65" s="5">
        <v>8736</v>
      </c>
      <c r="O65" s="5">
        <v>60132</v>
      </c>
      <c r="P65" s="5">
        <v>20907</v>
      </c>
      <c r="Q65" s="5"/>
      <c r="R65" s="5">
        <v>89775</v>
      </c>
      <c r="V65" s="3">
        <v>40148</v>
      </c>
      <c r="W65" s="5">
        <v>149</v>
      </c>
      <c r="X65" s="5">
        <v>15076</v>
      </c>
      <c r="Y65" s="5">
        <v>74550</v>
      </c>
      <c r="Z65" s="5">
        <v>89775</v>
      </c>
      <c r="AD65" s="3">
        <v>40148</v>
      </c>
      <c r="AE65">
        <f t="shared" si="0"/>
        <v>8736</v>
      </c>
      <c r="AF65">
        <f t="shared" si="1"/>
        <v>74550</v>
      </c>
      <c r="AG65" s="1">
        <f t="shared" si="2"/>
        <v>40148</v>
      </c>
      <c r="AH65" s="13">
        <f>AE65/AF65</f>
        <v>0.1171830985915493</v>
      </c>
    </row>
    <row r="66" spans="1:34" x14ac:dyDescent="0.25">
      <c r="A66" s="11">
        <v>39264</v>
      </c>
      <c r="B66" s="12">
        <v>74611</v>
      </c>
      <c r="C66" s="12" t="s">
        <v>2</v>
      </c>
      <c r="D66" s="1"/>
      <c r="F66" s="11">
        <v>39052</v>
      </c>
      <c r="G66" s="12">
        <v>22045</v>
      </c>
      <c r="H66" s="12" t="s">
        <v>16</v>
      </c>
      <c r="L66" s="3">
        <v>40179</v>
      </c>
      <c r="M66" s="5"/>
      <c r="N66" s="5">
        <v>11591</v>
      </c>
      <c r="O66" s="5">
        <v>62682</v>
      </c>
      <c r="P66" s="5">
        <v>21492</v>
      </c>
      <c r="Q66" s="5"/>
      <c r="R66" s="5">
        <v>95765</v>
      </c>
      <c r="V66" s="3">
        <v>40179</v>
      </c>
      <c r="W66" s="5">
        <v>161</v>
      </c>
      <c r="X66" s="5">
        <v>14109</v>
      </c>
      <c r="Y66" s="5">
        <v>81495</v>
      </c>
      <c r="Z66" s="5">
        <v>95765</v>
      </c>
      <c r="AD66" s="3">
        <v>40179</v>
      </c>
      <c r="AE66">
        <f t="shared" si="0"/>
        <v>11591</v>
      </c>
      <c r="AF66">
        <f t="shared" si="1"/>
        <v>81495</v>
      </c>
      <c r="AG66" s="1">
        <f t="shared" si="2"/>
        <v>40179</v>
      </c>
      <c r="AH66" s="13">
        <f>AE66/AF66</f>
        <v>0.14222958463709431</v>
      </c>
    </row>
    <row r="67" spans="1:34" x14ac:dyDescent="0.25">
      <c r="A67" s="11">
        <v>39295</v>
      </c>
      <c r="B67" s="12">
        <v>11149</v>
      </c>
      <c r="C67" s="12" t="s">
        <v>3</v>
      </c>
      <c r="D67" s="1"/>
      <c r="F67" s="11">
        <v>39052</v>
      </c>
      <c r="G67" s="12">
        <v>5</v>
      </c>
      <c r="H67" s="12" t="s">
        <v>29</v>
      </c>
      <c r="L67" s="3">
        <v>40210</v>
      </c>
      <c r="M67" s="5"/>
      <c r="N67" s="5">
        <v>12430</v>
      </c>
      <c r="O67" s="5">
        <v>67424</v>
      </c>
      <c r="P67" s="5">
        <v>23284</v>
      </c>
      <c r="Q67" s="5"/>
      <c r="R67" s="5">
        <v>103138</v>
      </c>
      <c r="V67" s="3">
        <v>40210</v>
      </c>
      <c r="W67" s="5">
        <v>1704</v>
      </c>
      <c r="X67" s="5">
        <v>12433</v>
      </c>
      <c r="Y67" s="5">
        <v>89001</v>
      </c>
      <c r="Z67" s="5">
        <v>103138</v>
      </c>
      <c r="AD67" s="3">
        <v>40210</v>
      </c>
      <c r="AE67">
        <f t="shared" si="0"/>
        <v>12430</v>
      </c>
      <c r="AF67">
        <f t="shared" si="1"/>
        <v>89001</v>
      </c>
      <c r="AG67" s="1">
        <f t="shared" si="2"/>
        <v>40210</v>
      </c>
      <c r="AH67" s="13">
        <f>AE67/AF67</f>
        <v>0.13966135211963909</v>
      </c>
    </row>
    <row r="68" spans="1:34" x14ac:dyDescent="0.25">
      <c r="A68" s="11">
        <v>39295</v>
      </c>
      <c r="B68" s="12">
        <v>64902</v>
      </c>
      <c r="C68" s="12" t="s">
        <v>2</v>
      </c>
      <c r="D68" s="1"/>
      <c r="F68" s="11">
        <v>39083</v>
      </c>
      <c r="G68" s="12">
        <v>51457</v>
      </c>
      <c r="H68" s="12" t="s">
        <v>15</v>
      </c>
      <c r="L68" s="3">
        <v>40238</v>
      </c>
      <c r="M68" s="5"/>
      <c r="N68" s="5">
        <v>11337</v>
      </c>
      <c r="O68" s="5">
        <v>59173</v>
      </c>
      <c r="P68" s="5">
        <v>19500</v>
      </c>
      <c r="Q68" s="5"/>
      <c r="R68" s="5">
        <v>90010</v>
      </c>
      <c r="V68" s="3">
        <v>40238</v>
      </c>
      <c r="W68" s="5">
        <v>1537</v>
      </c>
      <c r="X68" s="5">
        <v>9299</v>
      </c>
      <c r="Y68" s="5">
        <v>79174</v>
      </c>
      <c r="Z68" s="5">
        <v>90010</v>
      </c>
      <c r="AD68" s="3">
        <v>40238</v>
      </c>
      <c r="AE68">
        <f t="shared" si="0"/>
        <v>11337</v>
      </c>
      <c r="AF68">
        <f t="shared" si="1"/>
        <v>79174</v>
      </c>
      <c r="AG68" s="1">
        <f t="shared" si="2"/>
        <v>40238</v>
      </c>
      <c r="AH68" s="13">
        <f>AE68/AF68</f>
        <v>0.14319094652284842</v>
      </c>
    </row>
    <row r="69" spans="1:34" x14ac:dyDescent="0.25">
      <c r="A69" s="11">
        <v>39326</v>
      </c>
      <c r="B69" s="12">
        <v>9543</v>
      </c>
      <c r="C69" s="12" t="s">
        <v>3</v>
      </c>
      <c r="D69" s="1"/>
      <c r="F69" s="11">
        <v>39083</v>
      </c>
      <c r="G69" s="12">
        <v>20459</v>
      </c>
      <c r="H69" s="12" t="s">
        <v>16</v>
      </c>
      <c r="L69" s="3">
        <v>40269</v>
      </c>
      <c r="M69" s="5"/>
      <c r="N69" s="5">
        <v>7398</v>
      </c>
      <c r="O69" s="5">
        <v>50529</v>
      </c>
      <c r="P69" s="5">
        <v>13820</v>
      </c>
      <c r="Q69" s="5"/>
      <c r="R69" s="5">
        <v>71747</v>
      </c>
      <c r="V69" s="3">
        <v>40269</v>
      </c>
      <c r="W69" s="5">
        <v>1442</v>
      </c>
      <c r="X69" s="5">
        <v>9969</v>
      </c>
      <c r="Y69" s="5">
        <v>60336</v>
      </c>
      <c r="Z69" s="5">
        <v>71747</v>
      </c>
      <c r="AD69" s="3">
        <v>40269</v>
      </c>
      <c r="AE69">
        <f t="shared" si="0"/>
        <v>7398</v>
      </c>
      <c r="AF69">
        <f t="shared" si="1"/>
        <v>60336</v>
      </c>
      <c r="AG69" s="1">
        <f t="shared" si="2"/>
        <v>40269</v>
      </c>
      <c r="AH69" s="13">
        <f>AE69/AF69</f>
        <v>0.12261336515513127</v>
      </c>
    </row>
    <row r="70" spans="1:34" x14ac:dyDescent="0.25">
      <c r="A70" s="11">
        <v>39326</v>
      </c>
      <c r="B70" s="12">
        <v>58721</v>
      </c>
      <c r="C70" s="12" t="s">
        <v>2</v>
      </c>
      <c r="D70" s="1"/>
      <c r="F70" s="11">
        <v>39083</v>
      </c>
      <c r="G70" s="12">
        <v>5</v>
      </c>
      <c r="H70" s="12" t="s">
        <v>29</v>
      </c>
      <c r="L70" s="3">
        <v>40299</v>
      </c>
      <c r="M70" s="5"/>
      <c r="N70" s="5">
        <v>9296</v>
      </c>
      <c r="O70" s="5">
        <v>58462</v>
      </c>
      <c r="P70" s="5">
        <v>12898</v>
      </c>
      <c r="Q70" s="5"/>
      <c r="R70" s="5">
        <v>80656</v>
      </c>
      <c r="V70" s="3">
        <v>40299</v>
      </c>
      <c r="W70" s="5">
        <v>1558</v>
      </c>
      <c r="X70" s="5">
        <v>12063</v>
      </c>
      <c r="Y70" s="5">
        <v>67035</v>
      </c>
      <c r="Z70" s="5">
        <v>80656</v>
      </c>
      <c r="AD70" s="3">
        <v>40299</v>
      </c>
      <c r="AE70">
        <f t="shared" si="0"/>
        <v>9296</v>
      </c>
      <c r="AF70">
        <f t="shared" si="1"/>
        <v>67035</v>
      </c>
      <c r="AG70" s="1">
        <f t="shared" si="2"/>
        <v>40299</v>
      </c>
      <c r="AH70" s="13">
        <f>AE70/AF70</f>
        <v>0.13867382710524354</v>
      </c>
    </row>
    <row r="71" spans="1:34" x14ac:dyDescent="0.25">
      <c r="A71" s="11">
        <v>39356</v>
      </c>
      <c r="B71" s="12">
        <v>9423</v>
      </c>
      <c r="C71" s="12" t="s">
        <v>3</v>
      </c>
      <c r="D71" s="1"/>
      <c r="F71" s="11">
        <v>39114</v>
      </c>
      <c r="G71" s="12">
        <v>60305</v>
      </c>
      <c r="H71" s="12" t="s">
        <v>15</v>
      </c>
      <c r="L71" s="3">
        <v>40330</v>
      </c>
      <c r="M71" s="5"/>
      <c r="N71" s="5">
        <v>8659</v>
      </c>
      <c r="O71" s="5">
        <v>55179</v>
      </c>
      <c r="P71" s="5">
        <v>11055</v>
      </c>
      <c r="Q71" s="5"/>
      <c r="R71" s="5">
        <v>74893</v>
      </c>
      <c r="V71" s="3">
        <v>40330</v>
      </c>
      <c r="W71" s="5">
        <v>1497</v>
      </c>
      <c r="X71" s="5">
        <v>13978</v>
      </c>
      <c r="Y71" s="5">
        <v>59418</v>
      </c>
      <c r="Z71" s="5">
        <v>74893</v>
      </c>
      <c r="AD71" s="3">
        <v>40330</v>
      </c>
      <c r="AE71">
        <f t="shared" ref="AE71:AE134" si="3">VLOOKUP(AD71,L:R,3,0)</f>
        <v>8659</v>
      </c>
      <c r="AF71">
        <f t="shared" ref="AF71:AF134" si="4">VLOOKUP(AD71,V:Z,4,0) - VLOOKUP(AD71,L:R,2,0)</f>
        <v>59418</v>
      </c>
      <c r="AG71" s="1">
        <f t="shared" ref="AG71:AG134" si="5">AD71</f>
        <v>40330</v>
      </c>
      <c r="AH71" s="13">
        <f>AE71/AF71</f>
        <v>0.14573025009256454</v>
      </c>
    </row>
    <row r="72" spans="1:34" x14ac:dyDescent="0.25">
      <c r="A72" s="11">
        <v>39356</v>
      </c>
      <c r="B72" s="12">
        <v>56009</v>
      </c>
      <c r="C72" s="12" t="s">
        <v>2</v>
      </c>
      <c r="D72" s="1"/>
      <c r="F72" s="11">
        <v>39114</v>
      </c>
      <c r="G72" s="12">
        <v>19600</v>
      </c>
      <c r="H72" s="12" t="s">
        <v>16</v>
      </c>
      <c r="L72" s="3">
        <v>40360</v>
      </c>
      <c r="M72" s="5"/>
      <c r="N72" s="5">
        <v>6860</v>
      </c>
      <c r="O72" s="5">
        <v>50705</v>
      </c>
      <c r="P72" s="5">
        <v>9008</v>
      </c>
      <c r="Q72" s="5"/>
      <c r="R72" s="5">
        <v>66573</v>
      </c>
      <c r="V72" s="3">
        <v>40360</v>
      </c>
      <c r="W72" s="5">
        <v>1210</v>
      </c>
      <c r="X72" s="5">
        <v>15200</v>
      </c>
      <c r="Y72" s="5">
        <v>50163</v>
      </c>
      <c r="Z72" s="5">
        <v>66573</v>
      </c>
      <c r="AD72" s="3">
        <v>40360</v>
      </c>
      <c r="AE72">
        <f t="shared" si="3"/>
        <v>6860</v>
      </c>
      <c r="AF72">
        <f t="shared" si="4"/>
        <v>50163</v>
      </c>
      <c r="AG72" s="1">
        <f t="shared" si="5"/>
        <v>40360</v>
      </c>
      <c r="AH72" s="13">
        <f>AE72/AF72</f>
        <v>0.1367541813687379</v>
      </c>
    </row>
    <row r="73" spans="1:34" x14ac:dyDescent="0.25">
      <c r="A73" s="11">
        <v>39387</v>
      </c>
      <c r="B73" s="12">
        <v>10767</v>
      </c>
      <c r="C73" s="12" t="s">
        <v>3</v>
      </c>
      <c r="D73" s="1"/>
      <c r="F73" s="11">
        <v>39142</v>
      </c>
      <c r="G73" s="12">
        <v>57803</v>
      </c>
      <c r="H73" s="12" t="s">
        <v>15</v>
      </c>
      <c r="L73" s="3">
        <v>40391</v>
      </c>
      <c r="M73" s="5"/>
      <c r="N73" s="5">
        <v>10578</v>
      </c>
      <c r="O73" s="5">
        <v>56299</v>
      </c>
      <c r="P73" s="5">
        <v>12367</v>
      </c>
      <c r="Q73" s="5"/>
      <c r="R73" s="5">
        <v>79244</v>
      </c>
      <c r="V73" s="3">
        <v>40391</v>
      </c>
      <c r="W73" s="5">
        <v>444</v>
      </c>
      <c r="X73" s="5">
        <v>16825</v>
      </c>
      <c r="Y73" s="5">
        <v>61975</v>
      </c>
      <c r="Z73" s="5">
        <v>79244</v>
      </c>
      <c r="AD73" s="3">
        <v>40391</v>
      </c>
      <c r="AE73">
        <f t="shared" si="3"/>
        <v>10578</v>
      </c>
      <c r="AF73">
        <f t="shared" si="4"/>
        <v>61975</v>
      </c>
      <c r="AG73" s="1">
        <f t="shared" si="5"/>
        <v>40391</v>
      </c>
      <c r="AH73" s="13">
        <f>AE73/AF73</f>
        <v>0.17068172650262203</v>
      </c>
    </row>
    <row r="74" spans="1:34" x14ac:dyDescent="0.25">
      <c r="A74" s="11">
        <v>39387</v>
      </c>
      <c r="B74" s="12">
        <v>51683</v>
      </c>
      <c r="C74" s="12" t="s">
        <v>2</v>
      </c>
      <c r="D74" s="1"/>
      <c r="F74" s="11">
        <v>39142</v>
      </c>
      <c r="G74" s="12">
        <v>16113</v>
      </c>
      <c r="H74" s="12" t="s">
        <v>16</v>
      </c>
      <c r="L74" s="3">
        <v>40422</v>
      </c>
      <c r="M74" s="5"/>
      <c r="N74" s="5">
        <v>14744</v>
      </c>
      <c r="O74" s="5">
        <v>60739</v>
      </c>
      <c r="P74" s="5">
        <v>16964</v>
      </c>
      <c r="Q74" s="5"/>
      <c r="R74" s="5">
        <v>92447</v>
      </c>
      <c r="V74" s="3">
        <v>40422</v>
      </c>
      <c r="W74" s="5">
        <v>607</v>
      </c>
      <c r="X74" s="5">
        <v>10618</v>
      </c>
      <c r="Y74" s="5">
        <v>81222</v>
      </c>
      <c r="Z74" s="5">
        <v>92447</v>
      </c>
      <c r="AD74" s="3">
        <v>40422</v>
      </c>
      <c r="AE74">
        <f t="shared" si="3"/>
        <v>14744</v>
      </c>
      <c r="AF74">
        <f t="shared" si="4"/>
        <v>81222</v>
      </c>
      <c r="AG74" s="1">
        <f t="shared" si="5"/>
        <v>40422</v>
      </c>
      <c r="AH74" s="13">
        <f>AE74/AF74</f>
        <v>0.18152717244096428</v>
      </c>
    </row>
    <row r="75" spans="1:34" x14ac:dyDescent="0.25">
      <c r="A75" s="11">
        <v>39417</v>
      </c>
      <c r="B75" s="12">
        <v>12859</v>
      </c>
      <c r="C75" s="12" t="s">
        <v>3</v>
      </c>
      <c r="D75" s="1"/>
      <c r="F75" s="11">
        <v>39142</v>
      </c>
      <c r="G75" s="12">
        <v>4</v>
      </c>
      <c r="H75" s="12" t="s">
        <v>29</v>
      </c>
      <c r="L75" s="3">
        <v>40452</v>
      </c>
      <c r="M75" s="5"/>
      <c r="N75" s="5">
        <v>17921</v>
      </c>
      <c r="O75" s="5">
        <v>80075</v>
      </c>
      <c r="P75" s="5">
        <v>23115</v>
      </c>
      <c r="Q75" s="5"/>
      <c r="R75" s="5">
        <v>121111</v>
      </c>
      <c r="V75" s="3">
        <v>40452</v>
      </c>
      <c r="W75" s="5">
        <v>507</v>
      </c>
      <c r="X75" s="5">
        <v>10281</v>
      </c>
      <c r="Y75" s="5">
        <v>110323</v>
      </c>
      <c r="Z75" s="5">
        <v>121111</v>
      </c>
      <c r="AD75" s="3">
        <v>40452</v>
      </c>
      <c r="AE75">
        <f t="shared" si="3"/>
        <v>17921</v>
      </c>
      <c r="AF75">
        <f t="shared" si="4"/>
        <v>110323</v>
      </c>
      <c r="AG75" s="1">
        <f t="shared" si="5"/>
        <v>40452</v>
      </c>
      <c r="AH75" s="13">
        <f>AE75/AF75</f>
        <v>0.16244119539896487</v>
      </c>
    </row>
    <row r="76" spans="1:34" x14ac:dyDescent="0.25">
      <c r="A76" s="11">
        <v>39417</v>
      </c>
      <c r="B76" s="12">
        <v>57048</v>
      </c>
      <c r="C76" s="12" t="s">
        <v>2</v>
      </c>
      <c r="D76" s="1"/>
      <c r="F76" s="11">
        <v>39173</v>
      </c>
      <c r="G76" s="12">
        <v>53674</v>
      </c>
      <c r="H76" s="12" t="s">
        <v>15</v>
      </c>
      <c r="L76" s="3">
        <v>40483</v>
      </c>
      <c r="M76" s="5"/>
      <c r="N76" s="5">
        <v>21714</v>
      </c>
      <c r="O76" s="5">
        <v>89752</v>
      </c>
      <c r="P76" s="5">
        <v>23391</v>
      </c>
      <c r="Q76" s="5"/>
      <c r="R76" s="5">
        <v>134857</v>
      </c>
      <c r="V76" s="3">
        <v>40483</v>
      </c>
      <c r="W76" s="5">
        <v>404</v>
      </c>
      <c r="X76" s="5">
        <v>9000</v>
      </c>
      <c r="Y76" s="5">
        <v>125453</v>
      </c>
      <c r="Z76" s="5">
        <v>134857</v>
      </c>
      <c r="AD76" s="3">
        <v>40483</v>
      </c>
      <c r="AE76">
        <f t="shared" si="3"/>
        <v>21714</v>
      </c>
      <c r="AF76">
        <f t="shared" si="4"/>
        <v>125453</v>
      </c>
      <c r="AG76" s="1">
        <f t="shared" si="5"/>
        <v>40483</v>
      </c>
      <c r="AH76" s="13">
        <f>AE76/AF76</f>
        <v>0.1730847408989821</v>
      </c>
    </row>
    <row r="77" spans="1:34" x14ac:dyDescent="0.25">
      <c r="A77" s="11">
        <v>39448</v>
      </c>
      <c r="B77" s="12">
        <v>12264</v>
      </c>
      <c r="C77" s="12" t="s">
        <v>3</v>
      </c>
      <c r="D77" s="1"/>
      <c r="F77" s="11">
        <v>39173</v>
      </c>
      <c r="G77" s="12">
        <v>18600</v>
      </c>
      <c r="H77" s="12" t="s">
        <v>16</v>
      </c>
      <c r="L77" s="3">
        <v>40513</v>
      </c>
      <c r="M77" s="5"/>
      <c r="N77" s="5">
        <v>24778</v>
      </c>
      <c r="O77" s="5">
        <v>95728</v>
      </c>
      <c r="P77" s="5">
        <v>26577</v>
      </c>
      <c r="Q77" s="5"/>
      <c r="R77" s="5">
        <v>147083</v>
      </c>
      <c r="V77" s="3">
        <v>40513</v>
      </c>
      <c r="W77" s="5">
        <v>488</v>
      </c>
      <c r="X77" s="5">
        <v>8395</v>
      </c>
      <c r="Y77" s="5">
        <v>138200</v>
      </c>
      <c r="Z77" s="5">
        <v>147083</v>
      </c>
      <c r="AD77" s="3">
        <v>40513</v>
      </c>
      <c r="AE77">
        <f t="shared" si="3"/>
        <v>24778</v>
      </c>
      <c r="AF77">
        <f t="shared" si="4"/>
        <v>138200</v>
      </c>
      <c r="AG77" s="1">
        <f t="shared" si="5"/>
        <v>40513</v>
      </c>
      <c r="AH77" s="13">
        <f>AE77/AF77</f>
        <v>0.17929088277858177</v>
      </c>
    </row>
    <row r="78" spans="1:34" x14ac:dyDescent="0.25">
      <c r="A78" s="11">
        <v>39448</v>
      </c>
      <c r="B78" s="12">
        <v>47775</v>
      </c>
      <c r="C78" s="12" t="s">
        <v>2</v>
      </c>
      <c r="D78" s="1"/>
      <c r="F78" s="11">
        <v>39173</v>
      </c>
      <c r="G78" s="12">
        <v>5</v>
      </c>
      <c r="H78" s="12" t="s">
        <v>29</v>
      </c>
      <c r="L78" s="3">
        <v>40544</v>
      </c>
      <c r="M78" s="5"/>
      <c r="N78" s="5">
        <v>24580</v>
      </c>
      <c r="O78" s="5">
        <v>89117</v>
      </c>
      <c r="P78" s="5">
        <v>25842</v>
      </c>
      <c r="Q78" s="5"/>
      <c r="R78" s="5">
        <v>139539</v>
      </c>
      <c r="V78" s="3">
        <v>40544</v>
      </c>
      <c r="W78" s="5">
        <v>446</v>
      </c>
      <c r="X78" s="5">
        <v>7829</v>
      </c>
      <c r="Y78" s="5">
        <v>131264</v>
      </c>
      <c r="Z78" s="5">
        <v>139539</v>
      </c>
      <c r="AD78" s="3">
        <v>40544</v>
      </c>
      <c r="AE78">
        <f t="shared" si="3"/>
        <v>24580</v>
      </c>
      <c r="AF78">
        <f t="shared" si="4"/>
        <v>131264</v>
      </c>
      <c r="AG78" s="1">
        <f t="shared" si="5"/>
        <v>40544</v>
      </c>
      <c r="AH78" s="13">
        <f>AE78/AF78</f>
        <v>0.18725621647976598</v>
      </c>
    </row>
    <row r="79" spans="1:34" x14ac:dyDescent="0.25">
      <c r="A79" s="11">
        <v>39479</v>
      </c>
      <c r="B79" s="12">
        <v>18792</v>
      </c>
      <c r="C79" s="12" t="s">
        <v>3</v>
      </c>
      <c r="D79" s="1"/>
      <c r="F79" s="11">
        <v>39203</v>
      </c>
      <c r="G79" s="12">
        <v>67129</v>
      </c>
      <c r="H79" s="12" t="s">
        <v>15</v>
      </c>
      <c r="L79" s="3">
        <v>40575</v>
      </c>
      <c r="M79" s="5"/>
      <c r="N79" s="5">
        <v>18794</v>
      </c>
      <c r="O79" s="5">
        <v>81424</v>
      </c>
      <c r="P79" s="5">
        <v>23639</v>
      </c>
      <c r="Q79" s="5"/>
      <c r="R79" s="5">
        <v>123857</v>
      </c>
      <c r="V79" s="3">
        <v>40575</v>
      </c>
      <c r="W79" s="5">
        <v>733</v>
      </c>
      <c r="X79" s="5">
        <v>9484</v>
      </c>
      <c r="Y79" s="5">
        <v>113640</v>
      </c>
      <c r="Z79" s="5">
        <v>123857</v>
      </c>
      <c r="AD79" s="3">
        <v>40575</v>
      </c>
      <c r="AE79">
        <f t="shared" si="3"/>
        <v>18794</v>
      </c>
      <c r="AF79">
        <f t="shared" si="4"/>
        <v>113640</v>
      </c>
      <c r="AG79" s="1">
        <f t="shared" si="5"/>
        <v>40575</v>
      </c>
      <c r="AH79" s="13">
        <f>AE79/AF79</f>
        <v>0.16538190777895106</v>
      </c>
    </row>
    <row r="80" spans="1:34" x14ac:dyDescent="0.25">
      <c r="A80" s="11">
        <v>39479</v>
      </c>
      <c r="B80" s="12">
        <v>56102</v>
      </c>
      <c r="C80" s="12" t="s">
        <v>2</v>
      </c>
      <c r="D80" s="1"/>
      <c r="F80" s="11">
        <v>39203</v>
      </c>
      <c r="G80" s="12">
        <v>24753</v>
      </c>
      <c r="H80" s="12" t="s">
        <v>16</v>
      </c>
      <c r="L80" s="3">
        <v>40603</v>
      </c>
      <c r="M80" s="5"/>
      <c r="N80" s="5">
        <v>16236</v>
      </c>
      <c r="O80" s="5">
        <v>65115</v>
      </c>
      <c r="P80" s="5">
        <v>15488</v>
      </c>
      <c r="Q80" s="5"/>
      <c r="R80" s="5">
        <v>96839</v>
      </c>
      <c r="V80" s="3">
        <v>40603</v>
      </c>
      <c r="W80" s="5">
        <v>1095</v>
      </c>
      <c r="X80" s="5">
        <v>7262</v>
      </c>
      <c r="Y80" s="5">
        <v>88482</v>
      </c>
      <c r="Z80" s="5">
        <v>96839</v>
      </c>
      <c r="AD80" s="3">
        <v>40603</v>
      </c>
      <c r="AE80">
        <f t="shared" si="3"/>
        <v>16236</v>
      </c>
      <c r="AF80">
        <f t="shared" si="4"/>
        <v>88482</v>
      </c>
      <c r="AG80" s="1">
        <f t="shared" si="5"/>
        <v>40603</v>
      </c>
      <c r="AH80" s="13">
        <f>AE80/AF80</f>
        <v>0.18349494812504238</v>
      </c>
    </row>
    <row r="81" spans="1:34" x14ac:dyDescent="0.25">
      <c r="A81" s="11">
        <v>39508</v>
      </c>
      <c r="B81" s="12">
        <v>21851</v>
      </c>
      <c r="C81" s="12" t="s">
        <v>3</v>
      </c>
      <c r="D81" s="1"/>
      <c r="F81" s="11">
        <v>39203</v>
      </c>
      <c r="G81" s="12">
        <v>3</v>
      </c>
      <c r="H81" s="12" t="s">
        <v>29</v>
      </c>
      <c r="L81" s="3">
        <v>40634</v>
      </c>
      <c r="M81" s="5"/>
      <c r="N81" s="5">
        <v>10056</v>
      </c>
      <c r="O81" s="5">
        <v>46361</v>
      </c>
      <c r="P81" s="5">
        <v>8629</v>
      </c>
      <c r="Q81" s="5"/>
      <c r="R81" s="5">
        <v>65046</v>
      </c>
      <c r="V81" s="3">
        <v>40634</v>
      </c>
      <c r="W81" s="5">
        <v>1215</v>
      </c>
      <c r="X81" s="5">
        <v>6646</v>
      </c>
      <c r="Y81" s="5">
        <v>57185</v>
      </c>
      <c r="Z81" s="5">
        <v>65046</v>
      </c>
      <c r="AD81" s="3">
        <v>40634</v>
      </c>
      <c r="AE81">
        <f t="shared" si="3"/>
        <v>10056</v>
      </c>
      <c r="AF81">
        <f t="shared" si="4"/>
        <v>57185</v>
      </c>
      <c r="AG81" s="1">
        <f t="shared" si="5"/>
        <v>40634</v>
      </c>
      <c r="AH81" s="13">
        <f>AE81/AF81</f>
        <v>0.1758503103960829</v>
      </c>
    </row>
    <row r="82" spans="1:34" x14ac:dyDescent="0.25">
      <c r="A82" s="11">
        <v>39508</v>
      </c>
      <c r="B82" s="12">
        <v>50861</v>
      </c>
      <c r="C82" s="12" t="s">
        <v>2</v>
      </c>
      <c r="D82" s="1"/>
      <c r="F82" s="11">
        <v>39234</v>
      </c>
      <c r="G82" s="12">
        <v>69207</v>
      </c>
      <c r="H82" s="12" t="s">
        <v>15</v>
      </c>
      <c r="L82" s="3">
        <v>40664</v>
      </c>
      <c r="M82" s="5"/>
      <c r="N82" s="5">
        <v>6737</v>
      </c>
      <c r="O82" s="5">
        <v>45179</v>
      </c>
      <c r="P82" s="5">
        <v>7318</v>
      </c>
      <c r="Q82" s="5"/>
      <c r="R82" s="5">
        <v>59234</v>
      </c>
      <c r="V82" s="3">
        <v>40664</v>
      </c>
      <c r="W82" s="5">
        <v>878</v>
      </c>
      <c r="X82" s="5">
        <v>9210</v>
      </c>
      <c r="Y82" s="5">
        <v>49146</v>
      </c>
      <c r="Z82" s="5">
        <v>59234</v>
      </c>
      <c r="AD82" s="3">
        <v>40664</v>
      </c>
      <c r="AE82">
        <f t="shared" si="3"/>
        <v>6737</v>
      </c>
      <c r="AF82">
        <f t="shared" si="4"/>
        <v>49146</v>
      </c>
      <c r="AG82" s="1">
        <f t="shared" si="5"/>
        <v>40664</v>
      </c>
      <c r="AH82" s="13">
        <f>AE82/AF82</f>
        <v>0.13708134944858177</v>
      </c>
    </row>
    <row r="83" spans="1:34" x14ac:dyDescent="0.25">
      <c r="A83" s="11">
        <v>39539</v>
      </c>
      <c r="B83" s="12">
        <v>83949</v>
      </c>
      <c r="C83" s="12" t="s">
        <v>2</v>
      </c>
      <c r="D83" s="1"/>
      <c r="F83" s="11">
        <v>39234</v>
      </c>
      <c r="G83" s="12">
        <v>26052</v>
      </c>
      <c r="H83" s="12" t="s">
        <v>16</v>
      </c>
      <c r="L83" s="3">
        <v>40695</v>
      </c>
      <c r="M83" s="5"/>
      <c r="N83" s="5">
        <v>6499</v>
      </c>
      <c r="O83" s="5">
        <v>40105</v>
      </c>
      <c r="P83" s="5">
        <v>5797</v>
      </c>
      <c r="Q83" s="5"/>
      <c r="R83" s="5">
        <v>52401</v>
      </c>
      <c r="V83" s="3">
        <v>40695</v>
      </c>
      <c r="W83" s="5">
        <v>1008</v>
      </c>
      <c r="X83" s="5">
        <v>9805</v>
      </c>
      <c r="Y83" s="5">
        <v>41588</v>
      </c>
      <c r="Z83" s="5">
        <v>52401</v>
      </c>
      <c r="AD83" s="3">
        <v>40695</v>
      </c>
      <c r="AE83">
        <f t="shared" si="3"/>
        <v>6499</v>
      </c>
      <c r="AF83">
        <f t="shared" si="4"/>
        <v>41588</v>
      </c>
      <c r="AG83" s="1">
        <f t="shared" si="5"/>
        <v>40695</v>
      </c>
      <c r="AH83" s="13">
        <f>AE83/AF83</f>
        <v>0.15627103972299702</v>
      </c>
    </row>
    <row r="84" spans="1:34" x14ac:dyDescent="0.25">
      <c r="A84" s="11">
        <v>39539</v>
      </c>
      <c r="B84" s="12">
        <v>40501</v>
      </c>
      <c r="C84" s="12" t="s">
        <v>3</v>
      </c>
      <c r="D84" s="1"/>
      <c r="F84" s="11">
        <v>39234</v>
      </c>
      <c r="G84" s="12">
        <v>5</v>
      </c>
      <c r="H84" s="12" t="s">
        <v>29</v>
      </c>
      <c r="L84" s="3">
        <v>40725</v>
      </c>
      <c r="M84" s="5"/>
      <c r="N84" s="5">
        <v>5248</v>
      </c>
      <c r="O84" s="5">
        <v>35550</v>
      </c>
      <c r="P84" s="5">
        <v>4708</v>
      </c>
      <c r="Q84" s="5"/>
      <c r="R84" s="5">
        <v>45506</v>
      </c>
      <c r="V84" s="3">
        <v>40725</v>
      </c>
      <c r="W84" s="5">
        <v>771</v>
      </c>
      <c r="X84" s="5">
        <v>9970</v>
      </c>
      <c r="Y84" s="5">
        <v>34765</v>
      </c>
      <c r="Z84" s="5">
        <v>45506</v>
      </c>
      <c r="AD84" s="3">
        <v>40725</v>
      </c>
      <c r="AE84">
        <f t="shared" si="3"/>
        <v>5248</v>
      </c>
      <c r="AF84">
        <f t="shared" si="4"/>
        <v>34765</v>
      </c>
      <c r="AG84" s="1">
        <f t="shared" si="5"/>
        <v>40725</v>
      </c>
      <c r="AH84" s="13">
        <f>AE84/AF84</f>
        <v>0.15095642168847978</v>
      </c>
    </row>
    <row r="85" spans="1:34" x14ac:dyDescent="0.25">
      <c r="A85" s="11">
        <v>39569</v>
      </c>
      <c r="B85" s="12">
        <v>79561</v>
      </c>
      <c r="C85" s="12" t="s">
        <v>2</v>
      </c>
      <c r="D85" s="1"/>
      <c r="F85" s="11">
        <v>39264</v>
      </c>
      <c r="G85" s="12">
        <v>61845</v>
      </c>
      <c r="H85" s="12" t="s">
        <v>15</v>
      </c>
      <c r="L85" s="3">
        <v>40756</v>
      </c>
      <c r="M85" s="5"/>
      <c r="N85" s="5">
        <v>5884</v>
      </c>
      <c r="O85" s="5">
        <v>44370</v>
      </c>
      <c r="P85" s="5">
        <v>6792</v>
      </c>
      <c r="Q85" s="5"/>
      <c r="R85" s="5">
        <v>57046</v>
      </c>
      <c r="V85" s="3">
        <v>40756</v>
      </c>
      <c r="W85" s="5">
        <v>830</v>
      </c>
      <c r="X85" s="5">
        <v>12597</v>
      </c>
      <c r="Y85" s="5">
        <v>43619</v>
      </c>
      <c r="Z85" s="5">
        <v>57046</v>
      </c>
      <c r="AD85" s="3">
        <v>40756</v>
      </c>
      <c r="AE85">
        <f t="shared" si="3"/>
        <v>5884</v>
      </c>
      <c r="AF85">
        <f t="shared" si="4"/>
        <v>43619</v>
      </c>
      <c r="AG85" s="1">
        <f t="shared" si="5"/>
        <v>40756</v>
      </c>
      <c r="AH85" s="13">
        <f>AE85/AF85</f>
        <v>0.13489534377220935</v>
      </c>
    </row>
    <row r="86" spans="1:34" x14ac:dyDescent="0.25">
      <c r="A86" s="11">
        <v>39569</v>
      </c>
      <c r="B86" s="12">
        <v>27625</v>
      </c>
      <c r="C86" s="12" t="s">
        <v>3</v>
      </c>
      <c r="D86" s="1"/>
      <c r="F86" s="11">
        <v>39264</v>
      </c>
      <c r="G86" s="12">
        <v>27439</v>
      </c>
      <c r="H86" s="12" t="s">
        <v>16</v>
      </c>
      <c r="L86" s="3">
        <v>40787</v>
      </c>
      <c r="M86" s="5"/>
      <c r="N86" s="5">
        <v>7068</v>
      </c>
      <c r="O86" s="5">
        <v>45709</v>
      </c>
      <c r="P86" s="5">
        <v>7523</v>
      </c>
      <c r="Q86" s="5"/>
      <c r="R86" s="5">
        <v>60300</v>
      </c>
      <c r="V86" s="3">
        <v>40787</v>
      </c>
      <c r="W86" s="5">
        <v>609</v>
      </c>
      <c r="X86" s="5">
        <v>10705</v>
      </c>
      <c r="Y86" s="5">
        <v>48986</v>
      </c>
      <c r="Z86" s="5">
        <v>60300</v>
      </c>
      <c r="AD86" s="3">
        <v>40787</v>
      </c>
      <c r="AE86">
        <f t="shared" si="3"/>
        <v>7068</v>
      </c>
      <c r="AF86">
        <f t="shared" si="4"/>
        <v>48986</v>
      </c>
      <c r="AG86" s="1">
        <f t="shared" si="5"/>
        <v>40787</v>
      </c>
      <c r="AH86" s="13">
        <f>AE86/AF86</f>
        <v>0.144286122565631</v>
      </c>
    </row>
    <row r="87" spans="1:34" x14ac:dyDescent="0.25">
      <c r="A87" s="11">
        <v>39600</v>
      </c>
      <c r="B87" s="12">
        <v>26786</v>
      </c>
      <c r="C87" s="12" t="s">
        <v>3</v>
      </c>
      <c r="D87" s="1"/>
      <c r="F87" s="11">
        <v>39264</v>
      </c>
      <c r="G87" s="12">
        <v>2</v>
      </c>
      <c r="H87" s="12" t="s">
        <v>29</v>
      </c>
      <c r="L87" s="3">
        <v>40817</v>
      </c>
      <c r="M87" s="5"/>
      <c r="N87" s="5">
        <v>6816</v>
      </c>
      <c r="O87" s="5">
        <v>49386</v>
      </c>
      <c r="P87" s="5">
        <v>8716</v>
      </c>
      <c r="Q87" s="5"/>
      <c r="R87" s="5">
        <v>64918</v>
      </c>
      <c r="V87" s="3">
        <v>40817</v>
      </c>
      <c r="W87" s="5">
        <v>598</v>
      </c>
      <c r="X87" s="5">
        <v>10216</v>
      </c>
      <c r="Y87" s="5">
        <v>54104</v>
      </c>
      <c r="Z87" s="5">
        <v>64918</v>
      </c>
      <c r="AD87" s="3">
        <v>40817</v>
      </c>
      <c r="AE87">
        <f t="shared" si="3"/>
        <v>6816</v>
      </c>
      <c r="AF87">
        <f t="shared" si="4"/>
        <v>54104</v>
      </c>
      <c r="AG87" s="1">
        <f t="shared" si="5"/>
        <v>40817</v>
      </c>
      <c r="AH87" s="13">
        <f>AE87/AF87</f>
        <v>0.12597959485435459</v>
      </c>
    </row>
    <row r="88" spans="1:34" x14ac:dyDescent="0.25">
      <c r="A88" s="11">
        <v>39600</v>
      </c>
      <c r="B88" s="12">
        <v>77410</v>
      </c>
      <c r="C88" s="12" t="s">
        <v>2</v>
      </c>
      <c r="D88" s="1"/>
      <c r="F88" s="11">
        <v>39295</v>
      </c>
      <c r="G88" s="12">
        <v>48727</v>
      </c>
      <c r="H88" s="12" t="s">
        <v>15</v>
      </c>
      <c r="L88" s="3">
        <v>40848</v>
      </c>
      <c r="M88" s="5"/>
      <c r="N88" s="5">
        <v>9135</v>
      </c>
      <c r="O88" s="5">
        <v>67958</v>
      </c>
      <c r="P88" s="5">
        <v>18647</v>
      </c>
      <c r="Q88" s="5"/>
      <c r="R88" s="5">
        <v>95740</v>
      </c>
      <c r="V88" s="3">
        <v>40848</v>
      </c>
      <c r="W88" s="5">
        <v>616</v>
      </c>
      <c r="X88" s="5">
        <v>8560</v>
      </c>
      <c r="Y88" s="5">
        <v>86564</v>
      </c>
      <c r="Z88" s="5">
        <v>95740</v>
      </c>
      <c r="AD88" s="3">
        <v>40848</v>
      </c>
      <c r="AE88">
        <f t="shared" si="3"/>
        <v>9135</v>
      </c>
      <c r="AF88">
        <f t="shared" si="4"/>
        <v>86564</v>
      </c>
      <c r="AG88" s="1">
        <f t="shared" si="5"/>
        <v>40848</v>
      </c>
      <c r="AH88" s="13">
        <f>AE88/AF88</f>
        <v>0.10552885726167922</v>
      </c>
    </row>
    <row r="89" spans="1:34" x14ac:dyDescent="0.25">
      <c r="A89" s="11">
        <v>39630</v>
      </c>
      <c r="B89" s="12">
        <v>58325</v>
      </c>
      <c r="C89" s="12" t="s">
        <v>2</v>
      </c>
      <c r="D89" s="1"/>
      <c r="F89" s="11">
        <v>39295</v>
      </c>
      <c r="G89" s="12">
        <v>27323</v>
      </c>
      <c r="H89" s="12" t="s">
        <v>16</v>
      </c>
      <c r="L89" s="3">
        <v>40878</v>
      </c>
      <c r="M89" s="5"/>
      <c r="N89" s="5">
        <v>10292</v>
      </c>
      <c r="O89" s="5">
        <v>74713</v>
      </c>
      <c r="P89" s="5">
        <v>17850</v>
      </c>
      <c r="Q89" s="5"/>
      <c r="R89" s="5">
        <v>102855</v>
      </c>
      <c r="V89" s="3">
        <v>40878</v>
      </c>
      <c r="W89" s="5">
        <v>595</v>
      </c>
      <c r="X89" s="5">
        <v>6571</v>
      </c>
      <c r="Y89" s="5">
        <v>95689</v>
      </c>
      <c r="Z89" s="5">
        <v>102855</v>
      </c>
      <c r="AD89" s="3">
        <v>40878</v>
      </c>
      <c r="AE89">
        <f t="shared" si="3"/>
        <v>10292</v>
      </c>
      <c r="AF89">
        <f t="shared" si="4"/>
        <v>95689</v>
      </c>
      <c r="AG89" s="1">
        <f t="shared" si="5"/>
        <v>40878</v>
      </c>
      <c r="AH89" s="13">
        <f>AE89/AF89</f>
        <v>0.10755677246078442</v>
      </c>
    </row>
    <row r="90" spans="1:34" x14ac:dyDescent="0.25">
      <c r="A90" s="11">
        <v>39630</v>
      </c>
      <c r="B90" s="12">
        <v>16385</v>
      </c>
      <c r="C90" s="12" t="s">
        <v>3</v>
      </c>
      <c r="D90" s="1"/>
      <c r="F90" s="11">
        <v>39295</v>
      </c>
      <c r="G90" s="12">
        <v>1</v>
      </c>
      <c r="H90" s="12" t="s">
        <v>29</v>
      </c>
      <c r="L90" s="3">
        <v>40909</v>
      </c>
      <c r="M90" s="5"/>
      <c r="N90" s="5">
        <v>11417</v>
      </c>
      <c r="O90" s="5">
        <v>66642</v>
      </c>
      <c r="P90" s="5">
        <v>18381</v>
      </c>
      <c r="Q90" s="5"/>
      <c r="R90" s="5">
        <v>96440</v>
      </c>
      <c r="V90" s="3">
        <v>40909</v>
      </c>
      <c r="W90" s="5">
        <v>534</v>
      </c>
      <c r="X90" s="5">
        <v>6334</v>
      </c>
      <c r="Y90" s="5">
        <v>89572</v>
      </c>
      <c r="Z90" s="5">
        <v>96440</v>
      </c>
      <c r="AD90" s="3">
        <v>40909</v>
      </c>
      <c r="AE90">
        <f t="shared" si="3"/>
        <v>11417</v>
      </c>
      <c r="AF90">
        <f t="shared" si="4"/>
        <v>89572</v>
      </c>
      <c r="AG90" s="1">
        <f t="shared" si="5"/>
        <v>40909</v>
      </c>
      <c r="AH90" s="13">
        <f>AE90/AF90</f>
        <v>0.12746170678336979</v>
      </c>
    </row>
    <row r="91" spans="1:34" x14ac:dyDescent="0.25">
      <c r="A91" s="11">
        <v>39661</v>
      </c>
      <c r="B91" s="12">
        <v>51839</v>
      </c>
      <c r="C91" s="12" t="s">
        <v>2</v>
      </c>
      <c r="D91" s="1"/>
      <c r="F91" s="11">
        <v>39326</v>
      </c>
      <c r="G91" s="12">
        <v>42757</v>
      </c>
      <c r="H91" s="12" t="s">
        <v>15</v>
      </c>
      <c r="L91" s="3">
        <v>40940</v>
      </c>
      <c r="M91" s="5"/>
      <c r="N91" s="5">
        <v>9269</v>
      </c>
      <c r="O91" s="5">
        <v>64892</v>
      </c>
      <c r="P91" s="5">
        <v>20475</v>
      </c>
      <c r="Q91" s="5"/>
      <c r="R91" s="5">
        <v>94636</v>
      </c>
      <c r="V91" s="3">
        <v>40940</v>
      </c>
      <c r="W91" s="5">
        <v>443</v>
      </c>
      <c r="X91" s="5">
        <v>7358</v>
      </c>
      <c r="Y91" s="5">
        <v>86835</v>
      </c>
      <c r="Z91" s="5">
        <v>94636</v>
      </c>
      <c r="AD91" s="3">
        <v>40940</v>
      </c>
      <c r="AE91">
        <f t="shared" si="3"/>
        <v>9269</v>
      </c>
      <c r="AF91">
        <f t="shared" si="4"/>
        <v>86835</v>
      </c>
      <c r="AG91" s="1">
        <f t="shared" si="5"/>
        <v>40940</v>
      </c>
      <c r="AH91" s="13">
        <f>AE91/AF91</f>
        <v>0.10674267288535728</v>
      </c>
    </row>
    <row r="92" spans="1:34" x14ac:dyDescent="0.25">
      <c r="A92" s="11">
        <v>39661</v>
      </c>
      <c r="B92" s="12">
        <v>12045</v>
      </c>
      <c r="C92" s="12" t="s">
        <v>3</v>
      </c>
      <c r="D92" s="1"/>
      <c r="F92" s="11">
        <v>39326</v>
      </c>
      <c r="G92" s="12">
        <v>25505</v>
      </c>
      <c r="H92" s="12" t="s">
        <v>16</v>
      </c>
      <c r="L92" s="3">
        <v>40969</v>
      </c>
      <c r="M92" s="5"/>
      <c r="N92" s="5">
        <v>8922</v>
      </c>
      <c r="O92" s="5">
        <v>56172</v>
      </c>
      <c r="P92" s="5">
        <v>18369</v>
      </c>
      <c r="Q92" s="5"/>
      <c r="R92" s="5">
        <v>83463</v>
      </c>
      <c r="V92" s="3">
        <v>40969</v>
      </c>
      <c r="W92" s="5">
        <v>445</v>
      </c>
      <c r="X92" s="5">
        <v>4755</v>
      </c>
      <c r="Y92" s="5">
        <v>78263</v>
      </c>
      <c r="Z92" s="5">
        <v>83463</v>
      </c>
      <c r="AD92" s="3">
        <v>40969</v>
      </c>
      <c r="AE92">
        <f t="shared" si="3"/>
        <v>8922</v>
      </c>
      <c r="AF92">
        <f t="shared" si="4"/>
        <v>78263</v>
      </c>
      <c r="AG92" s="1">
        <f t="shared" si="5"/>
        <v>40969</v>
      </c>
      <c r="AH92" s="13">
        <f>AE92/AF92</f>
        <v>0.11400022999373906</v>
      </c>
    </row>
    <row r="93" spans="1:34" x14ac:dyDescent="0.25">
      <c r="A93" s="11">
        <v>39692</v>
      </c>
      <c r="B93" s="12">
        <v>38866</v>
      </c>
      <c r="C93" s="12" t="s">
        <v>2</v>
      </c>
      <c r="D93" s="1"/>
      <c r="F93" s="11">
        <v>39326</v>
      </c>
      <c r="G93" s="12">
        <v>2</v>
      </c>
      <c r="H93" s="12" t="s">
        <v>29</v>
      </c>
      <c r="L93" s="3">
        <v>41000</v>
      </c>
      <c r="M93" s="5"/>
      <c r="N93" s="5">
        <v>8853</v>
      </c>
      <c r="O93" s="5">
        <v>58895</v>
      </c>
      <c r="P93" s="5">
        <v>18580</v>
      </c>
      <c r="Q93" s="5"/>
      <c r="R93" s="5">
        <v>86328</v>
      </c>
      <c r="V93" s="3">
        <v>41000</v>
      </c>
      <c r="W93" s="5">
        <v>389</v>
      </c>
      <c r="X93" s="5">
        <v>4820</v>
      </c>
      <c r="Y93" s="5">
        <v>81119</v>
      </c>
      <c r="Z93" s="5">
        <v>86328</v>
      </c>
      <c r="AD93" s="3">
        <v>41000</v>
      </c>
      <c r="AE93">
        <f t="shared" si="3"/>
        <v>8853</v>
      </c>
      <c r="AF93">
        <f t="shared" si="4"/>
        <v>81119</v>
      </c>
      <c r="AG93" s="1">
        <f t="shared" si="5"/>
        <v>41000</v>
      </c>
      <c r="AH93" s="13">
        <f>AE93/AF93</f>
        <v>0.10913596074902304</v>
      </c>
    </row>
    <row r="94" spans="1:34" x14ac:dyDescent="0.25">
      <c r="A94" s="11">
        <v>39692</v>
      </c>
      <c r="B94" s="12">
        <v>8038</v>
      </c>
      <c r="C94" s="12" t="s">
        <v>3</v>
      </c>
      <c r="D94" s="1"/>
      <c r="F94" s="11">
        <v>39356</v>
      </c>
      <c r="G94" s="12">
        <v>40940</v>
      </c>
      <c r="H94" s="12" t="s">
        <v>15</v>
      </c>
      <c r="L94" s="3">
        <v>41030</v>
      </c>
      <c r="M94" s="5"/>
      <c r="N94" s="5">
        <v>8315</v>
      </c>
      <c r="O94" s="5">
        <v>61671</v>
      </c>
      <c r="P94" s="5">
        <v>17667</v>
      </c>
      <c r="Q94" s="5"/>
      <c r="R94" s="5">
        <v>87653</v>
      </c>
      <c r="V94" s="3">
        <v>41030</v>
      </c>
      <c r="W94" s="5">
        <v>455</v>
      </c>
      <c r="X94" s="5">
        <v>6312</v>
      </c>
      <c r="Y94" s="5">
        <v>80886</v>
      </c>
      <c r="Z94" s="5">
        <v>87653</v>
      </c>
      <c r="AD94" s="3">
        <v>41030</v>
      </c>
      <c r="AE94">
        <f t="shared" si="3"/>
        <v>8315</v>
      </c>
      <c r="AF94">
        <f t="shared" si="4"/>
        <v>80886</v>
      </c>
      <c r="AG94" s="1">
        <f t="shared" si="5"/>
        <v>41030</v>
      </c>
      <c r="AH94" s="13">
        <f>AE94/AF94</f>
        <v>0.10279900106322479</v>
      </c>
    </row>
    <row r="95" spans="1:34" x14ac:dyDescent="0.25">
      <c r="A95" s="11">
        <v>39722</v>
      </c>
      <c r="B95" s="12">
        <v>4945</v>
      </c>
      <c r="C95" s="12" t="s">
        <v>3</v>
      </c>
      <c r="D95" s="1"/>
      <c r="F95" s="11">
        <v>39356</v>
      </c>
      <c r="G95" s="12">
        <v>24490</v>
      </c>
      <c r="H95" s="12" t="s">
        <v>16</v>
      </c>
      <c r="L95" s="3">
        <v>41061</v>
      </c>
      <c r="M95" s="5"/>
      <c r="N95" s="5">
        <v>7196</v>
      </c>
      <c r="O95" s="5">
        <v>55898</v>
      </c>
      <c r="P95" s="5">
        <v>14460</v>
      </c>
      <c r="Q95" s="5"/>
      <c r="R95" s="5">
        <v>77554</v>
      </c>
      <c r="V95" s="3">
        <v>41061</v>
      </c>
      <c r="W95" s="5">
        <v>578</v>
      </c>
      <c r="X95" s="5">
        <v>8472</v>
      </c>
      <c r="Y95" s="5">
        <v>68504</v>
      </c>
      <c r="Z95" s="5">
        <v>77554</v>
      </c>
      <c r="AD95" s="3">
        <v>41061</v>
      </c>
      <c r="AE95">
        <f t="shared" si="3"/>
        <v>7196</v>
      </c>
      <c r="AF95">
        <f t="shared" si="4"/>
        <v>68504</v>
      </c>
      <c r="AG95" s="1">
        <f t="shared" si="5"/>
        <v>41061</v>
      </c>
      <c r="AH95" s="13">
        <f>AE95/AF95</f>
        <v>0.1050449608781969</v>
      </c>
    </row>
    <row r="96" spans="1:34" x14ac:dyDescent="0.25">
      <c r="A96" s="11">
        <v>39722</v>
      </c>
      <c r="B96" s="12">
        <v>27193</v>
      </c>
      <c r="C96" s="12" t="s">
        <v>2</v>
      </c>
      <c r="D96" s="1"/>
      <c r="F96" s="11">
        <v>39356</v>
      </c>
      <c r="G96" s="12">
        <v>2</v>
      </c>
      <c r="H96" s="12" t="s">
        <v>29</v>
      </c>
      <c r="L96" s="3">
        <v>41091</v>
      </c>
      <c r="M96" s="5"/>
      <c r="N96" s="5">
        <v>7036</v>
      </c>
      <c r="O96" s="5">
        <v>52260</v>
      </c>
      <c r="P96" s="5">
        <v>16176</v>
      </c>
      <c r="Q96" s="5"/>
      <c r="R96" s="5">
        <v>75472</v>
      </c>
      <c r="V96" s="3">
        <v>41091</v>
      </c>
      <c r="W96" s="5">
        <v>724</v>
      </c>
      <c r="X96" s="5">
        <v>10700</v>
      </c>
      <c r="Y96" s="5">
        <v>64048</v>
      </c>
      <c r="Z96" s="5">
        <v>75472</v>
      </c>
      <c r="AD96" s="3">
        <v>41091</v>
      </c>
      <c r="AE96">
        <f t="shared" si="3"/>
        <v>7036</v>
      </c>
      <c r="AF96">
        <f t="shared" si="4"/>
        <v>64048</v>
      </c>
      <c r="AG96" s="1">
        <f t="shared" si="5"/>
        <v>41091</v>
      </c>
      <c r="AH96" s="13">
        <f>AE96/AF96</f>
        <v>0.10985510866849862</v>
      </c>
    </row>
    <row r="97" spans="1:34" x14ac:dyDescent="0.25">
      <c r="A97" s="11">
        <v>39753</v>
      </c>
      <c r="B97" s="12">
        <v>7598</v>
      </c>
      <c r="C97" s="12" t="s">
        <v>3</v>
      </c>
      <c r="D97" s="1"/>
      <c r="F97" s="11">
        <v>39387</v>
      </c>
      <c r="G97" s="12">
        <v>42530</v>
      </c>
      <c r="H97" s="12" t="s">
        <v>15</v>
      </c>
      <c r="L97" s="3">
        <v>41122</v>
      </c>
      <c r="M97" s="5"/>
      <c r="N97" s="5">
        <v>7422</v>
      </c>
      <c r="O97" s="5">
        <v>51730</v>
      </c>
      <c r="P97" s="5">
        <v>16761</v>
      </c>
      <c r="Q97" s="5"/>
      <c r="R97" s="5">
        <v>75913</v>
      </c>
      <c r="V97" s="3">
        <v>41122</v>
      </c>
      <c r="W97" s="5">
        <v>639</v>
      </c>
      <c r="X97" s="5">
        <v>10061</v>
      </c>
      <c r="Y97" s="5">
        <v>65213</v>
      </c>
      <c r="Z97" s="5">
        <v>75913</v>
      </c>
      <c r="AD97" s="3">
        <v>41122</v>
      </c>
      <c r="AE97">
        <f t="shared" si="3"/>
        <v>7422</v>
      </c>
      <c r="AF97">
        <f t="shared" si="4"/>
        <v>65213</v>
      </c>
      <c r="AG97" s="1">
        <f t="shared" si="5"/>
        <v>41122</v>
      </c>
      <c r="AH97" s="13">
        <f>AE97/AF97</f>
        <v>0.11381166331866345</v>
      </c>
    </row>
    <row r="98" spans="1:34" x14ac:dyDescent="0.25">
      <c r="A98" s="11">
        <v>39753</v>
      </c>
      <c r="B98" s="12">
        <v>30484</v>
      </c>
      <c r="C98" s="12" t="s">
        <v>2</v>
      </c>
      <c r="D98" s="1"/>
      <c r="F98" s="11">
        <v>39387</v>
      </c>
      <c r="G98" s="12">
        <v>19917</v>
      </c>
      <c r="H98" s="12" t="s">
        <v>16</v>
      </c>
      <c r="L98" s="3">
        <v>41153</v>
      </c>
      <c r="M98" s="5"/>
      <c r="N98" s="5">
        <v>9405</v>
      </c>
      <c r="O98" s="5">
        <v>59539</v>
      </c>
      <c r="P98" s="5">
        <v>20395</v>
      </c>
      <c r="Q98" s="5"/>
      <c r="R98" s="5">
        <v>89339</v>
      </c>
      <c r="V98" s="3">
        <v>41153</v>
      </c>
      <c r="W98" s="5">
        <v>717</v>
      </c>
      <c r="X98" s="5">
        <v>10422</v>
      </c>
      <c r="Y98" s="5">
        <v>78200</v>
      </c>
      <c r="Z98" s="5">
        <v>89339</v>
      </c>
      <c r="AD98" s="3">
        <v>41153</v>
      </c>
      <c r="AE98">
        <f t="shared" si="3"/>
        <v>9405</v>
      </c>
      <c r="AF98">
        <f t="shared" si="4"/>
        <v>78200</v>
      </c>
      <c r="AG98" s="1">
        <f t="shared" si="5"/>
        <v>41153</v>
      </c>
      <c r="AH98" s="13">
        <f>AE98/AF98</f>
        <v>0.12026854219948849</v>
      </c>
    </row>
    <row r="99" spans="1:34" x14ac:dyDescent="0.25">
      <c r="A99" s="11">
        <v>39783</v>
      </c>
      <c r="B99" s="12">
        <v>11576</v>
      </c>
      <c r="C99" s="12" t="s">
        <v>3</v>
      </c>
      <c r="D99" s="1"/>
      <c r="F99" s="11">
        <v>39387</v>
      </c>
      <c r="G99" s="12">
        <v>3</v>
      </c>
      <c r="H99" s="12" t="s">
        <v>29</v>
      </c>
      <c r="L99" s="3">
        <v>41183</v>
      </c>
      <c r="M99" s="5"/>
      <c r="N99" s="5">
        <v>10321</v>
      </c>
      <c r="O99" s="5">
        <v>71270</v>
      </c>
      <c r="P99" s="5">
        <v>27166</v>
      </c>
      <c r="Q99" s="5"/>
      <c r="R99" s="5">
        <v>108757</v>
      </c>
      <c r="V99" s="3">
        <v>41183</v>
      </c>
      <c r="W99" s="5">
        <v>599</v>
      </c>
      <c r="X99" s="5">
        <v>11093</v>
      </c>
      <c r="Y99" s="5">
        <v>97065</v>
      </c>
      <c r="Z99" s="5">
        <v>108757</v>
      </c>
      <c r="AD99" s="3">
        <v>41183</v>
      </c>
      <c r="AE99">
        <f t="shared" si="3"/>
        <v>10321</v>
      </c>
      <c r="AF99">
        <f t="shared" si="4"/>
        <v>97065</v>
      </c>
      <c r="AG99" s="1">
        <f t="shared" si="5"/>
        <v>41183</v>
      </c>
      <c r="AH99" s="13">
        <f>AE99/AF99</f>
        <v>0.10633080925153247</v>
      </c>
    </row>
    <row r="100" spans="1:34" x14ac:dyDescent="0.25">
      <c r="A100" s="11">
        <v>39783</v>
      </c>
      <c r="B100" s="12">
        <v>33221</v>
      </c>
      <c r="C100" s="12" t="s">
        <v>2</v>
      </c>
      <c r="D100" s="1"/>
      <c r="F100" s="11">
        <v>39417</v>
      </c>
      <c r="G100" s="12">
        <v>51124</v>
      </c>
      <c r="H100" s="12" t="s">
        <v>15</v>
      </c>
      <c r="L100" s="3">
        <v>41214</v>
      </c>
      <c r="M100" s="5"/>
      <c r="N100" s="5">
        <v>12488</v>
      </c>
      <c r="O100" s="5">
        <v>79689</v>
      </c>
      <c r="P100" s="5">
        <v>31285</v>
      </c>
      <c r="Q100" s="5"/>
      <c r="R100" s="5">
        <v>123462</v>
      </c>
      <c r="V100" s="3">
        <v>41214</v>
      </c>
      <c r="W100" s="5">
        <v>645</v>
      </c>
      <c r="X100" s="5">
        <v>11252</v>
      </c>
      <c r="Y100" s="5">
        <v>111565</v>
      </c>
      <c r="Z100" s="5">
        <v>123462</v>
      </c>
      <c r="AD100" s="3">
        <v>41214</v>
      </c>
      <c r="AE100">
        <f t="shared" si="3"/>
        <v>12488</v>
      </c>
      <c r="AF100">
        <f t="shared" si="4"/>
        <v>111565</v>
      </c>
      <c r="AG100" s="1">
        <f t="shared" si="5"/>
        <v>41214</v>
      </c>
      <c r="AH100" s="13">
        <f>AE100/AF100</f>
        <v>0.11193474656030117</v>
      </c>
    </row>
    <row r="101" spans="1:34" x14ac:dyDescent="0.25">
      <c r="A101" s="11">
        <v>39814</v>
      </c>
      <c r="B101" s="12">
        <v>5204</v>
      </c>
      <c r="C101" s="12" t="s">
        <v>3</v>
      </c>
      <c r="D101" s="1"/>
      <c r="F101" s="11">
        <v>39417</v>
      </c>
      <c r="G101" s="12">
        <v>18777</v>
      </c>
      <c r="H101" s="12" t="s">
        <v>16</v>
      </c>
      <c r="L101" s="3">
        <v>41244</v>
      </c>
      <c r="M101" s="5"/>
      <c r="N101" s="5">
        <v>12942</v>
      </c>
      <c r="O101" s="5">
        <v>79233</v>
      </c>
      <c r="P101" s="5">
        <v>31931</v>
      </c>
      <c r="Q101" s="5"/>
      <c r="R101" s="5">
        <v>124106</v>
      </c>
      <c r="V101" s="3">
        <v>41244</v>
      </c>
      <c r="W101" s="5">
        <v>642</v>
      </c>
      <c r="X101" s="5">
        <v>10537</v>
      </c>
      <c r="Y101" s="5">
        <v>112927</v>
      </c>
      <c r="Z101" s="5">
        <v>124106</v>
      </c>
      <c r="AD101" s="3">
        <v>41244</v>
      </c>
      <c r="AE101">
        <f t="shared" si="3"/>
        <v>12942</v>
      </c>
      <c r="AF101">
        <f t="shared" si="4"/>
        <v>112927</v>
      </c>
      <c r="AG101" s="1">
        <f t="shared" si="5"/>
        <v>41244</v>
      </c>
      <c r="AH101" s="13">
        <f>AE101/AF101</f>
        <v>0.11460501031639909</v>
      </c>
    </row>
    <row r="102" spans="1:34" x14ac:dyDescent="0.25">
      <c r="A102" s="11">
        <v>39814</v>
      </c>
      <c r="B102" s="12">
        <v>19558</v>
      </c>
      <c r="C102" s="12" t="s">
        <v>2</v>
      </c>
      <c r="D102" s="1"/>
      <c r="F102" s="11">
        <v>39417</v>
      </c>
      <c r="G102" s="12">
        <v>6</v>
      </c>
      <c r="H102" s="12" t="s">
        <v>29</v>
      </c>
      <c r="L102" s="3">
        <v>41275</v>
      </c>
      <c r="M102" s="5"/>
      <c r="N102" s="5">
        <v>12016</v>
      </c>
      <c r="O102" s="5">
        <v>68812</v>
      </c>
      <c r="P102" s="5">
        <v>28192</v>
      </c>
      <c r="Q102" s="5"/>
      <c r="R102" s="5">
        <v>109020</v>
      </c>
      <c r="V102" s="3">
        <v>41275</v>
      </c>
      <c r="W102" s="5">
        <v>695</v>
      </c>
      <c r="X102" s="5">
        <v>8444</v>
      </c>
      <c r="Y102" s="5">
        <v>99881</v>
      </c>
      <c r="Z102" s="5">
        <v>109020</v>
      </c>
      <c r="AD102" s="3">
        <v>41275</v>
      </c>
      <c r="AE102">
        <f t="shared" si="3"/>
        <v>12016</v>
      </c>
      <c r="AF102">
        <f t="shared" si="4"/>
        <v>99881</v>
      </c>
      <c r="AG102" s="1">
        <f t="shared" si="5"/>
        <v>41275</v>
      </c>
      <c r="AH102" s="13">
        <f>AE102/AF102</f>
        <v>0.12030316076130596</v>
      </c>
    </row>
    <row r="103" spans="1:34" x14ac:dyDescent="0.25">
      <c r="A103" s="11">
        <v>39845</v>
      </c>
      <c r="B103" s="12">
        <v>24567</v>
      </c>
      <c r="C103" s="12" t="s">
        <v>3</v>
      </c>
      <c r="D103" s="1"/>
      <c r="F103" s="11">
        <v>39448</v>
      </c>
      <c r="G103" s="12">
        <v>44348</v>
      </c>
      <c r="H103" s="12" t="s">
        <v>15</v>
      </c>
      <c r="L103" s="3">
        <v>41306</v>
      </c>
      <c r="M103" s="5"/>
      <c r="N103" s="5">
        <v>12440</v>
      </c>
      <c r="O103" s="5">
        <v>75832</v>
      </c>
      <c r="P103" s="5">
        <v>31266</v>
      </c>
      <c r="Q103" s="5"/>
      <c r="R103" s="5">
        <v>119538</v>
      </c>
      <c r="V103" s="3">
        <v>41306</v>
      </c>
      <c r="W103" s="5">
        <v>655</v>
      </c>
      <c r="X103" s="5">
        <v>9524</v>
      </c>
      <c r="Y103" s="5">
        <v>109359</v>
      </c>
      <c r="Z103" s="5">
        <v>119538</v>
      </c>
      <c r="AD103" s="3">
        <v>41306</v>
      </c>
      <c r="AE103">
        <f t="shared" si="3"/>
        <v>12440</v>
      </c>
      <c r="AF103">
        <f t="shared" si="4"/>
        <v>109359</v>
      </c>
      <c r="AG103" s="1">
        <f t="shared" si="5"/>
        <v>41306</v>
      </c>
      <c r="AH103" s="13">
        <f>AE103/AF103</f>
        <v>0.11375378341060179</v>
      </c>
    </row>
    <row r="104" spans="1:34" x14ac:dyDescent="0.25">
      <c r="A104" s="11">
        <v>39845</v>
      </c>
      <c r="B104" s="12">
        <v>36500</v>
      </c>
      <c r="C104" s="12" t="s">
        <v>2</v>
      </c>
      <c r="D104" s="1"/>
      <c r="F104" s="11">
        <v>39448</v>
      </c>
      <c r="G104" s="12">
        <v>15687</v>
      </c>
      <c r="H104" s="12" t="s">
        <v>16</v>
      </c>
      <c r="L104" s="3">
        <v>41334</v>
      </c>
      <c r="M104" s="5"/>
      <c r="N104" s="5">
        <v>13546</v>
      </c>
      <c r="O104" s="5">
        <v>79881</v>
      </c>
      <c r="P104" s="5">
        <v>34904</v>
      </c>
      <c r="Q104" s="5"/>
      <c r="R104" s="5">
        <v>128331</v>
      </c>
      <c r="V104" s="3">
        <v>41334</v>
      </c>
      <c r="W104" s="5">
        <v>708</v>
      </c>
      <c r="X104" s="5">
        <v>8323</v>
      </c>
      <c r="Y104" s="5">
        <v>119300</v>
      </c>
      <c r="Z104" s="5">
        <v>128331</v>
      </c>
      <c r="AD104" s="3">
        <v>41334</v>
      </c>
      <c r="AE104">
        <f t="shared" si="3"/>
        <v>13546</v>
      </c>
      <c r="AF104">
        <f t="shared" si="4"/>
        <v>119300</v>
      </c>
      <c r="AG104" s="1">
        <f t="shared" si="5"/>
        <v>41334</v>
      </c>
      <c r="AH104" s="13">
        <f>AE104/AF104</f>
        <v>0.11354568315171835</v>
      </c>
    </row>
    <row r="105" spans="1:34" x14ac:dyDescent="0.25">
      <c r="A105" s="11">
        <v>39873</v>
      </c>
      <c r="B105" s="12">
        <v>63809</v>
      </c>
      <c r="C105" s="12" t="s">
        <v>3</v>
      </c>
      <c r="D105" s="1"/>
      <c r="F105" s="11">
        <v>39448</v>
      </c>
      <c r="G105" s="12">
        <v>4</v>
      </c>
      <c r="H105" s="12" t="s">
        <v>29</v>
      </c>
      <c r="L105" s="3">
        <v>41365</v>
      </c>
      <c r="M105" s="5"/>
      <c r="N105" s="5">
        <v>13745</v>
      </c>
      <c r="O105" s="5">
        <v>79649</v>
      </c>
      <c r="P105" s="5">
        <v>30239</v>
      </c>
      <c r="Q105" s="5"/>
      <c r="R105" s="5">
        <v>123633</v>
      </c>
      <c r="V105" s="3">
        <v>41365</v>
      </c>
      <c r="W105" s="5">
        <v>650</v>
      </c>
      <c r="X105" s="5">
        <v>9978</v>
      </c>
      <c r="Y105" s="5">
        <v>113005</v>
      </c>
      <c r="Z105" s="5">
        <v>123633</v>
      </c>
      <c r="AD105" s="3">
        <v>41365</v>
      </c>
      <c r="AE105">
        <f t="shared" si="3"/>
        <v>13745</v>
      </c>
      <c r="AF105">
        <f t="shared" si="4"/>
        <v>113005</v>
      </c>
      <c r="AG105" s="1">
        <f t="shared" si="5"/>
        <v>41365</v>
      </c>
      <c r="AH105" s="13">
        <f>AE105/AF105</f>
        <v>0.12163178620415026</v>
      </c>
    </row>
    <row r="106" spans="1:34" x14ac:dyDescent="0.25">
      <c r="A106" s="11">
        <v>39873</v>
      </c>
      <c r="B106" s="12">
        <v>62829</v>
      </c>
      <c r="C106" s="12" t="s">
        <v>2</v>
      </c>
      <c r="D106" s="1"/>
      <c r="F106" s="11">
        <v>39479</v>
      </c>
      <c r="G106" s="12">
        <v>58886</v>
      </c>
      <c r="H106" s="12" t="s">
        <v>15</v>
      </c>
      <c r="L106" s="3">
        <v>41395</v>
      </c>
      <c r="M106" s="5"/>
      <c r="N106" s="5">
        <v>13727</v>
      </c>
      <c r="O106" s="5">
        <v>79558</v>
      </c>
      <c r="P106" s="5">
        <v>22518</v>
      </c>
      <c r="Q106" s="5"/>
      <c r="R106" s="5">
        <v>115803</v>
      </c>
      <c r="V106" s="3">
        <v>41395</v>
      </c>
      <c r="W106" s="5">
        <v>633</v>
      </c>
      <c r="X106" s="5">
        <v>11451</v>
      </c>
      <c r="Y106" s="5">
        <v>103719</v>
      </c>
      <c r="Z106" s="5">
        <v>115803</v>
      </c>
      <c r="AD106" s="3">
        <v>41395</v>
      </c>
      <c r="AE106">
        <f t="shared" si="3"/>
        <v>13727</v>
      </c>
      <c r="AF106">
        <f t="shared" si="4"/>
        <v>103719</v>
      </c>
      <c r="AG106" s="1">
        <f t="shared" si="5"/>
        <v>41395</v>
      </c>
      <c r="AH106" s="13">
        <f>AE106/AF106</f>
        <v>0.13234797867314571</v>
      </c>
    </row>
    <row r="107" spans="1:34" x14ac:dyDescent="0.25">
      <c r="A107" s="11">
        <v>39904</v>
      </c>
      <c r="B107" s="12">
        <v>83665</v>
      </c>
      <c r="C107" s="12" t="s">
        <v>3</v>
      </c>
      <c r="D107" s="1"/>
      <c r="F107" s="11">
        <v>39479</v>
      </c>
      <c r="G107" s="12">
        <v>15997</v>
      </c>
      <c r="H107" s="12" t="s">
        <v>16</v>
      </c>
      <c r="L107" s="3">
        <v>41426</v>
      </c>
      <c r="M107" s="5"/>
      <c r="N107" s="5">
        <v>12708</v>
      </c>
      <c r="O107" s="5">
        <v>75517</v>
      </c>
      <c r="P107" s="5">
        <v>19126</v>
      </c>
      <c r="Q107" s="5"/>
      <c r="R107" s="5">
        <v>107351</v>
      </c>
      <c r="V107" s="3">
        <v>41426</v>
      </c>
      <c r="W107" s="5">
        <v>604</v>
      </c>
      <c r="X107" s="5">
        <v>11640</v>
      </c>
      <c r="Y107" s="5">
        <v>95107</v>
      </c>
      <c r="Z107" s="5">
        <v>107351</v>
      </c>
      <c r="AD107" s="3">
        <v>41426</v>
      </c>
      <c r="AE107">
        <f t="shared" si="3"/>
        <v>12708</v>
      </c>
      <c r="AF107">
        <f t="shared" si="4"/>
        <v>95107</v>
      </c>
      <c r="AG107" s="1">
        <f t="shared" si="5"/>
        <v>41426</v>
      </c>
      <c r="AH107" s="13">
        <f>AE107/AF107</f>
        <v>0.13361792507386416</v>
      </c>
    </row>
    <row r="108" spans="1:34" x14ac:dyDescent="0.25">
      <c r="A108" s="11">
        <v>39904</v>
      </c>
      <c r="B108" s="12">
        <v>89979</v>
      </c>
      <c r="C108" s="12" t="s">
        <v>2</v>
      </c>
      <c r="D108" s="1"/>
      <c r="F108" s="11">
        <v>39479</v>
      </c>
      <c r="G108" s="12">
        <v>11</v>
      </c>
      <c r="H108" s="12" t="s">
        <v>29</v>
      </c>
      <c r="L108" s="3">
        <v>41456</v>
      </c>
      <c r="M108" s="5"/>
      <c r="N108" s="5">
        <v>12523</v>
      </c>
      <c r="O108" s="5">
        <v>81618</v>
      </c>
      <c r="P108" s="5">
        <v>24399</v>
      </c>
      <c r="Q108" s="5"/>
      <c r="R108" s="5">
        <v>118540</v>
      </c>
      <c r="V108" s="3">
        <v>41456</v>
      </c>
      <c r="W108" s="5">
        <v>436</v>
      </c>
      <c r="X108" s="5">
        <v>15624</v>
      </c>
      <c r="Y108" s="5">
        <v>102480</v>
      </c>
      <c r="Z108" s="5">
        <v>118540</v>
      </c>
      <c r="AD108" s="3">
        <v>41456</v>
      </c>
      <c r="AE108">
        <f t="shared" si="3"/>
        <v>12523</v>
      </c>
      <c r="AF108">
        <f t="shared" si="4"/>
        <v>102480</v>
      </c>
      <c r="AG108" s="1">
        <f t="shared" si="5"/>
        <v>41456</v>
      </c>
      <c r="AH108" s="13">
        <f>AE108/AF108</f>
        <v>0.12219945355191257</v>
      </c>
    </row>
    <row r="109" spans="1:34" x14ac:dyDescent="0.25">
      <c r="A109" s="11">
        <v>39934</v>
      </c>
      <c r="B109" s="12">
        <v>86369</v>
      </c>
      <c r="C109" s="12" t="s">
        <v>3</v>
      </c>
      <c r="D109" s="1"/>
      <c r="F109" s="11">
        <v>39508</v>
      </c>
      <c r="G109" s="12">
        <v>60517</v>
      </c>
      <c r="H109" s="12" t="s">
        <v>15</v>
      </c>
      <c r="L109" s="3">
        <v>41487</v>
      </c>
      <c r="M109" s="5"/>
      <c r="N109" s="5">
        <v>10664</v>
      </c>
      <c r="O109" s="5">
        <v>69234</v>
      </c>
      <c r="P109" s="5">
        <v>20676</v>
      </c>
      <c r="Q109" s="5"/>
      <c r="R109" s="5">
        <v>100574</v>
      </c>
      <c r="V109" s="3">
        <v>41487</v>
      </c>
      <c r="W109" s="5">
        <v>477</v>
      </c>
      <c r="X109" s="5">
        <v>14982</v>
      </c>
      <c r="Y109" s="5">
        <v>85115</v>
      </c>
      <c r="Z109" s="5">
        <v>100574</v>
      </c>
      <c r="AD109" s="3">
        <v>41487</v>
      </c>
      <c r="AE109">
        <f t="shared" si="3"/>
        <v>10664</v>
      </c>
      <c r="AF109">
        <f t="shared" si="4"/>
        <v>85115</v>
      </c>
      <c r="AG109" s="1">
        <f t="shared" si="5"/>
        <v>41487</v>
      </c>
      <c r="AH109" s="13">
        <f>AE109/AF109</f>
        <v>0.12528931445691124</v>
      </c>
    </row>
    <row r="110" spans="1:34" x14ac:dyDescent="0.25">
      <c r="A110" s="11">
        <v>39934</v>
      </c>
      <c r="B110" s="12">
        <v>98796</v>
      </c>
      <c r="C110" s="12" t="s">
        <v>2</v>
      </c>
      <c r="D110" s="1"/>
      <c r="F110" s="11">
        <v>39508</v>
      </c>
      <c r="G110" s="12">
        <v>12185</v>
      </c>
      <c r="H110" s="12" t="s">
        <v>16</v>
      </c>
      <c r="L110" s="3">
        <v>41518</v>
      </c>
      <c r="M110" s="5"/>
      <c r="N110" s="5">
        <v>9167</v>
      </c>
      <c r="O110" s="5">
        <v>58854</v>
      </c>
      <c r="P110" s="5">
        <v>13675</v>
      </c>
      <c r="Q110" s="5"/>
      <c r="R110" s="5">
        <v>81696</v>
      </c>
      <c r="V110" s="3">
        <v>41518</v>
      </c>
      <c r="W110" s="5">
        <v>637</v>
      </c>
      <c r="X110" s="5">
        <v>14165</v>
      </c>
      <c r="Y110" s="5">
        <v>66894</v>
      </c>
      <c r="Z110" s="5">
        <v>81696</v>
      </c>
      <c r="AD110" s="3">
        <v>41518</v>
      </c>
      <c r="AE110">
        <f t="shared" si="3"/>
        <v>9167</v>
      </c>
      <c r="AF110">
        <f t="shared" si="4"/>
        <v>66894</v>
      </c>
      <c r="AG110" s="1">
        <f t="shared" si="5"/>
        <v>41518</v>
      </c>
      <c r="AH110" s="13">
        <f>AE110/AF110</f>
        <v>0.1370377014380961</v>
      </c>
    </row>
    <row r="111" spans="1:34" x14ac:dyDescent="0.25">
      <c r="A111" s="11">
        <v>39965</v>
      </c>
      <c r="B111" s="12">
        <v>76512</v>
      </c>
      <c r="C111" s="12" t="s">
        <v>4</v>
      </c>
      <c r="D111" s="1"/>
      <c r="F111" s="11">
        <v>39508</v>
      </c>
      <c r="G111" s="12">
        <v>10</v>
      </c>
      <c r="H111" s="12" t="s">
        <v>29</v>
      </c>
      <c r="L111" s="3">
        <v>41548</v>
      </c>
      <c r="M111" s="5"/>
      <c r="N111" s="5">
        <v>6830</v>
      </c>
      <c r="O111" s="5">
        <v>46711</v>
      </c>
      <c r="P111" s="5">
        <v>8439</v>
      </c>
      <c r="Q111" s="5"/>
      <c r="R111" s="5">
        <v>61980</v>
      </c>
      <c r="V111" s="3">
        <v>41548</v>
      </c>
      <c r="W111" s="5">
        <v>496</v>
      </c>
      <c r="X111" s="5">
        <v>13624</v>
      </c>
      <c r="Y111" s="5">
        <v>47860</v>
      </c>
      <c r="Z111" s="5">
        <v>61980</v>
      </c>
      <c r="AD111" s="3">
        <v>41548</v>
      </c>
      <c r="AE111">
        <f t="shared" si="3"/>
        <v>6830</v>
      </c>
      <c r="AF111">
        <f t="shared" si="4"/>
        <v>47860</v>
      </c>
      <c r="AG111" s="1">
        <f t="shared" si="5"/>
        <v>41548</v>
      </c>
      <c r="AH111" s="13">
        <f>AE111/AF111</f>
        <v>0.14270789803593814</v>
      </c>
    </row>
    <row r="112" spans="1:34" x14ac:dyDescent="0.25">
      <c r="A112" s="11">
        <v>39965</v>
      </c>
      <c r="B112" s="12">
        <v>5953</v>
      </c>
      <c r="C112" s="12" t="s">
        <v>5</v>
      </c>
      <c r="D112" s="1"/>
      <c r="F112" s="11">
        <v>39539</v>
      </c>
      <c r="G112" s="12">
        <v>110476</v>
      </c>
      <c r="H112" s="12" t="s">
        <v>15</v>
      </c>
      <c r="L112" s="3">
        <v>41579</v>
      </c>
      <c r="M112" s="5"/>
      <c r="N112" s="5">
        <v>5333</v>
      </c>
      <c r="O112" s="5">
        <v>37440</v>
      </c>
      <c r="P112" s="5">
        <v>5650</v>
      </c>
      <c r="Q112" s="5"/>
      <c r="R112" s="5">
        <v>48423</v>
      </c>
      <c r="V112" s="3">
        <v>41579</v>
      </c>
      <c r="W112" s="5">
        <v>575</v>
      </c>
      <c r="X112" s="5">
        <v>11286</v>
      </c>
      <c r="Y112" s="5">
        <v>36562</v>
      </c>
      <c r="Z112" s="5">
        <v>48423</v>
      </c>
      <c r="AD112" s="3">
        <v>41579</v>
      </c>
      <c r="AE112">
        <f t="shared" si="3"/>
        <v>5333</v>
      </c>
      <c r="AF112">
        <f t="shared" si="4"/>
        <v>36562</v>
      </c>
      <c r="AG112" s="1">
        <f t="shared" si="5"/>
        <v>41579</v>
      </c>
      <c r="AH112" s="13">
        <f>AE112/AF112</f>
        <v>0.14586182375143592</v>
      </c>
    </row>
    <row r="113" spans="1:34" x14ac:dyDescent="0.25">
      <c r="A113" s="11">
        <v>39965</v>
      </c>
      <c r="B113" s="12">
        <v>95084</v>
      </c>
      <c r="C113" s="12" t="s">
        <v>2</v>
      </c>
      <c r="D113" s="1"/>
      <c r="F113" s="11">
        <v>39539</v>
      </c>
      <c r="G113" s="12">
        <v>13968</v>
      </c>
      <c r="H113" s="12" t="s">
        <v>16</v>
      </c>
      <c r="L113" s="3">
        <v>41609</v>
      </c>
      <c r="M113" s="5"/>
      <c r="N113" s="5">
        <v>5032</v>
      </c>
      <c r="O113" s="5">
        <v>37439</v>
      </c>
      <c r="P113" s="5">
        <v>5663</v>
      </c>
      <c r="Q113" s="5"/>
      <c r="R113" s="5">
        <v>48134</v>
      </c>
      <c r="V113" s="3">
        <v>41609</v>
      </c>
      <c r="W113" s="5">
        <v>506</v>
      </c>
      <c r="X113" s="5">
        <v>12595</v>
      </c>
      <c r="Y113" s="5">
        <v>35033</v>
      </c>
      <c r="Z113" s="5">
        <v>48134</v>
      </c>
      <c r="AD113" s="3">
        <v>41609</v>
      </c>
      <c r="AE113">
        <f t="shared" si="3"/>
        <v>5032</v>
      </c>
      <c r="AF113">
        <f t="shared" si="4"/>
        <v>35033</v>
      </c>
      <c r="AG113" s="1">
        <f t="shared" si="5"/>
        <v>41609</v>
      </c>
      <c r="AH113" s="13">
        <f>AE113/AF113</f>
        <v>0.14363600034253418</v>
      </c>
    </row>
    <row r="114" spans="1:34" x14ac:dyDescent="0.25">
      <c r="A114" s="11">
        <v>39995</v>
      </c>
      <c r="B114" s="12">
        <v>74381</v>
      </c>
      <c r="C114" s="12" t="s">
        <v>4</v>
      </c>
      <c r="D114" s="1"/>
      <c r="F114" s="11">
        <v>39539</v>
      </c>
      <c r="G114" s="12">
        <v>6</v>
      </c>
      <c r="H114" s="12" t="s">
        <v>29</v>
      </c>
      <c r="L114" s="3">
        <v>41640</v>
      </c>
      <c r="M114" s="5"/>
      <c r="N114" s="5">
        <v>4513</v>
      </c>
      <c r="O114" s="5">
        <v>35948</v>
      </c>
      <c r="P114" s="5">
        <v>6805</v>
      </c>
      <c r="Q114" s="5"/>
      <c r="R114" s="5">
        <v>47266</v>
      </c>
      <c r="V114" s="3">
        <v>41640</v>
      </c>
      <c r="W114" s="5">
        <v>342</v>
      </c>
      <c r="X114" s="5">
        <v>11847</v>
      </c>
      <c r="Y114" s="5">
        <v>35077</v>
      </c>
      <c r="Z114" s="5">
        <v>47266</v>
      </c>
      <c r="AD114" s="3">
        <v>41640</v>
      </c>
      <c r="AE114">
        <f t="shared" si="3"/>
        <v>4513</v>
      </c>
      <c r="AF114">
        <f t="shared" si="4"/>
        <v>35077</v>
      </c>
      <c r="AG114" s="1">
        <f t="shared" si="5"/>
        <v>41640</v>
      </c>
      <c r="AH114" s="13">
        <f>AE114/AF114</f>
        <v>0.12865980557060183</v>
      </c>
    </row>
    <row r="115" spans="1:34" x14ac:dyDescent="0.25">
      <c r="A115" s="11">
        <v>39995</v>
      </c>
      <c r="B115" s="12">
        <v>6493</v>
      </c>
      <c r="C115" s="12" t="s">
        <v>5</v>
      </c>
      <c r="D115" s="1"/>
      <c r="F115" s="11">
        <v>39569</v>
      </c>
      <c r="G115" s="12">
        <v>90200</v>
      </c>
      <c r="H115" s="12" t="s">
        <v>15</v>
      </c>
      <c r="L115" s="3">
        <v>41671</v>
      </c>
      <c r="M115" s="5"/>
      <c r="N115" s="5">
        <v>4501</v>
      </c>
      <c r="O115" s="5">
        <v>36934</v>
      </c>
      <c r="P115" s="5">
        <v>6672</v>
      </c>
      <c r="Q115" s="5"/>
      <c r="R115" s="5">
        <v>48107</v>
      </c>
      <c r="V115" s="3">
        <v>41671</v>
      </c>
      <c r="W115" s="5">
        <v>309</v>
      </c>
      <c r="X115" s="5">
        <v>12433</v>
      </c>
      <c r="Y115" s="5">
        <v>35365</v>
      </c>
      <c r="Z115" s="5">
        <v>48107</v>
      </c>
      <c r="AD115" s="3">
        <v>41671</v>
      </c>
      <c r="AE115">
        <f t="shared" si="3"/>
        <v>4501</v>
      </c>
      <c r="AF115">
        <f t="shared" si="4"/>
        <v>35365</v>
      </c>
      <c r="AG115" s="1">
        <f t="shared" si="5"/>
        <v>41671</v>
      </c>
      <c r="AH115" s="13">
        <f>AE115/AF115</f>
        <v>0.12727272727272726</v>
      </c>
    </row>
    <row r="116" spans="1:34" x14ac:dyDescent="0.25">
      <c r="A116" s="11">
        <v>39995</v>
      </c>
      <c r="B116" s="12">
        <v>103615</v>
      </c>
      <c r="C116" s="12" t="s">
        <v>2</v>
      </c>
      <c r="D116" s="1"/>
      <c r="F116" s="11">
        <v>39569</v>
      </c>
      <c r="G116" s="12">
        <v>16976</v>
      </c>
      <c r="H116" s="12" t="s">
        <v>16</v>
      </c>
      <c r="L116" s="3">
        <v>41699</v>
      </c>
      <c r="M116" s="5"/>
      <c r="N116" s="5">
        <v>3808</v>
      </c>
      <c r="O116" s="5">
        <v>26620</v>
      </c>
      <c r="P116" s="5">
        <v>4588</v>
      </c>
      <c r="Q116" s="5">
        <v>1</v>
      </c>
      <c r="R116" s="5">
        <v>35017</v>
      </c>
      <c r="V116" s="3">
        <v>41699</v>
      </c>
      <c r="W116" s="5">
        <v>370</v>
      </c>
      <c r="X116" s="5">
        <v>8221</v>
      </c>
      <c r="Y116" s="5">
        <v>26426</v>
      </c>
      <c r="Z116" s="5">
        <v>35017</v>
      </c>
      <c r="AD116" s="3">
        <v>41699</v>
      </c>
      <c r="AE116">
        <f t="shared" si="3"/>
        <v>3808</v>
      </c>
      <c r="AF116">
        <f t="shared" si="4"/>
        <v>26426</v>
      </c>
      <c r="AG116" s="1">
        <f t="shared" si="5"/>
        <v>41699</v>
      </c>
      <c r="AH116" s="13">
        <f>AE116/AF116</f>
        <v>0.14410050707636418</v>
      </c>
    </row>
    <row r="117" spans="1:34" x14ac:dyDescent="0.25">
      <c r="A117" s="11">
        <v>40026</v>
      </c>
      <c r="B117" s="12">
        <v>57964</v>
      </c>
      <c r="C117" s="12" t="s">
        <v>4</v>
      </c>
      <c r="D117" s="1"/>
      <c r="F117" s="11">
        <v>39569</v>
      </c>
      <c r="G117" s="12">
        <v>10</v>
      </c>
      <c r="H117" s="12" t="s">
        <v>29</v>
      </c>
      <c r="L117" s="3">
        <v>41730</v>
      </c>
      <c r="M117" s="5"/>
      <c r="N117" s="5"/>
      <c r="O117" s="5">
        <v>25136</v>
      </c>
      <c r="P117" s="5"/>
      <c r="Q117" s="5">
        <v>7325</v>
      </c>
      <c r="R117" s="5">
        <v>32461</v>
      </c>
      <c r="V117" s="3">
        <v>41730</v>
      </c>
      <c r="W117" s="5">
        <v>356</v>
      </c>
      <c r="X117" s="5">
        <v>8505</v>
      </c>
      <c r="Y117" s="5">
        <v>23600</v>
      </c>
      <c r="Z117" s="5">
        <v>32461</v>
      </c>
      <c r="AD117" s="3">
        <v>41730</v>
      </c>
      <c r="AE117">
        <f t="shared" si="3"/>
        <v>0</v>
      </c>
      <c r="AF117">
        <f t="shared" si="4"/>
        <v>23600</v>
      </c>
      <c r="AG117" s="1">
        <f t="shared" si="5"/>
        <v>41730</v>
      </c>
      <c r="AH117" s="13">
        <f>AE117/AF117</f>
        <v>0</v>
      </c>
    </row>
    <row r="118" spans="1:34" x14ac:dyDescent="0.25">
      <c r="A118" s="11">
        <v>40026</v>
      </c>
      <c r="B118" s="12">
        <v>9314</v>
      </c>
      <c r="C118" s="12" t="s">
        <v>5</v>
      </c>
      <c r="D118" s="1"/>
      <c r="F118" s="11">
        <v>39600</v>
      </c>
      <c r="G118" s="12">
        <v>85802</v>
      </c>
      <c r="H118" s="12" t="s">
        <v>15</v>
      </c>
      <c r="L118" s="3">
        <v>41760</v>
      </c>
      <c r="M118" s="5"/>
      <c r="N118" s="5"/>
      <c r="O118" s="5">
        <v>31556</v>
      </c>
      <c r="P118" s="5"/>
      <c r="Q118" s="5">
        <v>8674</v>
      </c>
      <c r="R118" s="5">
        <v>40230</v>
      </c>
      <c r="V118" s="3">
        <v>41760</v>
      </c>
      <c r="W118" s="5">
        <v>281</v>
      </c>
      <c r="X118" s="5">
        <v>10922</v>
      </c>
      <c r="Y118" s="5">
        <v>29027</v>
      </c>
      <c r="Z118" s="5">
        <v>40230</v>
      </c>
      <c r="AD118" s="3">
        <v>41760</v>
      </c>
      <c r="AE118">
        <f t="shared" si="3"/>
        <v>0</v>
      </c>
      <c r="AF118">
        <f t="shared" si="4"/>
        <v>29027</v>
      </c>
      <c r="AG118" s="1">
        <f t="shared" si="5"/>
        <v>41760</v>
      </c>
      <c r="AH118" s="13">
        <f>AE118/AF118</f>
        <v>0</v>
      </c>
    </row>
    <row r="119" spans="1:34" x14ac:dyDescent="0.25">
      <c r="A119" s="11">
        <v>40026</v>
      </c>
      <c r="B119" s="12">
        <v>101012</v>
      </c>
      <c r="C119" s="12" t="s">
        <v>2</v>
      </c>
      <c r="D119" s="1"/>
      <c r="F119" s="11">
        <v>39600</v>
      </c>
      <c r="G119" s="12">
        <v>18378</v>
      </c>
      <c r="H119" s="12" t="s">
        <v>16</v>
      </c>
      <c r="L119" s="3">
        <v>41791</v>
      </c>
      <c r="M119" s="5"/>
      <c r="N119" s="5"/>
      <c r="O119" s="5">
        <v>32352</v>
      </c>
      <c r="P119" s="5"/>
      <c r="Q119" s="5">
        <v>8516</v>
      </c>
      <c r="R119" s="5">
        <v>40868</v>
      </c>
      <c r="V119" s="3">
        <v>41791</v>
      </c>
      <c r="W119" s="5">
        <v>94</v>
      </c>
      <c r="X119" s="5">
        <v>11991</v>
      </c>
      <c r="Y119" s="5">
        <v>28783</v>
      </c>
      <c r="Z119" s="5">
        <v>40868</v>
      </c>
      <c r="AD119" s="3">
        <v>41791</v>
      </c>
      <c r="AE119">
        <f t="shared" si="3"/>
        <v>0</v>
      </c>
      <c r="AF119">
        <f t="shared" si="4"/>
        <v>28783</v>
      </c>
      <c r="AG119" s="1">
        <f t="shared" si="5"/>
        <v>41791</v>
      </c>
      <c r="AH119" s="13">
        <f>AE119/AF119</f>
        <v>0</v>
      </c>
    </row>
    <row r="120" spans="1:34" x14ac:dyDescent="0.25">
      <c r="A120" s="11">
        <v>40057</v>
      </c>
      <c r="B120" s="12">
        <v>35841</v>
      </c>
      <c r="C120" s="12" t="s">
        <v>4</v>
      </c>
      <c r="D120" s="1"/>
      <c r="F120" s="11">
        <v>39600</v>
      </c>
      <c r="G120" s="12">
        <v>16</v>
      </c>
      <c r="H120" s="12" t="s">
        <v>29</v>
      </c>
      <c r="L120" s="3">
        <v>41821</v>
      </c>
      <c r="M120" s="5"/>
      <c r="N120" s="5"/>
      <c r="O120" s="5">
        <v>33024</v>
      </c>
      <c r="P120" s="5"/>
      <c r="Q120" s="5">
        <v>7944</v>
      </c>
      <c r="R120" s="5">
        <v>40968</v>
      </c>
      <c r="V120" s="3">
        <v>41821</v>
      </c>
      <c r="W120" s="5">
        <v>25</v>
      </c>
      <c r="X120" s="5">
        <v>13489</v>
      </c>
      <c r="Y120" s="5">
        <v>27454</v>
      </c>
      <c r="Z120" s="5">
        <v>40968</v>
      </c>
      <c r="AD120" s="3">
        <v>41821</v>
      </c>
      <c r="AE120">
        <f t="shared" si="3"/>
        <v>0</v>
      </c>
      <c r="AF120">
        <f t="shared" si="4"/>
        <v>27454</v>
      </c>
      <c r="AG120" s="1">
        <f t="shared" si="5"/>
        <v>41821</v>
      </c>
      <c r="AH120" s="13">
        <f>AE120/AF120</f>
        <v>0</v>
      </c>
    </row>
    <row r="121" spans="1:34" x14ac:dyDescent="0.25">
      <c r="A121" s="11">
        <v>40057</v>
      </c>
      <c r="B121" s="12">
        <v>7894</v>
      </c>
      <c r="C121" s="12" t="s">
        <v>5</v>
      </c>
      <c r="D121" s="1"/>
      <c r="F121" s="11">
        <v>39630</v>
      </c>
      <c r="G121" s="12">
        <v>55706</v>
      </c>
      <c r="H121" s="12" t="s">
        <v>15</v>
      </c>
      <c r="L121" s="3">
        <v>41852</v>
      </c>
      <c r="M121" s="5"/>
      <c r="N121" s="5"/>
      <c r="O121" s="5">
        <v>38072</v>
      </c>
      <c r="P121" s="5"/>
      <c r="Q121" s="5">
        <v>9945</v>
      </c>
      <c r="R121" s="5">
        <v>48017</v>
      </c>
      <c r="V121" s="3">
        <v>41852</v>
      </c>
      <c r="W121" s="5"/>
      <c r="X121" s="5">
        <v>16316</v>
      </c>
      <c r="Y121" s="5">
        <v>31701</v>
      </c>
      <c r="Z121" s="5">
        <v>48017</v>
      </c>
      <c r="AD121" s="3">
        <v>41852</v>
      </c>
      <c r="AE121">
        <f t="shared" si="3"/>
        <v>0</v>
      </c>
      <c r="AF121">
        <f t="shared" si="4"/>
        <v>31701</v>
      </c>
      <c r="AG121" s="1">
        <f t="shared" si="5"/>
        <v>41852</v>
      </c>
      <c r="AH121" s="13">
        <f>AE121/AF121</f>
        <v>0</v>
      </c>
    </row>
    <row r="122" spans="1:34" x14ac:dyDescent="0.25">
      <c r="A122" s="11">
        <v>40057</v>
      </c>
      <c r="B122" s="12">
        <v>82529</v>
      </c>
      <c r="C122" s="12" t="s">
        <v>2</v>
      </c>
      <c r="D122" s="1"/>
      <c r="F122" s="11">
        <v>39630</v>
      </c>
      <c r="G122" s="12">
        <v>18979</v>
      </c>
      <c r="H122" s="12" t="s">
        <v>16</v>
      </c>
      <c r="L122" s="3">
        <v>41883</v>
      </c>
      <c r="M122" s="5"/>
      <c r="N122" s="5"/>
      <c r="O122" s="5">
        <v>39712</v>
      </c>
      <c r="P122" s="5"/>
      <c r="Q122" s="5">
        <v>10570</v>
      </c>
      <c r="R122" s="5">
        <v>50282</v>
      </c>
      <c r="V122" s="3">
        <v>41883</v>
      </c>
      <c r="W122" s="5"/>
      <c r="X122" s="5">
        <v>16649</v>
      </c>
      <c r="Y122" s="5">
        <v>33633</v>
      </c>
      <c r="Z122" s="5">
        <v>50282</v>
      </c>
      <c r="AD122" s="3">
        <v>41883</v>
      </c>
      <c r="AE122">
        <f t="shared" si="3"/>
        <v>0</v>
      </c>
      <c r="AF122">
        <f t="shared" si="4"/>
        <v>33633</v>
      </c>
      <c r="AG122" s="1">
        <f t="shared" si="5"/>
        <v>41883</v>
      </c>
      <c r="AH122" s="13">
        <f>AE122/AF122</f>
        <v>0</v>
      </c>
    </row>
    <row r="123" spans="1:34" x14ac:dyDescent="0.25">
      <c r="A123" s="11">
        <v>40087</v>
      </c>
      <c r="B123" s="12">
        <v>19085</v>
      </c>
      <c r="C123" s="12" t="s">
        <v>4</v>
      </c>
      <c r="D123" s="1"/>
      <c r="F123" s="11">
        <v>39630</v>
      </c>
      <c r="G123" s="12">
        <v>25</v>
      </c>
      <c r="H123" s="12" t="s">
        <v>29</v>
      </c>
      <c r="L123" s="3">
        <v>41913</v>
      </c>
      <c r="M123" s="5"/>
      <c r="N123" s="5"/>
      <c r="O123" s="5">
        <v>39108</v>
      </c>
      <c r="P123" s="5"/>
      <c r="Q123" s="5">
        <v>10504</v>
      </c>
      <c r="R123" s="5">
        <v>49612</v>
      </c>
      <c r="V123" s="3">
        <v>41913</v>
      </c>
      <c r="W123" s="5"/>
      <c r="X123" s="5">
        <v>15576</v>
      </c>
      <c r="Y123" s="5">
        <v>34036</v>
      </c>
      <c r="Z123" s="5">
        <v>49612</v>
      </c>
      <c r="AD123" s="3">
        <v>41913</v>
      </c>
      <c r="AE123">
        <f t="shared" si="3"/>
        <v>0</v>
      </c>
      <c r="AF123">
        <f t="shared" si="4"/>
        <v>34036</v>
      </c>
      <c r="AG123" s="1">
        <f t="shared" si="5"/>
        <v>41913</v>
      </c>
      <c r="AH123" s="13">
        <f>AE123/AF123</f>
        <v>0</v>
      </c>
    </row>
    <row r="124" spans="1:34" x14ac:dyDescent="0.25">
      <c r="A124" s="11">
        <v>40087</v>
      </c>
      <c r="B124" s="12">
        <v>6811</v>
      </c>
      <c r="C124" s="12" t="s">
        <v>5</v>
      </c>
      <c r="D124" s="1"/>
      <c r="F124" s="11">
        <v>39661</v>
      </c>
      <c r="G124" s="12">
        <v>43017</v>
      </c>
      <c r="H124" s="12" t="s">
        <v>15</v>
      </c>
      <c r="L124" s="3">
        <v>41944</v>
      </c>
      <c r="M124" s="5"/>
      <c r="N124" s="5"/>
      <c r="O124" s="5">
        <v>38839</v>
      </c>
      <c r="P124" s="5"/>
      <c r="Q124" s="5">
        <v>11170</v>
      </c>
      <c r="R124" s="5">
        <v>50009</v>
      </c>
      <c r="V124" s="3">
        <v>41944</v>
      </c>
      <c r="W124" s="5"/>
      <c r="X124" s="5">
        <v>13986</v>
      </c>
      <c r="Y124" s="5">
        <v>36023</v>
      </c>
      <c r="Z124" s="5">
        <v>50009</v>
      </c>
      <c r="AD124" s="3">
        <v>41944</v>
      </c>
      <c r="AE124">
        <f t="shared" si="3"/>
        <v>0</v>
      </c>
      <c r="AF124">
        <f t="shared" si="4"/>
        <v>36023</v>
      </c>
      <c r="AG124" s="1">
        <f t="shared" si="5"/>
        <v>41944</v>
      </c>
      <c r="AH124" s="13">
        <f>AE124/AF124</f>
        <v>0</v>
      </c>
    </row>
    <row r="125" spans="1:34" x14ac:dyDescent="0.25">
      <c r="A125" s="11">
        <v>40087</v>
      </c>
      <c r="B125" s="12">
        <v>56510</v>
      </c>
      <c r="C125" s="12" t="s">
        <v>2</v>
      </c>
      <c r="D125" s="1"/>
      <c r="F125" s="11">
        <v>39661</v>
      </c>
      <c r="G125" s="12">
        <v>20826</v>
      </c>
      <c r="H125" s="12" t="s">
        <v>16</v>
      </c>
      <c r="L125" s="3">
        <v>41974</v>
      </c>
      <c r="M125" s="5"/>
      <c r="N125" s="5"/>
      <c r="O125" s="5">
        <v>37604</v>
      </c>
      <c r="P125" s="5"/>
      <c r="Q125" s="5">
        <v>11302</v>
      </c>
      <c r="R125" s="5">
        <v>48906</v>
      </c>
      <c r="V125" s="3">
        <v>41974</v>
      </c>
      <c r="W125" s="5"/>
      <c r="X125" s="5">
        <v>13039</v>
      </c>
      <c r="Y125" s="5">
        <v>35867</v>
      </c>
      <c r="Z125" s="5">
        <v>48906</v>
      </c>
      <c r="AD125" s="3">
        <v>41974</v>
      </c>
      <c r="AE125">
        <f t="shared" si="3"/>
        <v>0</v>
      </c>
      <c r="AF125">
        <f t="shared" si="4"/>
        <v>35867</v>
      </c>
      <c r="AG125" s="1">
        <f t="shared" si="5"/>
        <v>41974</v>
      </c>
      <c r="AH125" s="13">
        <f>AE125/AF125</f>
        <v>0</v>
      </c>
    </row>
    <row r="126" spans="1:34" x14ac:dyDescent="0.25">
      <c r="A126" s="11">
        <v>40118</v>
      </c>
      <c r="B126" s="12">
        <v>16527</v>
      </c>
      <c r="C126" s="12" t="s">
        <v>4</v>
      </c>
      <c r="D126" s="1"/>
      <c r="F126" s="11">
        <v>39661</v>
      </c>
      <c r="G126" s="12">
        <v>41</v>
      </c>
      <c r="H126" s="12" t="s">
        <v>29</v>
      </c>
      <c r="L126" s="3">
        <v>42005</v>
      </c>
      <c r="M126" s="5"/>
      <c r="N126" s="5"/>
      <c r="O126" s="5">
        <v>36928</v>
      </c>
      <c r="P126" s="5"/>
      <c r="Q126" s="5">
        <v>13831</v>
      </c>
      <c r="R126" s="5">
        <v>50759</v>
      </c>
      <c r="V126" s="3">
        <v>42005</v>
      </c>
      <c r="W126" s="5"/>
      <c r="X126" s="5">
        <v>10867</v>
      </c>
      <c r="Y126" s="5">
        <v>39892</v>
      </c>
      <c r="Z126" s="5">
        <v>50759</v>
      </c>
      <c r="AD126" s="3">
        <v>42005</v>
      </c>
      <c r="AE126">
        <f t="shared" si="3"/>
        <v>0</v>
      </c>
      <c r="AF126">
        <f t="shared" si="4"/>
        <v>39892</v>
      </c>
      <c r="AG126" s="1">
        <f t="shared" si="5"/>
        <v>42005</v>
      </c>
      <c r="AH126" s="13">
        <f>AE126/AF126</f>
        <v>0</v>
      </c>
    </row>
    <row r="127" spans="1:34" x14ac:dyDescent="0.25">
      <c r="A127" s="11">
        <v>40118</v>
      </c>
      <c r="B127" s="12">
        <v>5916</v>
      </c>
      <c r="C127" s="12" t="s">
        <v>5</v>
      </c>
      <c r="D127" s="1"/>
      <c r="F127" s="11">
        <v>39692</v>
      </c>
      <c r="G127" s="12">
        <v>28620</v>
      </c>
      <c r="H127" s="12" t="s">
        <v>15</v>
      </c>
      <c r="L127" s="3">
        <v>42036</v>
      </c>
      <c r="M127" s="5"/>
      <c r="N127" s="5"/>
      <c r="O127" s="5">
        <v>38773</v>
      </c>
      <c r="P127" s="5"/>
      <c r="Q127" s="5">
        <v>13752</v>
      </c>
      <c r="R127" s="5">
        <v>52525</v>
      </c>
      <c r="V127" s="3">
        <v>42036</v>
      </c>
      <c r="W127" s="5"/>
      <c r="X127" s="5">
        <v>11610</v>
      </c>
      <c r="Y127" s="5">
        <v>40915</v>
      </c>
      <c r="Z127" s="5">
        <v>52525</v>
      </c>
      <c r="AD127" s="3">
        <v>42036</v>
      </c>
      <c r="AE127">
        <f t="shared" si="3"/>
        <v>0</v>
      </c>
      <c r="AF127">
        <f t="shared" si="4"/>
        <v>40915</v>
      </c>
      <c r="AG127" s="1">
        <f t="shared" si="5"/>
        <v>42036</v>
      </c>
      <c r="AH127" s="13">
        <f>AE127/AF127</f>
        <v>0</v>
      </c>
    </row>
    <row r="128" spans="1:34" x14ac:dyDescent="0.25">
      <c r="A128" s="11">
        <v>40118</v>
      </c>
      <c r="B128" s="12">
        <v>51610</v>
      </c>
      <c r="C128" s="12" t="s">
        <v>2</v>
      </c>
      <c r="D128" s="1"/>
      <c r="F128" s="11">
        <v>39692</v>
      </c>
      <c r="G128" s="12">
        <v>18245</v>
      </c>
      <c r="H128" s="12" t="s">
        <v>16</v>
      </c>
      <c r="L128" s="3">
        <v>42064</v>
      </c>
      <c r="M128" s="5"/>
      <c r="N128" s="5"/>
      <c r="O128" s="5">
        <v>35617</v>
      </c>
      <c r="P128" s="5"/>
      <c r="Q128" s="5">
        <v>15828</v>
      </c>
      <c r="R128" s="5">
        <v>51445</v>
      </c>
      <c r="V128" s="3">
        <v>42064</v>
      </c>
      <c r="W128" s="5"/>
      <c r="X128" s="5">
        <v>8387</v>
      </c>
      <c r="Y128" s="5">
        <v>43058</v>
      </c>
      <c r="Z128" s="5">
        <v>51445</v>
      </c>
      <c r="AD128" s="3">
        <v>42064</v>
      </c>
      <c r="AE128">
        <f t="shared" si="3"/>
        <v>0</v>
      </c>
      <c r="AF128">
        <f t="shared" si="4"/>
        <v>43058</v>
      </c>
      <c r="AG128" s="1">
        <f t="shared" si="5"/>
        <v>42064</v>
      </c>
      <c r="AH128" s="13">
        <f>AE128/AF128</f>
        <v>0</v>
      </c>
    </row>
    <row r="129" spans="1:34" x14ac:dyDescent="0.25">
      <c r="A129" s="11">
        <v>40148</v>
      </c>
      <c r="B129" s="12">
        <v>20907</v>
      </c>
      <c r="C129" s="12" t="s">
        <v>4</v>
      </c>
      <c r="D129" s="1"/>
      <c r="F129" s="11">
        <v>39692</v>
      </c>
      <c r="G129" s="12">
        <v>39</v>
      </c>
      <c r="H129" s="12" t="s">
        <v>29</v>
      </c>
      <c r="L129" s="3">
        <v>42095</v>
      </c>
      <c r="M129" s="5"/>
      <c r="N129" s="5"/>
      <c r="O129" s="5">
        <v>44169</v>
      </c>
      <c r="P129" s="5"/>
      <c r="Q129" s="5">
        <v>24093</v>
      </c>
      <c r="R129" s="5">
        <v>68262</v>
      </c>
      <c r="V129" s="3">
        <v>42095</v>
      </c>
      <c r="W129" s="5"/>
      <c r="X129" s="5">
        <v>9362</v>
      </c>
      <c r="Y129" s="5">
        <v>58900</v>
      </c>
      <c r="Z129" s="5">
        <v>68262</v>
      </c>
      <c r="AD129" s="3">
        <v>42095</v>
      </c>
      <c r="AE129">
        <f t="shared" si="3"/>
        <v>0</v>
      </c>
      <c r="AF129">
        <f t="shared" si="4"/>
        <v>58900</v>
      </c>
      <c r="AG129" s="1">
        <f t="shared" si="5"/>
        <v>42095</v>
      </c>
      <c r="AH129" s="13">
        <f>AE129/AF129</f>
        <v>0</v>
      </c>
    </row>
    <row r="130" spans="1:34" x14ac:dyDescent="0.25">
      <c r="A130" s="11">
        <v>40148</v>
      </c>
      <c r="B130" s="12">
        <v>8736</v>
      </c>
      <c r="C130" s="12" t="s">
        <v>5</v>
      </c>
      <c r="D130" s="1"/>
      <c r="F130" s="11">
        <v>39722</v>
      </c>
      <c r="G130" s="12">
        <v>19297</v>
      </c>
      <c r="H130" s="12" t="s">
        <v>15</v>
      </c>
      <c r="L130" s="3">
        <v>42125</v>
      </c>
      <c r="M130" s="5"/>
      <c r="N130" s="5"/>
      <c r="O130" s="5">
        <v>58780</v>
      </c>
      <c r="P130" s="5"/>
      <c r="Q130" s="5">
        <v>26719</v>
      </c>
      <c r="R130" s="5">
        <v>85499</v>
      </c>
      <c r="V130" s="3">
        <v>42125</v>
      </c>
      <c r="W130" s="5"/>
      <c r="X130" s="5">
        <v>13263</v>
      </c>
      <c r="Y130" s="5">
        <v>72236</v>
      </c>
      <c r="Z130" s="5">
        <v>85499</v>
      </c>
      <c r="AD130" s="3">
        <v>42125</v>
      </c>
      <c r="AE130">
        <f t="shared" si="3"/>
        <v>0</v>
      </c>
      <c r="AF130">
        <f t="shared" si="4"/>
        <v>72236</v>
      </c>
      <c r="AG130" s="1">
        <f t="shared" si="5"/>
        <v>42125</v>
      </c>
      <c r="AH130" s="13">
        <f>AE130/AF130</f>
        <v>0</v>
      </c>
    </row>
    <row r="131" spans="1:34" x14ac:dyDescent="0.25">
      <c r="A131" s="11">
        <v>40148</v>
      </c>
      <c r="B131" s="12">
        <v>60132</v>
      </c>
      <c r="C131" s="12" t="s">
        <v>2</v>
      </c>
      <c r="D131" s="1"/>
      <c r="F131" s="11">
        <v>39722</v>
      </c>
      <c r="G131" s="12">
        <v>12793</v>
      </c>
      <c r="H131" s="12" t="s">
        <v>16</v>
      </c>
      <c r="L131" s="3">
        <v>42156</v>
      </c>
      <c r="M131" s="5"/>
      <c r="N131" s="5"/>
      <c r="O131" s="5">
        <v>54620</v>
      </c>
      <c r="P131" s="5"/>
      <c r="Q131" s="5">
        <v>20847</v>
      </c>
      <c r="R131" s="5">
        <v>75467</v>
      </c>
      <c r="V131" s="3">
        <v>42156</v>
      </c>
      <c r="W131" s="5"/>
      <c r="X131" s="5">
        <v>14416</v>
      </c>
      <c r="Y131" s="5">
        <v>61051</v>
      </c>
      <c r="Z131" s="5">
        <v>75467</v>
      </c>
      <c r="AD131" s="3">
        <v>42156</v>
      </c>
      <c r="AE131">
        <f t="shared" si="3"/>
        <v>0</v>
      </c>
      <c r="AF131">
        <f t="shared" si="4"/>
        <v>61051</v>
      </c>
      <c r="AG131" s="1">
        <f t="shared" si="5"/>
        <v>42156</v>
      </c>
      <c r="AH131" s="13">
        <f>AE131/AF131</f>
        <v>0</v>
      </c>
    </row>
    <row r="132" spans="1:34" x14ac:dyDescent="0.25">
      <c r="A132" s="11">
        <v>40179</v>
      </c>
      <c r="B132" s="12">
        <v>21492</v>
      </c>
      <c r="C132" s="12" t="s">
        <v>4</v>
      </c>
      <c r="D132" s="1"/>
      <c r="F132" s="11">
        <v>39722</v>
      </c>
      <c r="G132" s="12">
        <v>48</v>
      </c>
      <c r="H132" s="12" t="s">
        <v>29</v>
      </c>
      <c r="L132" s="3">
        <v>42186</v>
      </c>
      <c r="M132" s="5"/>
      <c r="N132" s="5"/>
      <c r="O132" s="5">
        <v>50424</v>
      </c>
      <c r="P132" s="5"/>
      <c r="Q132" s="5">
        <v>17987</v>
      </c>
      <c r="R132" s="5">
        <v>68411</v>
      </c>
      <c r="V132" s="3">
        <v>42186</v>
      </c>
      <c r="W132" s="5"/>
      <c r="X132" s="5">
        <v>15500</v>
      </c>
      <c r="Y132" s="5">
        <v>52911</v>
      </c>
      <c r="Z132" s="5">
        <v>68411</v>
      </c>
      <c r="AD132" s="3">
        <v>42186</v>
      </c>
      <c r="AE132">
        <f t="shared" si="3"/>
        <v>0</v>
      </c>
      <c r="AF132">
        <f t="shared" si="4"/>
        <v>52911</v>
      </c>
      <c r="AG132" s="1">
        <f t="shared" si="5"/>
        <v>42186</v>
      </c>
      <c r="AH132" s="13">
        <f>AE132/AF132</f>
        <v>0</v>
      </c>
    </row>
    <row r="133" spans="1:34" x14ac:dyDescent="0.25">
      <c r="A133" s="11">
        <v>40179</v>
      </c>
      <c r="B133" s="12">
        <v>11591</v>
      </c>
      <c r="C133" s="12" t="s">
        <v>5</v>
      </c>
      <c r="D133" s="1"/>
      <c r="F133" s="11">
        <v>39753</v>
      </c>
      <c r="G133" s="12">
        <v>24112</v>
      </c>
      <c r="H133" s="12" t="s">
        <v>15</v>
      </c>
      <c r="L133" s="3">
        <v>42217</v>
      </c>
      <c r="M133" s="5"/>
      <c r="N133" s="5"/>
      <c r="O133" s="5">
        <v>51211</v>
      </c>
      <c r="P133" s="5"/>
      <c r="Q133" s="5">
        <v>14250</v>
      </c>
      <c r="R133" s="5">
        <v>65461</v>
      </c>
      <c r="V133" s="3">
        <v>42217</v>
      </c>
      <c r="W133" s="5"/>
      <c r="X133" s="5">
        <v>17225</v>
      </c>
      <c r="Y133" s="5">
        <v>48236</v>
      </c>
      <c r="Z133" s="5">
        <v>65461</v>
      </c>
      <c r="AD133" s="3">
        <v>42217</v>
      </c>
      <c r="AE133">
        <f t="shared" si="3"/>
        <v>0</v>
      </c>
      <c r="AF133">
        <f t="shared" si="4"/>
        <v>48236</v>
      </c>
      <c r="AG133" s="1">
        <f t="shared" si="5"/>
        <v>42217</v>
      </c>
      <c r="AH133" s="13">
        <f>AE133/AF133</f>
        <v>0</v>
      </c>
    </row>
    <row r="134" spans="1:34" x14ac:dyDescent="0.25">
      <c r="A134" s="11">
        <v>40179</v>
      </c>
      <c r="B134" s="12">
        <v>62682</v>
      </c>
      <c r="C134" s="12" t="s">
        <v>2</v>
      </c>
      <c r="D134" s="1"/>
      <c r="F134" s="11">
        <v>39753</v>
      </c>
      <c r="G134" s="12">
        <v>13863</v>
      </c>
      <c r="H134" s="12" t="s">
        <v>16</v>
      </c>
      <c r="L134" s="3">
        <v>42248</v>
      </c>
      <c r="M134" s="5"/>
      <c r="N134" s="5"/>
      <c r="O134" s="5">
        <v>48040</v>
      </c>
      <c r="P134" s="5"/>
      <c r="Q134" s="5">
        <v>11509</v>
      </c>
      <c r="R134" s="5">
        <v>59549</v>
      </c>
      <c r="V134" s="3">
        <v>42248</v>
      </c>
      <c r="W134" s="5"/>
      <c r="X134" s="5">
        <v>17221</v>
      </c>
      <c r="Y134" s="5">
        <v>42328</v>
      </c>
      <c r="Z134" s="5">
        <v>59549</v>
      </c>
      <c r="AD134" s="3">
        <v>42248</v>
      </c>
      <c r="AE134">
        <f t="shared" si="3"/>
        <v>0</v>
      </c>
      <c r="AF134">
        <f t="shared" si="4"/>
        <v>42328</v>
      </c>
      <c r="AG134" s="1">
        <f t="shared" si="5"/>
        <v>42248</v>
      </c>
      <c r="AH134" s="13">
        <f>AE134/AF134</f>
        <v>0</v>
      </c>
    </row>
    <row r="135" spans="1:34" x14ac:dyDescent="0.25">
      <c r="A135" s="11">
        <v>40210</v>
      </c>
      <c r="B135" s="12">
        <v>23284</v>
      </c>
      <c r="C135" s="12" t="s">
        <v>4</v>
      </c>
      <c r="D135" s="1"/>
      <c r="F135" s="11">
        <v>39753</v>
      </c>
      <c r="G135" s="12">
        <v>107</v>
      </c>
      <c r="H135" s="12" t="s">
        <v>29</v>
      </c>
      <c r="L135" s="3">
        <v>42278</v>
      </c>
      <c r="M135" s="5"/>
      <c r="N135" s="5"/>
      <c r="O135" s="5">
        <v>45509</v>
      </c>
      <c r="P135" s="5"/>
      <c r="Q135" s="5">
        <v>10672</v>
      </c>
      <c r="R135" s="5">
        <v>56181</v>
      </c>
      <c r="V135" s="3">
        <v>42278</v>
      </c>
      <c r="W135" s="5"/>
      <c r="X135" s="5">
        <v>16401</v>
      </c>
      <c r="Y135" s="5">
        <v>39780</v>
      </c>
      <c r="Z135" s="5">
        <v>56181</v>
      </c>
      <c r="AD135" s="3">
        <v>42278</v>
      </c>
      <c r="AE135">
        <f t="shared" ref="AE135:AE140" si="6">VLOOKUP(AD135,L:R,3,0)</f>
        <v>0</v>
      </c>
      <c r="AF135">
        <f t="shared" ref="AF135:AF140" si="7">VLOOKUP(AD135,V:Z,4,0) - VLOOKUP(AD135,L:R,2,0)</f>
        <v>39780</v>
      </c>
      <c r="AG135" s="1">
        <f t="shared" ref="AG135:AG140" si="8">AD135</f>
        <v>42278</v>
      </c>
      <c r="AH135" s="13">
        <f>AE135/AF135</f>
        <v>0</v>
      </c>
    </row>
    <row r="136" spans="1:34" x14ac:dyDescent="0.25">
      <c r="A136" s="11">
        <v>40210</v>
      </c>
      <c r="B136" s="12">
        <v>12430</v>
      </c>
      <c r="C136" s="12" t="s">
        <v>5</v>
      </c>
      <c r="D136" s="1"/>
      <c r="F136" s="11">
        <v>39783</v>
      </c>
      <c r="G136" s="12">
        <v>31694</v>
      </c>
      <c r="H136" s="12" t="s">
        <v>15</v>
      </c>
      <c r="L136" s="3">
        <v>42309</v>
      </c>
      <c r="M136" s="5"/>
      <c r="N136" s="5"/>
      <c r="O136" s="5">
        <v>46090</v>
      </c>
      <c r="P136" s="5"/>
      <c r="Q136" s="5">
        <v>11546</v>
      </c>
      <c r="R136" s="5">
        <v>57636</v>
      </c>
      <c r="V136" s="3">
        <v>42309</v>
      </c>
      <c r="W136" s="5"/>
      <c r="X136" s="5">
        <v>15285</v>
      </c>
      <c r="Y136" s="5">
        <v>42351</v>
      </c>
      <c r="Z136" s="5">
        <v>57636</v>
      </c>
      <c r="AD136" s="3">
        <v>42309</v>
      </c>
      <c r="AE136">
        <f t="shared" si="6"/>
        <v>0</v>
      </c>
      <c r="AF136">
        <f t="shared" si="7"/>
        <v>42351</v>
      </c>
      <c r="AG136" s="1">
        <f t="shared" si="8"/>
        <v>42309</v>
      </c>
      <c r="AH136" s="13">
        <f>AE136/AF136</f>
        <v>0</v>
      </c>
    </row>
    <row r="137" spans="1:34" x14ac:dyDescent="0.25">
      <c r="A137" s="11">
        <v>40210</v>
      </c>
      <c r="B137" s="12">
        <v>67424</v>
      </c>
      <c r="C137" s="12" t="s">
        <v>2</v>
      </c>
      <c r="D137" s="1"/>
      <c r="F137" s="11">
        <v>39783</v>
      </c>
      <c r="G137" s="12">
        <v>12939</v>
      </c>
      <c r="H137" s="12" t="s">
        <v>16</v>
      </c>
      <c r="L137" s="3">
        <v>42339</v>
      </c>
      <c r="M137" s="5"/>
      <c r="N137" s="5"/>
      <c r="O137" s="5">
        <v>45232</v>
      </c>
      <c r="P137" s="5"/>
      <c r="Q137" s="5">
        <v>11998</v>
      </c>
      <c r="R137" s="5">
        <v>57230</v>
      </c>
      <c r="V137" s="3">
        <v>42339</v>
      </c>
      <c r="W137" s="5"/>
      <c r="X137" s="5">
        <v>13810</v>
      </c>
      <c r="Y137" s="5">
        <v>43420</v>
      </c>
      <c r="Z137" s="5">
        <v>57230</v>
      </c>
      <c r="AD137" s="3">
        <v>42339</v>
      </c>
      <c r="AE137">
        <f t="shared" si="6"/>
        <v>0</v>
      </c>
      <c r="AF137">
        <f t="shared" si="7"/>
        <v>43420</v>
      </c>
      <c r="AG137" s="1">
        <f t="shared" si="8"/>
        <v>42339</v>
      </c>
      <c r="AH137" s="13">
        <f>AE137/AF137</f>
        <v>0</v>
      </c>
    </row>
    <row r="138" spans="1:34" x14ac:dyDescent="0.25">
      <c r="A138" s="11">
        <v>40238</v>
      </c>
      <c r="B138" s="12">
        <v>19500</v>
      </c>
      <c r="C138" s="12" t="s">
        <v>4</v>
      </c>
      <c r="D138" s="1"/>
      <c r="F138" s="11">
        <v>39783</v>
      </c>
      <c r="G138" s="12">
        <v>164</v>
      </c>
      <c r="H138" s="12" t="s">
        <v>29</v>
      </c>
      <c r="L138" s="3">
        <v>42370</v>
      </c>
      <c r="M138" s="5"/>
      <c r="N138" s="5"/>
      <c r="O138" s="5">
        <v>36984</v>
      </c>
      <c r="P138" s="5"/>
      <c r="Q138" s="5">
        <v>10535</v>
      </c>
      <c r="R138" s="5">
        <v>47519</v>
      </c>
      <c r="V138" s="3">
        <v>42370</v>
      </c>
      <c r="W138" s="5"/>
      <c r="X138" s="5">
        <v>10624</v>
      </c>
      <c r="Y138" s="5">
        <v>36895</v>
      </c>
      <c r="Z138" s="5">
        <v>47519</v>
      </c>
      <c r="AD138" s="3">
        <v>42370</v>
      </c>
      <c r="AE138">
        <f t="shared" si="6"/>
        <v>0</v>
      </c>
      <c r="AF138">
        <f t="shared" si="7"/>
        <v>36895</v>
      </c>
      <c r="AG138" s="1">
        <f t="shared" si="8"/>
        <v>42370</v>
      </c>
      <c r="AH138" s="13">
        <f>AE138/AF138</f>
        <v>0</v>
      </c>
    </row>
    <row r="139" spans="1:34" x14ac:dyDescent="0.25">
      <c r="A139" s="11">
        <v>40238</v>
      </c>
      <c r="B139" s="12">
        <v>11337</v>
      </c>
      <c r="C139" s="12" t="s">
        <v>5</v>
      </c>
      <c r="D139" s="1"/>
      <c r="F139" s="11">
        <v>39814</v>
      </c>
      <c r="G139" s="12">
        <v>15941</v>
      </c>
      <c r="H139" s="12" t="s">
        <v>15</v>
      </c>
      <c r="L139" s="3">
        <v>42401</v>
      </c>
      <c r="M139" s="5"/>
      <c r="N139" s="5"/>
      <c r="O139" s="5">
        <v>25348</v>
      </c>
      <c r="P139" s="5"/>
      <c r="Q139" s="5">
        <v>6239</v>
      </c>
      <c r="R139" s="5">
        <v>31587</v>
      </c>
      <c r="V139" s="3">
        <v>42401</v>
      </c>
      <c r="W139" s="5"/>
      <c r="X139" s="5">
        <v>7165</v>
      </c>
      <c r="Y139" s="5">
        <v>24422</v>
      </c>
      <c r="Z139" s="5">
        <v>31587</v>
      </c>
      <c r="AD139" s="3">
        <v>42401</v>
      </c>
      <c r="AE139">
        <f t="shared" si="6"/>
        <v>0</v>
      </c>
      <c r="AF139">
        <f t="shared" si="7"/>
        <v>24422</v>
      </c>
      <c r="AG139" s="1">
        <f t="shared" si="8"/>
        <v>42401</v>
      </c>
      <c r="AH139" s="13">
        <f>AE139/AF139</f>
        <v>0</v>
      </c>
    </row>
    <row r="140" spans="1:34" x14ac:dyDescent="0.25">
      <c r="A140" s="11">
        <v>40238</v>
      </c>
      <c r="B140" s="12">
        <v>59173</v>
      </c>
      <c r="C140" s="12" t="s">
        <v>2</v>
      </c>
      <c r="D140" s="1"/>
      <c r="F140" s="11">
        <v>39814</v>
      </c>
      <c r="G140" s="12">
        <v>8606</v>
      </c>
      <c r="H140" s="12" t="s">
        <v>16</v>
      </c>
      <c r="L140" s="3">
        <v>42430</v>
      </c>
      <c r="M140" s="5"/>
      <c r="N140" s="5"/>
      <c r="O140" s="5">
        <v>1077</v>
      </c>
      <c r="P140" s="5"/>
      <c r="Q140" s="5">
        <v>426</v>
      </c>
      <c r="R140" s="5">
        <v>1503</v>
      </c>
      <c r="V140" s="3">
        <v>42430</v>
      </c>
      <c r="W140" s="5"/>
      <c r="X140" s="5">
        <v>257</v>
      </c>
      <c r="Y140" s="5">
        <v>1246</v>
      </c>
      <c r="Z140" s="5">
        <v>1503</v>
      </c>
      <c r="AD140" s="3">
        <v>42430</v>
      </c>
      <c r="AE140">
        <f t="shared" si="6"/>
        <v>0</v>
      </c>
      <c r="AF140">
        <f t="shared" si="7"/>
        <v>1246</v>
      </c>
      <c r="AG140" s="1">
        <f t="shared" si="8"/>
        <v>42430</v>
      </c>
      <c r="AH140" s="13">
        <f>AE140/AF140</f>
        <v>0</v>
      </c>
    </row>
    <row r="141" spans="1:34" x14ac:dyDescent="0.25">
      <c r="A141" s="11">
        <v>40269</v>
      </c>
      <c r="B141" s="12">
        <v>13820</v>
      </c>
      <c r="C141" s="12" t="s">
        <v>4</v>
      </c>
      <c r="D141" s="1"/>
      <c r="F141" s="11">
        <v>39814</v>
      </c>
      <c r="G141" s="12">
        <v>215</v>
      </c>
      <c r="H141" s="12" t="s">
        <v>29</v>
      </c>
      <c r="L141" s="3" t="s">
        <v>9</v>
      </c>
      <c r="M141" s="5">
        <v>735012</v>
      </c>
      <c r="N141" s="5">
        <v>589907</v>
      </c>
      <c r="O141" s="5">
        <v>7110567</v>
      </c>
      <c r="P141" s="5">
        <v>1180095</v>
      </c>
      <c r="Q141" s="5">
        <v>296183</v>
      </c>
      <c r="R141" s="5">
        <v>9911764</v>
      </c>
      <c r="V141" s="3" t="s">
        <v>9</v>
      </c>
      <c r="W141" s="5">
        <v>39081</v>
      </c>
      <c r="X141" s="5">
        <v>1721288</v>
      </c>
      <c r="Y141" s="5">
        <v>8151395</v>
      </c>
      <c r="Z141" s="5">
        <v>9911764</v>
      </c>
    </row>
    <row r="142" spans="1:34" x14ac:dyDescent="0.25">
      <c r="A142" s="11">
        <v>40269</v>
      </c>
      <c r="B142" s="12">
        <v>7398</v>
      </c>
      <c r="C142" s="12" t="s">
        <v>5</v>
      </c>
      <c r="D142" s="1"/>
      <c r="F142" s="11">
        <v>39845</v>
      </c>
      <c r="G142" s="12">
        <v>48863</v>
      </c>
      <c r="H142" s="12" t="s">
        <v>15</v>
      </c>
    </row>
    <row r="143" spans="1:34" x14ac:dyDescent="0.25">
      <c r="A143" s="11">
        <v>40269</v>
      </c>
      <c r="B143" s="12">
        <v>50529</v>
      </c>
      <c r="C143" s="12" t="s">
        <v>2</v>
      </c>
      <c r="D143" s="1"/>
      <c r="F143" s="11">
        <v>39845</v>
      </c>
      <c r="G143" s="12">
        <v>12000</v>
      </c>
      <c r="H143" s="12" t="s">
        <v>16</v>
      </c>
    </row>
    <row r="144" spans="1:34" x14ac:dyDescent="0.25">
      <c r="A144" s="11">
        <v>40299</v>
      </c>
      <c r="B144" s="12">
        <v>12898</v>
      </c>
      <c r="C144" s="12" t="s">
        <v>4</v>
      </c>
      <c r="D144" s="1"/>
      <c r="F144" s="11">
        <v>39845</v>
      </c>
      <c r="G144" s="12">
        <v>204</v>
      </c>
      <c r="H144" s="12" t="s">
        <v>29</v>
      </c>
    </row>
    <row r="145" spans="1:8" x14ac:dyDescent="0.25">
      <c r="A145" s="11">
        <v>40299</v>
      </c>
      <c r="B145" s="12">
        <v>9296</v>
      </c>
      <c r="C145" s="12" t="s">
        <v>5</v>
      </c>
      <c r="D145" s="1"/>
      <c r="F145" s="11">
        <v>39873</v>
      </c>
      <c r="G145" s="12">
        <v>118504</v>
      </c>
      <c r="H145" s="12" t="s">
        <v>15</v>
      </c>
    </row>
    <row r="146" spans="1:8" x14ac:dyDescent="0.25">
      <c r="A146" s="11">
        <v>40299</v>
      </c>
      <c r="B146" s="12">
        <v>58462</v>
      </c>
      <c r="C146" s="12" t="s">
        <v>2</v>
      </c>
      <c r="D146" s="1"/>
      <c r="F146" s="11">
        <v>39873</v>
      </c>
      <c r="G146" s="12">
        <v>7878</v>
      </c>
      <c r="H146" s="12" t="s">
        <v>16</v>
      </c>
    </row>
    <row r="147" spans="1:8" x14ac:dyDescent="0.25">
      <c r="A147" s="11">
        <v>40330</v>
      </c>
      <c r="B147" s="12">
        <v>11055</v>
      </c>
      <c r="C147" s="12" t="s">
        <v>4</v>
      </c>
      <c r="D147" s="1"/>
      <c r="F147" s="11">
        <v>39873</v>
      </c>
      <c r="G147" s="12">
        <v>256</v>
      </c>
      <c r="H147" s="12" t="s">
        <v>29</v>
      </c>
    </row>
    <row r="148" spans="1:8" x14ac:dyDescent="0.25">
      <c r="A148" s="11">
        <v>40330</v>
      </c>
      <c r="B148" s="12">
        <v>8659</v>
      </c>
      <c r="C148" s="12" t="s">
        <v>5</v>
      </c>
      <c r="D148" s="1"/>
      <c r="F148" s="11">
        <v>39904</v>
      </c>
      <c r="G148" s="12">
        <v>164658</v>
      </c>
      <c r="H148" s="12" t="s">
        <v>15</v>
      </c>
    </row>
    <row r="149" spans="1:8" x14ac:dyDescent="0.25">
      <c r="A149" s="11">
        <v>40330</v>
      </c>
      <c r="B149" s="12">
        <v>55179</v>
      </c>
      <c r="C149" s="12" t="s">
        <v>2</v>
      </c>
      <c r="D149" s="1"/>
      <c r="F149" s="11">
        <v>39904</v>
      </c>
      <c r="G149" s="12">
        <v>8752</v>
      </c>
      <c r="H149" s="12" t="s">
        <v>16</v>
      </c>
    </row>
    <row r="150" spans="1:8" x14ac:dyDescent="0.25">
      <c r="A150" s="11">
        <v>40360</v>
      </c>
      <c r="B150" s="12">
        <v>9008</v>
      </c>
      <c r="C150" s="12" t="s">
        <v>4</v>
      </c>
      <c r="D150" s="1"/>
      <c r="F150" s="11">
        <v>39904</v>
      </c>
      <c r="G150" s="12">
        <v>234</v>
      </c>
      <c r="H150" s="12" t="s">
        <v>29</v>
      </c>
    </row>
    <row r="151" spans="1:8" x14ac:dyDescent="0.25">
      <c r="A151" s="11">
        <v>40360</v>
      </c>
      <c r="B151" s="12">
        <v>6860</v>
      </c>
      <c r="C151" s="12" t="s">
        <v>5</v>
      </c>
      <c r="D151" s="1"/>
      <c r="F151" s="11">
        <v>39934</v>
      </c>
      <c r="G151" s="12">
        <v>173044</v>
      </c>
      <c r="H151" s="12" t="s">
        <v>15</v>
      </c>
    </row>
    <row r="152" spans="1:8" x14ac:dyDescent="0.25">
      <c r="A152" s="11">
        <v>40360</v>
      </c>
      <c r="B152" s="12">
        <v>50705</v>
      </c>
      <c r="C152" s="12" t="s">
        <v>2</v>
      </c>
      <c r="D152" s="1"/>
      <c r="F152" s="11">
        <v>39934</v>
      </c>
      <c r="G152" s="12">
        <v>11989</v>
      </c>
      <c r="H152" s="12" t="s">
        <v>16</v>
      </c>
    </row>
    <row r="153" spans="1:8" x14ac:dyDescent="0.25">
      <c r="A153" s="11">
        <v>40391</v>
      </c>
      <c r="B153" s="12">
        <v>12367</v>
      </c>
      <c r="C153" s="12" t="s">
        <v>4</v>
      </c>
      <c r="D153" s="1"/>
      <c r="F153" s="11">
        <v>39934</v>
      </c>
      <c r="G153" s="12">
        <v>132</v>
      </c>
      <c r="H153" s="12" t="s">
        <v>29</v>
      </c>
    </row>
    <row r="154" spans="1:8" x14ac:dyDescent="0.25">
      <c r="A154" s="11">
        <v>40391</v>
      </c>
      <c r="B154" s="12">
        <v>10578</v>
      </c>
      <c r="C154" s="12" t="s">
        <v>5</v>
      </c>
      <c r="D154" s="1"/>
      <c r="F154" s="11">
        <v>39965</v>
      </c>
      <c r="G154" s="12">
        <v>165972</v>
      </c>
      <c r="H154" s="12" t="s">
        <v>15</v>
      </c>
    </row>
    <row r="155" spans="1:8" x14ac:dyDescent="0.25">
      <c r="A155" s="11">
        <v>40391</v>
      </c>
      <c r="B155" s="12">
        <v>56299</v>
      </c>
      <c r="C155" s="12" t="s">
        <v>2</v>
      </c>
      <c r="D155" s="1"/>
      <c r="F155" s="11">
        <v>39965</v>
      </c>
      <c r="G155" s="12">
        <v>11449</v>
      </c>
      <c r="H155" s="12" t="s">
        <v>16</v>
      </c>
    </row>
    <row r="156" spans="1:8" x14ac:dyDescent="0.25">
      <c r="A156" s="11">
        <v>40422</v>
      </c>
      <c r="B156" s="12">
        <v>16964</v>
      </c>
      <c r="C156" s="12" t="s">
        <v>4</v>
      </c>
      <c r="D156" s="1"/>
      <c r="F156" s="11">
        <v>39965</v>
      </c>
      <c r="G156" s="12">
        <v>128</v>
      </c>
      <c r="H156" s="12" t="s">
        <v>29</v>
      </c>
    </row>
    <row r="157" spans="1:8" x14ac:dyDescent="0.25">
      <c r="A157" s="11">
        <v>40422</v>
      </c>
      <c r="B157" s="12">
        <v>14744</v>
      </c>
      <c r="C157" s="12" t="s">
        <v>5</v>
      </c>
      <c r="D157" s="1"/>
      <c r="F157" s="11">
        <v>39995</v>
      </c>
      <c r="G157" s="12">
        <v>171300</v>
      </c>
      <c r="H157" s="12" t="s">
        <v>15</v>
      </c>
    </row>
    <row r="158" spans="1:8" x14ac:dyDescent="0.25">
      <c r="A158" s="11">
        <v>40422</v>
      </c>
      <c r="B158" s="12">
        <v>60739</v>
      </c>
      <c r="C158" s="12" t="s">
        <v>2</v>
      </c>
      <c r="D158" s="1"/>
      <c r="F158" s="11">
        <v>39995</v>
      </c>
      <c r="G158" s="12">
        <v>13101</v>
      </c>
      <c r="H158" s="12" t="s">
        <v>16</v>
      </c>
    </row>
    <row r="159" spans="1:8" x14ac:dyDescent="0.25">
      <c r="A159" s="11">
        <v>40452</v>
      </c>
      <c r="B159" s="12">
        <v>23115</v>
      </c>
      <c r="C159" s="12" t="s">
        <v>4</v>
      </c>
      <c r="D159" s="1"/>
      <c r="F159" s="11">
        <v>39995</v>
      </c>
      <c r="G159" s="12">
        <v>88</v>
      </c>
      <c r="H159" s="12" t="s">
        <v>29</v>
      </c>
    </row>
    <row r="160" spans="1:8" x14ac:dyDescent="0.25">
      <c r="A160" s="11">
        <v>40452</v>
      </c>
      <c r="B160" s="12">
        <v>17921</v>
      </c>
      <c r="C160" s="12" t="s">
        <v>5</v>
      </c>
      <c r="D160" s="1"/>
      <c r="F160" s="11">
        <v>40026</v>
      </c>
      <c r="G160" s="12">
        <v>151024</v>
      </c>
      <c r="H160" s="12" t="s">
        <v>15</v>
      </c>
    </row>
    <row r="161" spans="1:8" x14ac:dyDescent="0.25">
      <c r="A161" s="11">
        <v>40452</v>
      </c>
      <c r="B161" s="12">
        <v>80075</v>
      </c>
      <c r="C161" s="12" t="s">
        <v>2</v>
      </c>
      <c r="D161" s="1"/>
      <c r="F161" s="11">
        <v>40026</v>
      </c>
      <c r="G161" s="12">
        <v>17144</v>
      </c>
      <c r="H161" s="12" t="s">
        <v>16</v>
      </c>
    </row>
    <row r="162" spans="1:8" x14ac:dyDescent="0.25">
      <c r="A162" s="11">
        <v>40483</v>
      </c>
      <c r="B162" s="12">
        <v>23391</v>
      </c>
      <c r="C162" s="12" t="s">
        <v>4</v>
      </c>
      <c r="D162" s="1"/>
      <c r="F162" s="11">
        <v>40026</v>
      </c>
      <c r="G162" s="12">
        <v>122</v>
      </c>
      <c r="H162" s="12" t="s">
        <v>29</v>
      </c>
    </row>
    <row r="163" spans="1:8" x14ac:dyDescent="0.25">
      <c r="A163" s="11">
        <v>40483</v>
      </c>
      <c r="B163" s="12">
        <v>21714</v>
      </c>
      <c r="C163" s="12" t="s">
        <v>5</v>
      </c>
      <c r="D163" s="1"/>
      <c r="F163" s="11">
        <v>40057</v>
      </c>
      <c r="G163" s="12">
        <v>107492</v>
      </c>
      <c r="H163" s="12" t="s">
        <v>15</v>
      </c>
    </row>
    <row r="164" spans="1:8" x14ac:dyDescent="0.25">
      <c r="A164" s="11">
        <v>40483</v>
      </c>
      <c r="B164" s="12">
        <v>89752</v>
      </c>
      <c r="C164" s="12" t="s">
        <v>2</v>
      </c>
      <c r="D164" s="1"/>
      <c r="F164" s="11">
        <v>40057</v>
      </c>
      <c r="G164" s="12">
        <v>18641</v>
      </c>
      <c r="H164" s="12" t="s">
        <v>16</v>
      </c>
    </row>
    <row r="165" spans="1:8" x14ac:dyDescent="0.25">
      <c r="A165" s="11">
        <v>40513</v>
      </c>
      <c r="B165" s="12">
        <v>26577</v>
      </c>
      <c r="C165" s="12" t="s">
        <v>4</v>
      </c>
      <c r="D165" s="1"/>
      <c r="F165" s="11">
        <v>40057</v>
      </c>
      <c r="G165" s="12">
        <v>131</v>
      </c>
      <c r="H165" s="12" t="s">
        <v>29</v>
      </c>
    </row>
    <row r="166" spans="1:8" x14ac:dyDescent="0.25">
      <c r="A166" s="11">
        <v>40513</v>
      </c>
      <c r="B166" s="12">
        <v>24778</v>
      </c>
      <c r="C166" s="12" t="s">
        <v>5</v>
      </c>
      <c r="D166" s="1"/>
      <c r="F166" s="11">
        <v>40087</v>
      </c>
      <c r="G166" s="12">
        <v>67176</v>
      </c>
      <c r="H166" s="12" t="s">
        <v>15</v>
      </c>
    </row>
    <row r="167" spans="1:8" x14ac:dyDescent="0.25">
      <c r="A167" s="11">
        <v>40513</v>
      </c>
      <c r="B167" s="12">
        <v>95728</v>
      </c>
      <c r="C167" s="12" t="s">
        <v>2</v>
      </c>
      <c r="D167" s="1"/>
      <c r="F167" s="11">
        <v>40087</v>
      </c>
      <c r="G167" s="12">
        <v>15085</v>
      </c>
      <c r="H167" s="12" t="s">
        <v>16</v>
      </c>
    </row>
    <row r="168" spans="1:8" x14ac:dyDescent="0.25">
      <c r="A168" s="11">
        <v>40544</v>
      </c>
      <c r="B168" s="12">
        <v>25842</v>
      </c>
      <c r="C168" s="12" t="s">
        <v>4</v>
      </c>
      <c r="D168" s="1"/>
      <c r="F168" s="11">
        <v>40087</v>
      </c>
      <c r="G168" s="12">
        <v>145</v>
      </c>
      <c r="H168" s="12" t="s">
        <v>29</v>
      </c>
    </row>
    <row r="169" spans="1:8" x14ac:dyDescent="0.25">
      <c r="A169" s="11">
        <v>40544</v>
      </c>
      <c r="B169" s="12">
        <v>24580</v>
      </c>
      <c r="C169" s="12" t="s">
        <v>5</v>
      </c>
      <c r="D169" s="1"/>
      <c r="F169" s="11">
        <v>40118</v>
      </c>
      <c r="G169" s="12">
        <v>59452</v>
      </c>
      <c r="H169" s="12" t="s">
        <v>15</v>
      </c>
    </row>
    <row r="170" spans="1:8" x14ac:dyDescent="0.25">
      <c r="A170" s="11">
        <v>40544</v>
      </c>
      <c r="B170" s="12">
        <v>89117</v>
      </c>
      <c r="C170" s="12" t="s">
        <v>2</v>
      </c>
      <c r="D170" s="1"/>
      <c r="F170" s="11">
        <v>40118</v>
      </c>
      <c r="G170" s="12">
        <v>14480</v>
      </c>
      <c r="H170" s="12" t="s">
        <v>16</v>
      </c>
    </row>
    <row r="171" spans="1:8" x14ac:dyDescent="0.25">
      <c r="A171" s="11">
        <v>40575</v>
      </c>
      <c r="B171" s="12">
        <v>23639</v>
      </c>
      <c r="C171" s="12" t="s">
        <v>4</v>
      </c>
      <c r="D171" s="1"/>
      <c r="F171" s="11">
        <v>40118</v>
      </c>
      <c r="G171" s="12">
        <v>121</v>
      </c>
      <c r="H171" s="12" t="s">
        <v>29</v>
      </c>
    </row>
    <row r="172" spans="1:8" x14ac:dyDescent="0.25">
      <c r="A172" s="11">
        <v>40575</v>
      </c>
      <c r="B172" s="12">
        <v>18794</v>
      </c>
      <c r="C172" s="12" t="s">
        <v>5</v>
      </c>
      <c r="D172" s="1"/>
      <c r="F172" s="11">
        <v>40148</v>
      </c>
      <c r="G172" s="12">
        <v>74550</v>
      </c>
      <c r="H172" s="12" t="s">
        <v>15</v>
      </c>
    </row>
    <row r="173" spans="1:8" x14ac:dyDescent="0.25">
      <c r="A173" s="11">
        <v>40575</v>
      </c>
      <c r="B173" s="12">
        <v>81424</v>
      </c>
      <c r="C173" s="12" t="s">
        <v>2</v>
      </c>
      <c r="D173" s="1"/>
      <c r="F173" s="11">
        <v>40148</v>
      </c>
      <c r="G173" s="12">
        <v>15076</v>
      </c>
      <c r="H173" s="12" t="s">
        <v>16</v>
      </c>
    </row>
    <row r="174" spans="1:8" x14ac:dyDescent="0.25">
      <c r="A174" s="11">
        <v>40603</v>
      </c>
      <c r="B174" s="12">
        <v>15488</v>
      </c>
      <c r="C174" s="12" t="s">
        <v>4</v>
      </c>
      <c r="D174" s="1"/>
      <c r="F174" s="11">
        <v>40148</v>
      </c>
      <c r="G174" s="12">
        <v>149</v>
      </c>
      <c r="H174" s="12" t="s">
        <v>29</v>
      </c>
    </row>
    <row r="175" spans="1:8" x14ac:dyDescent="0.25">
      <c r="A175" s="11">
        <v>40603</v>
      </c>
      <c r="B175" s="12">
        <v>16236</v>
      </c>
      <c r="C175" s="12" t="s">
        <v>5</v>
      </c>
      <c r="D175" s="1"/>
      <c r="F175" s="11">
        <v>40179</v>
      </c>
      <c r="G175" s="12">
        <v>81495</v>
      </c>
      <c r="H175" s="12" t="s">
        <v>15</v>
      </c>
    </row>
    <row r="176" spans="1:8" x14ac:dyDescent="0.25">
      <c r="A176" s="11">
        <v>40603</v>
      </c>
      <c r="B176" s="12">
        <v>65115</v>
      </c>
      <c r="C176" s="12" t="s">
        <v>2</v>
      </c>
      <c r="D176" s="1"/>
      <c r="F176" s="11">
        <v>40179</v>
      </c>
      <c r="G176" s="12">
        <v>14109</v>
      </c>
      <c r="H176" s="12" t="s">
        <v>16</v>
      </c>
    </row>
    <row r="177" spans="1:8" x14ac:dyDescent="0.25">
      <c r="A177" s="11">
        <v>40634</v>
      </c>
      <c r="B177" s="12">
        <v>8629</v>
      </c>
      <c r="C177" s="12" t="s">
        <v>4</v>
      </c>
      <c r="D177" s="1"/>
      <c r="F177" s="11">
        <v>40179</v>
      </c>
      <c r="G177" s="12">
        <v>161</v>
      </c>
      <c r="H177" s="12" t="s">
        <v>29</v>
      </c>
    </row>
    <row r="178" spans="1:8" x14ac:dyDescent="0.25">
      <c r="A178" s="11">
        <v>40634</v>
      </c>
      <c r="B178" s="12">
        <v>10056</v>
      </c>
      <c r="C178" s="12" t="s">
        <v>5</v>
      </c>
      <c r="D178" s="1"/>
      <c r="F178" s="11">
        <v>40210</v>
      </c>
      <c r="G178" s="12">
        <v>89001</v>
      </c>
      <c r="H178" s="12" t="s">
        <v>15</v>
      </c>
    </row>
    <row r="179" spans="1:8" x14ac:dyDescent="0.25">
      <c r="A179" s="11">
        <v>40634</v>
      </c>
      <c r="B179" s="12">
        <v>46361</v>
      </c>
      <c r="C179" s="12" t="s">
        <v>2</v>
      </c>
      <c r="D179" s="1"/>
      <c r="F179" s="11">
        <v>40210</v>
      </c>
      <c r="G179" s="12">
        <v>12433</v>
      </c>
      <c r="H179" s="12" t="s">
        <v>16</v>
      </c>
    </row>
    <row r="180" spans="1:8" x14ac:dyDescent="0.25">
      <c r="A180" s="11">
        <v>40664</v>
      </c>
      <c r="B180" s="12">
        <v>7318</v>
      </c>
      <c r="C180" s="12" t="s">
        <v>4</v>
      </c>
      <c r="D180" s="1"/>
      <c r="F180" s="11">
        <v>40210</v>
      </c>
      <c r="G180" s="12">
        <v>1704</v>
      </c>
      <c r="H180" s="12" t="s">
        <v>29</v>
      </c>
    </row>
    <row r="181" spans="1:8" x14ac:dyDescent="0.25">
      <c r="A181" s="11">
        <v>40664</v>
      </c>
      <c r="B181" s="12">
        <v>6737</v>
      </c>
      <c r="C181" s="12" t="s">
        <v>5</v>
      </c>
      <c r="D181" s="1"/>
      <c r="F181" s="11">
        <v>40238</v>
      </c>
      <c r="G181" s="12">
        <v>79174</v>
      </c>
      <c r="H181" s="12" t="s">
        <v>15</v>
      </c>
    </row>
    <row r="182" spans="1:8" x14ac:dyDescent="0.25">
      <c r="A182" s="11">
        <v>40664</v>
      </c>
      <c r="B182" s="12">
        <v>45179</v>
      </c>
      <c r="C182" s="12" t="s">
        <v>2</v>
      </c>
      <c r="D182" s="1"/>
      <c r="F182" s="11">
        <v>40238</v>
      </c>
      <c r="G182" s="12">
        <v>9299</v>
      </c>
      <c r="H182" s="12" t="s">
        <v>16</v>
      </c>
    </row>
    <row r="183" spans="1:8" x14ac:dyDescent="0.25">
      <c r="A183" s="11">
        <v>40695</v>
      </c>
      <c r="B183" s="12">
        <v>5797</v>
      </c>
      <c r="C183" s="12" t="s">
        <v>4</v>
      </c>
      <c r="D183" s="1"/>
      <c r="F183" s="11">
        <v>40238</v>
      </c>
      <c r="G183" s="12">
        <v>1537</v>
      </c>
      <c r="H183" s="12" t="s">
        <v>29</v>
      </c>
    </row>
    <row r="184" spans="1:8" x14ac:dyDescent="0.25">
      <c r="A184" s="11">
        <v>40695</v>
      </c>
      <c r="B184" s="12">
        <v>6499</v>
      </c>
      <c r="C184" s="12" t="s">
        <v>5</v>
      </c>
      <c r="D184" s="1"/>
      <c r="F184" s="11">
        <v>40269</v>
      </c>
      <c r="G184" s="12">
        <v>60336</v>
      </c>
      <c r="H184" s="12" t="s">
        <v>15</v>
      </c>
    </row>
    <row r="185" spans="1:8" x14ac:dyDescent="0.25">
      <c r="A185" s="11">
        <v>40695</v>
      </c>
      <c r="B185" s="12">
        <v>40105</v>
      </c>
      <c r="C185" s="12" t="s">
        <v>2</v>
      </c>
      <c r="D185" s="1"/>
      <c r="F185" s="11">
        <v>40269</v>
      </c>
      <c r="G185" s="12">
        <v>9969</v>
      </c>
      <c r="H185" s="12" t="s">
        <v>16</v>
      </c>
    </row>
    <row r="186" spans="1:8" x14ac:dyDescent="0.25">
      <c r="A186" s="11">
        <v>40725</v>
      </c>
      <c r="B186" s="12">
        <v>4708</v>
      </c>
      <c r="C186" s="12" t="s">
        <v>4</v>
      </c>
      <c r="D186" s="1"/>
      <c r="F186" s="11">
        <v>40269</v>
      </c>
      <c r="G186" s="12">
        <v>1442</v>
      </c>
      <c r="H186" s="12" t="s">
        <v>29</v>
      </c>
    </row>
    <row r="187" spans="1:8" x14ac:dyDescent="0.25">
      <c r="A187" s="11">
        <v>40725</v>
      </c>
      <c r="B187" s="12">
        <v>5248</v>
      </c>
      <c r="C187" s="12" t="s">
        <v>5</v>
      </c>
      <c r="D187" s="1"/>
      <c r="F187" s="11">
        <v>40299</v>
      </c>
      <c r="G187" s="12">
        <v>67035</v>
      </c>
      <c r="H187" s="12" t="s">
        <v>15</v>
      </c>
    </row>
    <row r="188" spans="1:8" x14ac:dyDescent="0.25">
      <c r="A188" s="11">
        <v>40725</v>
      </c>
      <c r="B188" s="12">
        <v>35550</v>
      </c>
      <c r="C188" s="12" t="s">
        <v>2</v>
      </c>
      <c r="D188" s="1"/>
      <c r="F188" s="11">
        <v>40299</v>
      </c>
      <c r="G188" s="12">
        <v>12063</v>
      </c>
      <c r="H188" s="12" t="s">
        <v>16</v>
      </c>
    </row>
    <row r="189" spans="1:8" x14ac:dyDescent="0.25">
      <c r="A189" s="11">
        <v>40756</v>
      </c>
      <c r="B189" s="12">
        <v>6792</v>
      </c>
      <c r="C189" s="12" t="s">
        <v>4</v>
      </c>
      <c r="D189" s="1"/>
      <c r="F189" s="11">
        <v>40299</v>
      </c>
      <c r="G189" s="12">
        <v>1558</v>
      </c>
      <c r="H189" s="12" t="s">
        <v>29</v>
      </c>
    </row>
    <row r="190" spans="1:8" x14ac:dyDescent="0.25">
      <c r="A190" s="11">
        <v>40756</v>
      </c>
      <c r="B190" s="12">
        <v>5884</v>
      </c>
      <c r="C190" s="12" t="s">
        <v>5</v>
      </c>
      <c r="D190" s="1"/>
      <c r="F190" s="11">
        <v>40330</v>
      </c>
      <c r="G190" s="12">
        <v>59418</v>
      </c>
      <c r="H190" s="12" t="s">
        <v>15</v>
      </c>
    </row>
    <row r="191" spans="1:8" x14ac:dyDescent="0.25">
      <c r="A191" s="11">
        <v>40756</v>
      </c>
      <c r="B191" s="12">
        <v>44370</v>
      </c>
      <c r="C191" s="12" t="s">
        <v>2</v>
      </c>
      <c r="D191" s="1"/>
      <c r="F191" s="11">
        <v>40330</v>
      </c>
      <c r="G191" s="12">
        <v>13978</v>
      </c>
      <c r="H191" s="12" t="s">
        <v>16</v>
      </c>
    </row>
    <row r="192" spans="1:8" x14ac:dyDescent="0.25">
      <c r="A192" s="11">
        <v>40787</v>
      </c>
      <c r="B192" s="12">
        <v>7523</v>
      </c>
      <c r="C192" s="12" t="s">
        <v>4</v>
      </c>
      <c r="D192" s="1"/>
      <c r="F192" s="11">
        <v>40330</v>
      </c>
      <c r="G192" s="12">
        <v>1497</v>
      </c>
      <c r="H192" s="12" t="s">
        <v>29</v>
      </c>
    </row>
    <row r="193" spans="1:8" x14ac:dyDescent="0.25">
      <c r="A193" s="11">
        <v>40787</v>
      </c>
      <c r="B193" s="12">
        <v>7068</v>
      </c>
      <c r="C193" s="12" t="s">
        <v>5</v>
      </c>
      <c r="D193" s="1"/>
      <c r="F193" s="11">
        <v>40360</v>
      </c>
      <c r="G193" s="12">
        <v>50163</v>
      </c>
      <c r="H193" s="12" t="s">
        <v>15</v>
      </c>
    </row>
    <row r="194" spans="1:8" x14ac:dyDescent="0.25">
      <c r="A194" s="11">
        <v>40787</v>
      </c>
      <c r="B194" s="12">
        <v>45709</v>
      </c>
      <c r="C194" s="12" t="s">
        <v>2</v>
      </c>
      <c r="D194" s="1"/>
      <c r="F194" s="11">
        <v>40360</v>
      </c>
      <c r="G194" s="12">
        <v>15200</v>
      </c>
      <c r="H194" s="12" t="s">
        <v>16</v>
      </c>
    </row>
    <row r="195" spans="1:8" x14ac:dyDescent="0.25">
      <c r="A195" s="11">
        <v>40817</v>
      </c>
      <c r="B195" s="12">
        <v>8716</v>
      </c>
      <c r="C195" s="12" t="s">
        <v>4</v>
      </c>
      <c r="D195" s="1"/>
      <c r="F195" s="11">
        <v>40360</v>
      </c>
      <c r="G195" s="12">
        <v>1210</v>
      </c>
      <c r="H195" s="12" t="s">
        <v>29</v>
      </c>
    </row>
    <row r="196" spans="1:8" x14ac:dyDescent="0.25">
      <c r="A196" s="11">
        <v>40817</v>
      </c>
      <c r="B196" s="12">
        <v>6816</v>
      </c>
      <c r="C196" s="12" t="s">
        <v>5</v>
      </c>
      <c r="D196" s="1"/>
      <c r="F196" s="11">
        <v>40391</v>
      </c>
      <c r="G196" s="12">
        <v>61975</v>
      </c>
      <c r="H196" s="12" t="s">
        <v>15</v>
      </c>
    </row>
    <row r="197" spans="1:8" x14ac:dyDescent="0.25">
      <c r="A197" s="11">
        <v>40817</v>
      </c>
      <c r="B197" s="12">
        <v>49386</v>
      </c>
      <c r="C197" s="12" t="s">
        <v>2</v>
      </c>
      <c r="D197" s="1"/>
      <c r="F197" s="11">
        <v>40391</v>
      </c>
      <c r="G197" s="12">
        <v>16825</v>
      </c>
      <c r="H197" s="12" t="s">
        <v>16</v>
      </c>
    </row>
    <row r="198" spans="1:8" x14ac:dyDescent="0.25">
      <c r="A198" s="11">
        <v>40848</v>
      </c>
      <c r="B198" s="12">
        <v>18647</v>
      </c>
      <c r="C198" s="12" t="s">
        <v>4</v>
      </c>
      <c r="D198" s="1"/>
      <c r="F198" s="11">
        <v>40391</v>
      </c>
      <c r="G198" s="12">
        <v>444</v>
      </c>
      <c r="H198" s="12" t="s">
        <v>29</v>
      </c>
    </row>
    <row r="199" spans="1:8" x14ac:dyDescent="0.25">
      <c r="A199" s="11">
        <v>40848</v>
      </c>
      <c r="B199" s="12">
        <v>9135</v>
      </c>
      <c r="C199" s="12" t="s">
        <v>5</v>
      </c>
      <c r="D199" s="1"/>
      <c r="F199" s="11">
        <v>40422</v>
      </c>
      <c r="G199" s="12">
        <v>81222</v>
      </c>
      <c r="H199" s="12" t="s">
        <v>15</v>
      </c>
    </row>
    <row r="200" spans="1:8" x14ac:dyDescent="0.25">
      <c r="A200" s="11">
        <v>40848</v>
      </c>
      <c r="B200" s="12">
        <v>67958</v>
      </c>
      <c r="C200" s="12" t="s">
        <v>2</v>
      </c>
      <c r="D200" s="1"/>
      <c r="F200" s="11">
        <v>40422</v>
      </c>
      <c r="G200" s="12">
        <v>10618</v>
      </c>
      <c r="H200" s="12" t="s">
        <v>16</v>
      </c>
    </row>
    <row r="201" spans="1:8" x14ac:dyDescent="0.25">
      <c r="A201" s="11">
        <v>40878</v>
      </c>
      <c r="B201" s="12">
        <v>17850</v>
      </c>
      <c r="C201" s="12" t="s">
        <v>4</v>
      </c>
      <c r="D201" s="1"/>
      <c r="F201" s="11">
        <v>40422</v>
      </c>
      <c r="G201" s="12">
        <v>607</v>
      </c>
      <c r="H201" s="12" t="s">
        <v>29</v>
      </c>
    </row>
    <row r="202" spans="1:8" x14ac:dyDescent="0.25">
      <c r="A202" s="11">
        <v>40878</v>
      </c>
      <c r="B202" s="12">
        <v>10292</v>
      </c>
      <c r="C202" s="12" t="s">
        <v>5</v>
      </c>
      <c r="D202" s="1"/>
      <c r="F202" s="11">
        <v>40452</v>
      </c>
      <c r="G202" s="12">
        <v>110323</v>
      </c>
      <c r="H202" s="12" t="s">
        <v>15</v>
      </c>
    </row>
    <row r="203" spans="1:8" x14ac:dyDescent="0.25">
      <c r="A203" s="11">
        <v>40878</v>
      </c>
      <c r="B203" s="12">
        <v>74713</v>
      </c>
      <c r="C203" s="12" t="s">
        <v>2</v>
      </c>
      <c r="D203" s="1"/>
      <c r="F203" s="11">
        <v>40452</v>
      </c>
      <c r="G203" s="12">
        <v>10281</v>
      </c>
      <c r="H203" s="12" t="s">
        <v>16</v>
      </c>
    </row>
    <row r="204" spans="1:8" x14ac:dyDescent="0.25">
      <c r="A204" s="11">
        <v>40909</v>
      </c>
      <c r="B204" s="12">
        <v>18381</v>
      </c>
      <c r="C204" s="12" t="s">
        <v>4</v>
      </c>
      <c r="D204" s="1"/>
      <c r="F204" s="11">
        <v>40452</v>
      </c>
      <c r="G204" s="12">
        <v>507</v>
      </c>
      <c r="H204" s="12" t="s">
        <v>29</v>
      </c>
    </row>
    <row r="205" spans="1:8" x14ac:dyDescent="0.25">
      <c r="A205" s="11">
        <v>40909</v>
      </c>
      <c r="B205" s="12">
        <v>11417</v>
      </c>
      <c r="C205" s="12" t="s">
        <v>5</v>
      </c>
      <c r="D205" s="1"/>
      <c r="F205" s="11">
        <v>40483</v>
      </c>
      <c r="G205" s="12">
        <v>125453</v>
      </c>
      <c r="H205" s="12" t="s">
        <v>15</v>
      </c>
    </row>
    <row r="206" spans="1:8" x14ac:dyDescent="0.25">
      <c r="A206" s="11">
        <v>40909</v>
      </c>
      <c r="B206" s="12">
        <v>66642</v>
      </c>
      <c r="C206" s="12" t="s">
        <v>2</v>
      </c>
      <c r="D206" s="1"/>
      <c r="F206" s="11">
        <v>40483</v>
      </c>
      <c r="G206" s="12">
        <v>9000</v>
      </c>
      <c r="H206" s="12" t="s">
        <v>16</v>
      </c>
    </row>
    <row r="207" spans="1:8" x14ac:dyDescent="0.25">
      <c r="A207" s="11">
        <v>40940</v>
      </c>
      <c r="B207" s="12">
        <v>20475</v>
      </c>
      <c r="C207" s="12" t="s">
        <v>4</v>
      </c>
      <c r="D207" s="1"/>
      <c r="F207" s="11">
        <v>40483</v>
      </c>
      <c r="G207" s="12">
        <v>404</v>
      </c>
      <c r="H207" s="12" t="s">
        <v>29</v>
      </c>
    </row>
    <row r="208" spans="1:8" x14ac:dyDescent="0.25">
      <c r="A208" s="11">
        <v>40940</v>
      </c>
      <c r="B208" s="12">
        <v>9269</v>
      </c>
      <c r="C208" s="12" t="s">
        <v>5</v>
      </c>
      <c r="D208" s="1"/>
      <c r="F208" s="11">
        <v>40513</v>
      </c>
      <c r="G208" s="12">
        <v>138200</v>
      </c>
      <c r="H208" s="12" t="s">
        <v>15</v>
      </c>
    </row>
    <row r="209" spans="1:8" x14ac:dyDescent="0.25">
      <c r="A209" s="11">
        <v>40940</v>
      </c>
      <c r="B209" s="12">
        <v>64892</v>
      </c>
      <c r="C209" s="12" t="s">
        <v>2</v>
      </c>
      <c r="D209" s="1"/>
      <c r="F209" s="11">
        <v>40513</v>
      </c>
      <c r="G209" s="12">
        <v>8395</v>
      </c>
      <c r="H209" s="12" t="s">
        <v>16</v>
      </c>
    </row>
    <row r="210" spans="1:8" x14ac:dyDescent="0.25">
      <c r="A210" s="11">
        <v>40969</v>
      </c>
      <c r="B210" s="12">
        <v>18369</v>
      </c>
      <c r="C210" s="12" t="s">
        <v>4</v>
      </c>
      <c r="D210" s="1"/>
      <c r="F210" s="11">
        <v>40513</v>
      </c>
      <c r="G210" s="12">
        <v>488</v>
      </c>
      <c r="H210" s="12" t="s">
        <v>29</v>
      </c>
    </row>
    <row r="211" spans="1:8" x14ac:dyDescent="0.25">
      <c r="A211" s="11">
        <v>40969</v>
      </c>
      <c r="B211" s="12">
        <v>8922</v>
      </c>
      <c r="C211" s="12" t="s">
        <v>5</v>
      </c>
      <c r="D211" s="1"/>
      <c r="F211" s="11">
        <v>40544</v>
      </c>
      <c r="G211" s="12">
        <v>131264</v>
      </c>
      <c r="H211" s="12" t="s">
        <v>15</v>
      </c>
    </row>
    <row r="212" spans="1:8" x14ac:dyDescent="0.25">
      <c r="A212" s="11">
        <v>40969</v>
      </c>
      <c r="B212" s="12">
        <v>56172</v>
      </c>
      <c r="C212" s="12" t="s">
        <v>2</v>
      </c>
      <c r="D212" s="1"/>
      <c r="F212" s="11">
        <v>40544</v>
      </c>
      <c r="G212" s="12">
        <v>7829</v>
      </c>
      <c r="H212" s="12" t="s">
        <v>16</v>
      </c>
    </row>
    <row r="213" spans="1:8" x14ac:dyDescent="0.25">
      <c r="A213" s="11">
        <v>41000</v>
      </c>
      <c r="B213" s="12">
        <v>18580</v>
      </c>
      <c r="C213" s="12" t="s">
        <v>4</v>
      </c>
      <c r="D213" s="1"/>
      <c r="F213" s="11">
        <v>40544</v>
      </c>
      <c r="G213" s="12">
        <v>446</v>
      </c>
      <c r="H213" s="12" t="s">
        <v>29</v>
      </c>
    </row>
    <row r="214" spans="1:8" x14ac:dyDescent="0.25">
      <c r="A214" s="11">
        <v>41000</v>
      </c>
      <c r="B214" s="12">
        <v>8853</v>
      </c>
      <c r="C214" s="12" t="s">
        <v>5</v>
      </c>
      <c r="D214" s="1"/>
      <c r="F214" s="11">
        <v>40575</v>
      </c>
      <c r="G214" s="12">
        <v>113640</v>
      </c>
      <c r="H214" s="12" t="s">
        <v>15</v>
      </c>
    </row>
    <row r="215" spans="1:8" x14ac:dyDescent="0.25">
      <c r="A215" s="11">
        <v>41000</v>
      </c>
      <c r="B215" s="12">
        <v>58895</v>
      </c>
      <c r="C215" s="12" t="s">
        <v>2</v>
      </c>
      <c r="D215" s="1"/>
      <c r="F215" s="11">
        <v>40575</v>
      </c>
      <c r="G215" s="12">
        <v>9484</v>
      </c>
      <c r="H215" s="12" t="s">
        <v>16</v>
      </c>
    </row>
    <row r="216" spans="1:8" x14ac:dyDescent="0.25">
      <c r="A216" s="11">
        <v>41030</v>
      </c>
      <c r="B216" s="12">
        <v>17667</v>
      </c>
      <c r="C216" s="12" t="s">
        <v>4</v>
      </c>
      <c r="D216" s="1"/>
      <c r="F216" s="11">
        <v>40575</v>
      </c>
      <c r="G216" s="12">
        <v>733</v>
      </c>
      <c r="H216" s="12" t="s">
        <v>29</v>
      </c>
    </row>
    <row r="217" spans="1:8" x14ac:dyDescent="0.25">
      <c r="A217" s="11">
        <v>41030</v>
      </c>
      <c r="B217" s="12">
        <v>8315</v>
      </c>
      <c r="C217" s="12" t="s">
        <v>5</v>
      </c>
      <c r="D217" s="1"/>
      <c r="F217" s="11">
        <v>40603</v>
      </c>
      <c r="G217" s="12">
        <v>88482</v>
      </c>
      <c r="H217" s="12" t="s">
        <v>15</v>
      </c>
    </row>
    <row r="218" spans="1:8" x14ac:dyDescent="0.25">
      <c r="A218" s="11">
        <v>41030</v>
      </c>
      <c r="B218" s="12">
        <v>61671</v>
      </c>
      <c r="C218" s="12" t="s">
        <v>2</v>
      </c>
      <c r="D218" s="1"/>
      <c r="F218" s="11">
        <v>40603</v>
      </c>
      <c r="G218" s="12">
        <v>7262</v>
      </c>
      <c r="H218" s="12" t="s">
        <v>16</v>
      </c>
    </row>
    <row r="219" spans="1:8" x14ac:dyDescent="0.25">
      <c r="A219" s="11">
        <v>41061</v>
      </c>
      <c r="B219" s="12">
        <v>14460</v>
      </c>
      <c r="C219" s="12" t="s">
        <v>4</v>
      </c>
      <c r="D219" s="1"/>
      <c r="F219" s="11">
        <v>40603</v>
      </c>
      <c r="G219" s="12">
        <v>1095</v>
      </c>
      <c r="H219" s="12" t="s">
        <v>29</v>
      </c>
    </row>
    <row r="220" spans="1:8" x14ac:dyDescent="0.25">
      <c r="A220" s="11">
        <v>41061</v>
      </c>
      <c r="B220" s="12">
        <v>7196</v>
      </c>
      <c r="C220" s="12" t="s">
        <v>5</v>
      </c>
      <c r="D220" s="1"/>
      <c r="F220" s="11">
        <v>40634</v>
      </c>
      <c r="G220" s="12">
        <v>57185</v>
      </c>
      <c r="H220" s="12" t="s">
        <v>15</v>
      </c>
    </row>
    <row r="221" spans="1:8" x14ac:dyDescent="0.25">
      <c r="A221" s="11">
        <v>41061</v>
      </c>
      <c r="B221" s="12">
        <v>55898</v>
      </c>
      <c r="C221" s="12" t="s">
        <v>2</v>
      </c>
      <c r="D221" s="1"/>
      <c r="F221" s="11">
        <v>40634</v>
      </c>
      <c r="G221" s="12">
        <v>6646</v>
      </c>
      <c r="H221" s="12" t="s">
        <v>16</v>
      </c>
    </row>
    <row r="222" spans="1:8" x14ac:dyDescent="0.25">
      <c r="A222" s="11">
        <v>41091</v>
      </c>
      <c r="B222" s="12">
        <v>16176</v>
      </c>
      <c r="C222" s="12" t="s">
        <v>4</v>
      </c>
      <c r="D222" s="1"/>
      <c r="F222" s="11">
        <v>40634</v>
      </c>
      <c r="G222" s="12">
        <v>1215</v>
      </c>
      <c r="H222" s="12" t="s">
        <v>29</v>
      </c>
    </row>
    <row r="223" spans="1:8" x14ac:dyDescent="0.25">
      <c r="A223" s="11">
        <v>41091</v>
      </c>
      <c r="B223" s="12">
        <v>7036</v>
      </c>
      <c r="C223" s="12" t="s">
        <v>5</v>
      </c>
      <c r="D223" s="1"/>
      <c r="F223" s="11">
        <v>40664</v>
      </c>
      <c r="G223" s="12">
        <v>49146</v>
      </c>
      <c r="H223" s="12" t="s">
        <v>15</v>
      </c>
    </row>
    <row r="224" spans="1:8" x14ac:dyDescent="0.25">
      <c r="A224" s="11">
        <v>41091</v>
      </c>
      <c r="B224" s="12">
        <v>52260</v>
      </c>
      <c r="C224" s="12" t="s">
        <v>2</v>
      </c>
      <c r="D224" s="1"/>
      <c r="F224" s="11">
        <v>40664</v>
      </c>
      <c r="G224" s="12">
        <v>9210</v>
      </c>
      <c r="H224" s="12" t="s">
        <v>16</v>
      </c>
    </row>
    <row r="225" spans="1:8" x14ac:dyDescent="0.25">
      <c r="A225" s="11">
        <v>41122</v>
      </c>
      <c r="B225" s="12">
        <v>16761</v>
      </c>
      <c r="C225" s="12" t="s">
        <v>4</v>
      </c>
      <c r="D225" s="1"/>
      <c r="F225" s="11">
        <v>40664</v>
      </c>
      <c r="G225" s="12">
        <v>878</v>
      </c>
      <c r="H225" s="12" t="s">
        <v>29</v>
      </c>
    </row>
    <row r="226" spans="1:8" x14ac:dyDescent="0.25">
      <c r="A226" s="11">
        <v>41122</v>
      </c>
      <c r="B226" s="12">
        <v>7422</v>
      </c>
      <c r="C226" s="12" t="s">
        <v>5</v>
      </c>
      <c r="D226" s="1"/>
      <c r="F226" s="11">
        <v>40695</v>
      </c>
      <c r="G226" s="12">
        <v>41588</v>
      </c>
      <c r="H226" s="12" t="s">
        <v>15</v>
      </c>
    </row>
    <row r="227" spans="1:8" x14ac:dyDescent="0.25">
      <c r="A227" s="11">
        <v>41122</v>
      </c>
      <c r="B227" s="12">
        <v>51730</v>
      </c>
      <c r="C227" s="12" t="s">
        <v>2</v>
      </c>
      <c r="D227" s="1"/>
      <c r="F227" s="11">
        <v>40695</v>
      </c>
      <c r="G227" s="12">
        <v>9805</v>
      </c>
      <c r="H227" s="12" t="s">
        <v>16</v>
      </c>
    </row>
    <row r="228" spans="1:8" x14ac:dyDescent="0.25">
      <c r="A228" s="11">
        <v>41153</v>
      </c>
      <c r="B228" s="12">
        <v>20395</v>
      </c>
      <c r="C228" s="12" t="s">
        <v>4</v>
      </c>
      <c r="D228" s="1"/>
      <c r="F228" s="11">
        <v>40695</v>
      </c>
      <c r="G228" s="12">
        <v>1008</v>
      </c>
      <c r="H228" s="12" t="s">
        <v>29</v>
      </c>
    </row>
    <row r="229" spans="1:8" x14ac:dyDescent="0.25">
      <c r="A229" s="11">
        <v>41153</v>
      </c>
      <c r="B229" s="12">
        <v>9405</v>
      </c>
      <c r="C229" s="12" t="s">
        <v>5</v>
      </c>
      <c r="D229" s="1"/>
      <c r="F229" s="11">
        <v>40725</v>
      </c>
      <c r="G229" s="12">
        <v>34765</v>
      </c>
      <c r="H229" s="12" t="s">
        <v>15</v>
      </c>
    </row>
    <row r="230" spans="1:8" x14ac:dyDescent="0.25">
      <c r="A230" s="11">
        <v>41153</v>
      </c>
      <c r="B230" s="12">
        <v>59539</v>
      </c>
      <c r="C230" s="12" t="s">
        <v>2</v>
      </c>
      <c r="D230" s="1"/>
      <c r="F230" s="11">
        <v>40725</v>
      </c>
      <c r="G230" s="12">
        <v>9970</v>
      </c>
      <c r="H230" s="12" t="s">
        <v>16</v>
      </c>
    </row>
    <row r="231" spans="1:8" x14ac:dyDescent="0.25">
      <c r="A231" s="11">
        <v>41183</v>
      </c>
      <c r="B231" s="12">
        <v>27166</v>
      </c>
      <c r="C231" s="12" t="s">
        <v>4</v>
      </c>
      <c r="D231" s="1"/>
      <c r="F231" s="11">
        <v>40725</v>
      </c>
      <c r="G231" s="12">
        <v>771</v>
      </c>
      <c r="H231" s="12" t="s">
        <v>29</v>
      </c>
    </row>
    <row r="232" spans="1:8" x14ac:dyDescent="0.25">
      <c r="A232" s="11">
        <v>41183</v>
      </c>
      <c r="B232" s="12">
        <v>10321</v>
      </c>
      <c r="C232" s="12" t="s">
        <v>5</v>
      </c>
      <c r="D232" s="1"/>
      <c r="F232" s="11">
        <v>40756</v>
      </c>
      <c r="G232" s="12">
        <v>43619</v>
      </c>
      <c r="H232" s="12" t="s">
        <v>15</v>
      </c>
    </row>
    <row r="233" spans="1:8" x14ac:dyDescent="0.25">
      <c r="A233" s="11">
        <v>41183</v>
      </c>
      <c r="B233" s="12">
        <v>71270</v>
      </c>
      <c r="C233" s="12" t="s">
        <v>2</v>
      </c>
      <c r="D233" s="1"/>
      <c r="F233" s="11">
        <v>40756</v>
      </c>
      <c r="G233" s="12">
        <v>12597</v>
      </c>
      <c r="H233" s="12" t="s">
        <v>16</v>
      </c>
    </row>
    <row r="234" spans="1:8" x14ac:dyDescent="0.25">
      <c r="A234" s="11">
        <v>41214</v>
      </c>
      <c r="B234" s="12">
        <v>31285</v>
      </c>
      <c r="C234" s="12" t="s">
        <v>4</v>
      </c>
      <c r="D234" s="1"/>
      <c r="F234" s="11">
        <v>40756</v>
      </c>
      <c r="G234" s="12">
        <v>830</v>
      </c>
      <c r="H234" s="12" t="s">
        <v>29</v>
      </c>
    </row>
    <row r="235" spans="1:8" x14ac:dyDescent="0.25">
      <c r="A235" s="11">
        <v>41214</v>
      </c>
      <c r="B235" s="12">
        <v>12488</v>
      </c>
      <c r="C235" s="12" t="s">
        <v>5</v>
      </c>
      <c r="D235" s="1"/>
      <c r="F235" s="11">
        <v>40787</v>
      </c>
      <c r="G235" s="12">
        <v>48986</v>
      </c>
      <c r="H235" s="12" t="s">
        <v>15</v>
      </c>
    </row>
    <row r="236" spans="1:8" x14ac:dyDescent="0.25">
      <c r="A236" s="11">
        <v>41214</v>
      </c>
      <c r="B236" s="12">
        <v>79689</v>
      </c>
      <c r="C236" s="12" t="s">
        <v>2</v>
      </c>
      <c r="D236" s="1"/>
      <c r="F236" s="11">
        <v>40787</v>
      </c>
      <c r="G236" s="12">
        <v>10705</v>
      </c>
      <c r="H236" s="12" t="s">
        <v>16</v>
      </c>
    </row>
    <row r="237" spans="1:8" x14ac:dyDescent="0.25">
      <c r="A237" s="11">
        <v>41244</v>
      </c>
      <c r="B237" s="12">
        <v>31931</v>
      </c>
      <c r="C237" s="12" t="s">
        <v>4</v>
      </c>
      <c r="D237" s="1"/>
      <c r="F237" s="11">
        <v>40787</v>
      </c>
      <c r="G237" s="12">
        <v>609</v>
      </c>
      <c r="H237" s="12" t="s">
        <v>29</v>
      </c>
    </row>
    <row r="238" spans="1:8" x14ac:dyDescent="0.25">
      <c r="A238" s="11">
        <v>41244</v>
      </c>
      <c r="B238" s="12">
        <v>12942</v>
      </c>
      <c r="C238" s="12" t="s">
        <v>5</v>
      </c>
      <c r="D238" s="1"/>
      <c r="F238" s="11">
        <v>40817</v>
      </c>
      <c r="G238" s="12">
        <v>54104</v>
      </c>
      <c r="H238" s="12" t="s">
        <v>15</v>
      </c>
    </row>
    <row r="239" spans="1:8" x14ac:dyDescent="0.25">
      <c r="A239" s="11">
        <v>41244</v>
      </c>
      <c r="B239" s="12">
        <v>79233</v>
      </c>
      <c r="C239" s="12" t="s">
        <v>2</v>
      </c>
      <c r="D239" s="1"/>
      <c r="F239" s="11">
        <v>40817</v>
      </c>
      <c r="G239" s="12">
        <v>10216</v>
      </c>
      <c r="H239" s="12" t="s">
        <v>16</v>
      </c>
    </row>
    <row r="240" spans="1:8" x14ac:dyDescent="0.25">
      <c r="A240" s="11">
        <v>41275</v>
      </c>
      <c r="B240" s="12">
        <v>28192</v>
      </c>
      <c r="C240" s="12" t="s">
        <v>4</v>
      </c>
      <c r="D240" s="1"/>
      <c r="F240" s="11">
        <v>40817</v>
      </c>
      <c r="G240" s="12">
        <v>598</v>
      </c>
      <c r="H240" s="12" t="s">
        <v>29</v>
      </c>
    </row>
    <row r="241" spans="1:8" x14ac:dyDescent="0.25">
      <c r="A241" s="11">
        <v>41275</v>
      </c>
      <c r="B241" s="12">
        <v>12016</v>
      </c>
      <c r="C241" s="12" t="s">
        <v>5</v>
      </c>
      <c r="D241" s="1"/>
      <c r="F241" s="11">
        <v>40848</v>
      </c>
      <c r="G241" s="12">
        <v>86564</v>
      </c>
      <c r="H241" s="12" t="s">
        <v>15</v>
      </c>
    </row>
    <row r="242" spans="1:8" x14ac:dyDescent="0.25">
      <c r="A242" s="11">
        <v>41275</v>
      </c>
      <c r="B242" s="12">
        <v>68812</v>
      </c>
      <c r="C242" s="12" t="s">
        <v>2</v>
      </c>
      <c r="D242" s="1"/>
      <c r="F242" s="11">
        <v>40848</v>
      </c>
      <c r="G242" s="12">
        <v>8560</v>
      </c>
      <c r="H242" s="12" t="s">
        <v>16</v>
      </c>
    </row>
    <row r="243" spans="1:8" x14ac:dyDescent="0.25">
      <c r="A243" s="11">
        <v>41306</v>
      </c>
      <c r="B243" s="12">
        <v>31266</v>
      </c>
      <c r="C243" s="12" t="s">
        <v>4</v>
      </c>
      <c r="D243" s="1"/>
      <c r="F243" s="11">
        <v>40848</v>
      </c>
      <c r="G243" s="12">
        <v>616</v>
      </c>
      <c r="H243" s="12" t="s">
        <v>29</v>
      </c>
    </row>
    <row r="244" spans="1:8" x14ac:dyDescent="0.25">
      <c r="A244" s="11">
        <v>41306</v>
      </c>
      <c r="B244" s="12">
        <v>12440</v>
      </c>
      <c r="C244" s="12" t="s">
        <v>5</v>
      </c>
      <c r="D244" s="1"/>
      <c r="F244" s="11">
        <v>40878</v>
      </c>
      <c r="G244" s="12">
        <v>95689</v>
      </c>
      <c r="H244" s="12" t="s">
        <v>15</v>
      </c>
    </row>
    <row r="245" spans="1:8" x14ac:dyDescent="0.25">
      <c r="A245" s="11">
        <v>41306</v>
      </c>
      <c r="B245" s="12">
        <v>75832</v>
      </c>
      <c r="C245" s="12" t="s">
        <v>2</v>
      </c>
      <c r="D245" s="1"/>
      <c r="F245" s="11">
        <v>40878</v>
      </c>
      <c r="G245" s="12">
        <v>6571</v>
      </c>
      <c r="H245" s="12" t="s">
        <v>16</v>
      </c>
    </row>
    <row r="246" spans="1:8" x14ac:dyDescent="0.25">
      <c r="A246" s="11">
        <v>41334</v>
      </c>
      <c r="B246" s="12">
        <v>34904</v>
      </c>
      <c r="C246" s="12" t="s">
        <v>4</v>
      </c>
      <c r="D246" s="1"/>
      <c r="F246" s="11">
        <v>40878</v>
      </c>
      <c r="G246" s="12">
        <v>595</v>
      </c>
      <c r="H246" s="12" t="s">
        <v>29</v>
      </c>
    </row>
    <row r="247" spans="1:8" x14ac:dyDescent="0.25">
      <c r="A247" s="11">
        <v>41334</v>
      </c>
      <c r="B247" s="12">
        <v>13546</v>
      </c>
      <c r="C247" s="12" t="s">
        <v>5</v>
      </c>
      <c r="D247" s="1"/>
      <c r="F247" s="11">
        <v>40909</v>
      </c>
      <c r="G247" s="12">
        <v>89572</v>
      </c>
      <c r="H247" s="12" t="s">
        <v>15</v>
      </c>
    </row>
    <row r="248" spans="1:8" x14ac:dyDescent="0.25">
      <c r="A248" s="11">
        <v>41334</v>
      </c>
      <c r="B248" s="12">
        <v>79881</v>
      </c>
      <c r="C248" s="12" t="s">
        <v>2</v>
      </c>
      <c r="D248" s="1"/>
      <c r="F248" s="11">
        <v>40909</v>
      </c>
      <c r="G248" s="12">
        <v>6334</v>
      </c>
      <c r="H248" s="12" t="s">
        <v>16</v>
      </c>
    </row>
    <row r="249" spans="1:8" x14ac:dyDescent="0.25">
      <c r="A249" s="11">
        <v>41365</v>
      </c>
      <c r="B249" s="12">
        <v>30239</v>
      </c>
      <c r="C249" s="12" t="s">
        <v>4</v>
      </c>
      <c r="D249" s="1"/>
      <c r="F249" s="11">
        <v>40909</v>
      </c>
      <c r="G249" s="12">
        <v>534</v>
      </c>
      <c r="H249" s="12" t="s">
        <v>29</v>
      </c>
    </row>
    <row r="250" spans="1:8" x14ac:dyDescent="0.25">
      <c r="A250" s="11">
        <v>41365</v>
      </c>
      <c r="B250" s="12">
        <v>13745</v>
      </c>
      <c r="C250" s="12" t="s">
        <v>5</v>
      </c>
      <c r="D250" s="1"/>
      <c r="F250" s="11">
        <v>40940</v>
      </c>
      <c r="G250" s="12">
        <v>86835</v>
      </c>
      <c r="H250" s="12" t="s">
        <v>15</v>
      </c>
    </row>
    <row r="251" spans="1:8" x14ac:dyDescent="0.25">
      <c r="A251" s="11">
        <v>41365</v>
      </c>
      <c r="B251" s="12">
        <v>79649</v>
      </c>
      <c r="C251" s="12" t="s">
        <v>2</v>
      </c>
      <c r="D251" s="1"/>
      <c r="F251" s="11">
        <v>40940</v>
      </c>
      <c r="G251" s="12">
        <v>7358</v>
      </c>
      <c r="H251" s="12" t="s">
        <v>16</v>
      </c>
    </row>
    <row r="252" spans="1:8" x14ac:dyDescent="0.25">
      <c r="A252" s="11">
        <v>41395</v>
      </c>
      <c r="B252" s="12">
        <v>22518</v>
      </c>
      <c r="C252" s="12" t="s">
        <v>4</v>
      </c>
      <c r="D252" s="1"/>
      <c r="F252" s="11">
        <v>40940</v>
      </c>
      <c r="G252" s="12">
        <v>443</v>
      </c>
      <c r="H252" s="12" t="s">
        <v>29</v>
      </c>
    </row>
    <row r="253" spans="1:8" x14ac:dyDescent="0.25">
      <c r="A253" s="11">
        <v>41395</v>
      </c>
      <c r="B253" s="12">
        <v>13727</v>
      </c>
      <c r="C253" s="12" t="s">
        <v>5</v>
      </c>
      <c r="D253" s="1"/>
      <c r="F253" s="11">
        <v>40969</v>
      </c>
      <c r="G253" s="12">
        <v>78263</v>
      </c>
      <c r="H253" s="12" t="s">
        <v>15</v>
      </c>
    </row>
    <row r="254" spans="1:8" x14ac:dyDescent="0.25">
      <c r="A254" s="11">
        <v>41395</v>
      </c>
      <c r="B254" s="12">
        <v>79558</v>
      </c>
      <c r="C254" s="12" t="s">
        <v>2</v>
      </c>
      <c r="D254" s="1"/>
      <c r="F254" s="11">
        <v>40969</v>
      </c>
      <c r="G254" s="12">
        <v>4755</v>
      </c>
      <c r="H254" s="12" t="s">
        <v>16</v>
      </c>
    </row>
    <row r="255" spans="1:8" x14ac:dyDescent="0.25">
      <c r="A255" s="11">
        <v>41426</v>
      </c>
      <c r="B255" s="12">
        <v>19126</v>
      </c>
      <c r="C255" s="12" t="s">
        <v>4</v>
      </c>
      <c r="D255" s="1"/>
      <c r="F255" s="11">
        <v>40969</v>
      </c>
      <c r="G255" s="12">
        <v>445</v>
      </c>
      <c r="H255" s="12" t="s">
        <v>29</v>
      </c>
    </row>
    <row r="256" spans="1:8" x14ac:dyDescent="0.25">
      <c r="A256" s="11">
        <v>41426</v>
      </c>
      <c r="B256" s="12">
        <v>12708</v>
      </c>
      <c r="C256" s="12" t="s">
        <v>5</v>
      </c>
      <c r="D256" s="1"/>
      <c r="F256" s="11">
        <v>41000</v>
      </c>
      <c r="G256" s="12">
        <v>81119</v>
      </c>
      <c r="H256" s="12" t="s">
        <v>15</v>
      </c>
    </row>
    <row r="257" spans="1:8" x14ac:dyDescent="0.25">
      <c r="A257" s="11">
        <v>41426</v>
      </c>
      <c r="B257" s="12">
        <v>75517</v>
      </c>
      <c r="C257" s="12" t="s">
        <v>2</v>
      </c>
      <c r="D257" s="1"/>
      <c r="F257" s="11">
        <v>41000</v>
      </c>
      <c r="G257" s="12">
        <v>4820</v>
      </c>
      <c r="H257" s="12" t="s">
        <v>16</v>
      </c>
    </row>
    <row r="258" spans="1:8" x14ac:dyDescent="0.25">
      <c r="A258" s="11">
        <v>41456</v>
      </c>
      <c r="B258" s="12">
        <v>24399</v>
      </c>
      <c r="C258" s="12" t="s">
        <v>4</v>
      </c>
      <c r="D258" s="1"/>
      <c r="F258" s="11">
        <v>41000</v>
      </c>
      <c r="G258" s="12">
        <v>389</v>
      </c>
      <c r="H258" s="12" t="s">
        <v>29</v>
      </c>
    </row>
    <row r="259" spans="1:8" x14ac:dyDescent="0.25">
      <c r="A259" s="11">
        <v>41456</v>
      </c>
      <c r="B259" s="12">
        <v>12523</v>
      </c>
      <c r="C259" s="12" t="s">
        <v>5</v>
      </c>
      <c r="D259" s="1"/>
      <c r="F259" s="11">
        <v>41030</v>
      </c>
      <c r="G259" s="12">
        <v>80886</v>
      </c>
      <c r="H259" s="12" t="s">
        <v>15</v>
      </c>
    </row>
    <row r="260" spans="1:8" x14ac:dyDescent="0.25">
      <c r="A260" s="11">
        <v>41456</v>
      </c>
      <c r="B260" s="12">
        <v>81618</v>
      </c>
      <c r="C260" s="12" t="s">
        <v>2</v>
      </c>
      <c r="D260" s="1"/>
      <c r="F260" s="11">
        <v>41030</v>
      </c>
      <c r="G260" s="12">
        <v>6312</v>
      </c>
      <c r="H260" s="12" t="s">
        <v>16</v>
      </c>
    </row>
    <row r="261" spans="1:8" x14ac:dyDescent="0.25">
      <c r="A261" s="11">
        <v>41487</v>
      </c>
      <c r="B261" s="12">
        <v>20676</v>
      </c>
      <c r="C261" s="12" t="s">
        <v>4</v>
      </c>
      <c r="D261" s="1"/>
      <c r="F261" s="11">
        <v>41030</v>
      </c>
      <c r="G261" s="12">
        <v>455</v>
      </c>
      <c r="H261" s="12" t="s">
        <v>29</v>
      </c>
    </row>
    <row r="262" spans="1:8" x14ac:dyDescent="0.25">
      <c r="A262" s="11">
        <v>41487</v>
      </c>
      <c r="B262" s="12">
        <v>10664</v>
      </c>
      <c r="C262" s="12" t="s">
        <v>5</v>
      </c>
      <c r="D262" s="1"/>
      <c r="F262" s="11">
        <v>41061</v>
      </c>
      <c r="G262" s="12">
        <v>68504</v>
      </c>
      <c r="H262" s="12" t="s">
        <v>15</v>
      </c>
    </row>
    <row r="263" spans="1:8" x14ac:dyDescent="0.25">
      <c r="A263" s="11">
        <v>41487</v>
      </c>
      <c r="B263" s="12">
        <v>69234</v>
      </c>
      <c r="C263" s="12" t="s">
        <v>2</v>
      </c>
      <c r="D263" s="1"/>
      <c r="F263" s="11">
        <v>41061</v>
      </c>
      <c r="G263" s="12">
        <v>8472</v>
      </c>
      <c r="H263" s="12" t="s">
        <v>16</v>
      </c>
    </row>
    <row r="264" spans="1:8" x14ac:dyDescent="0.25">
      <c r="A264" s="11">
        <v>41518</v>
      </c>
      <c r="B264" s="12">
        <v>13675</v>
      </c>
      <c r="C264" s="12" t="s">
        <v>4</v>
      </c>
      <c r="D264" s="1"/>
      <c r="F264" s="11">
        <v>41061</v>
      </c>
      <c r="G264" s="12">
        <v>578</v>
      </c>
      <c r="H264" s="12" t="s">
        <v>29</v>
      </c>
    </row>
    <row r="265" spans="1:8" x14ac:dyDescent="0.25">
      <c r="A265" s="11">
        <v>41518</v>
      </c>
      <c r="B265" s="12">
        <v>9167</v>
      </c>
      <c r="C265" s="12" t="s">
        <v>5</v>
      </c>
      <c r="D265" s="1"/>
      <c r="F265" s="11">
        <v>41091</v>
      </c>
      <c r="G265" s="12">
        <v>64048</v>
      </c>
      <c r="H265" s="12" t="s">
        <v>15</v>
      </c>
    </row>
    <row r="266" spans="1:8" x14ac:dyDescent="0.25">
      <c r="A266" s="11">
        <v>41518</v>
      </c>
      <c r="B266" s="12">
        <v>58854</v>
      </c>
      <c r="C266" s="12" t="s">
        <v>2</v>
      </c>
      <c r="D266" s="1"/>
      <c r="F266" s="11">
        <v>41091</v>
      </c>
      <c r="G266" s="12">
        <v>10700</v>
      </c>
      <c r="H266" s="12" t="s">
        <v>16</v>
      </c>
    </row>
    <row r="267" spans="1:8" x14ac:dyDescent="0.25">
      <c r="A267" s="11">
        <v>41548</v>
      </c>
      <c r="B267" s="12">
        <v>8439</v>
      </c>
      <c r="C267" s="12" t="s">
        <v>4</v>
      </c>
      <c r="D267" s="1"/>
      <c r="F267" s="11">
        <v>41091</v>
      </c>
      <c r="G267" s="12">
        <v>724</v>
      </c>
      <c r="H267" s="12" t="s">
        <v>29</v>
      </c>
    </row>
    <row r="268" spans="1:8" x14ac:dyDescent="0.25">
      <c r="A268" s="11">
        <v>41548</v>
      </c>
      <c r="B268" s="12">
        <v>6830</v>
      </c>
      <c r="C268" s="12" t="s">
        <v>5</v>
      </c>
      <c r="D268" s="1"/>
      <c r="F268" s="11">
        <v>41122</v>
      </c>
      <c r="G268" s="12">
        <v>65213</v>
      </c>
      <c r="H268" s="12" t="s">
        <v>15</v>
      </c>
    </row>
    <row r="269" spans="1:8" x14ac:dyDescent="0.25">
      <c r="A269" s="11">
        <v>41548</v>
      </c>
      <c r="B269" s="12">
        <v>46711</v>
      </c>
      <c r="C269" s="12" t="s">
        <v>2</v>
      </c>
      <c r="D269" s="1"/>
      <c r="F269" s="11">
        <v>41122</v>
      </c>
      <c r="G269" s="12">
        <v>10061</v>
      </c>
      <c r="H269" s="12" t="s">
        <v>16</v>
      </c>
    </row>
    <row r="270" spans="1:8" x14ac:dyDescent="0.25">
      <c r="A270" s="11">
        <v>41579</v>
      </c>
      <c r="B270" s="12">
        <v>5650</v>
      </c>
      <c r="C270" s="12" t="s">
        <v>4</v>
      </c>
      <c r="D270" s="1"/>
      <c r="F270" s="11">
        <v>41122</v>
      </c>
      <c r="G270" s="12">
        <v>639</v>
      </c>
      <c r="H270" s="12" t="s">
        <v>29</v>
      </c>
    </row>
    <row r="271" spans="1:8" x14ac:dyDescent="0.25">
      <c r="A271" s="11">
        <v>41579</v>
      </c>
      <c r="B271" s="12">
        <v>5333</v>
      </c>
      <c r="C271" s="12" t="s">
        <v>5</v>
      </c>
      <c r="D271" s="1"/>
      <c r="F271" s="11">
        <v>41153</v>
      </c>
      <c r="G271" s="12">
        <v>78200</v>
      </c>
      <c r="H271" s="12" t="s">
        <v>15</v>
      </c>
    </row>
    <row r="272" spans="1:8" x14ac:dyDescent="0.25">
      <c r="A272" s="11">
        <v>41579</v>
      </c>
      <c r="B272" s="12">
        <v>37440</v>
      </c>
      <c r="C272" s="12" t="s">
        <v>2</v>
      </c>
      <c r="D272" s="1"/>
      <c r="F272" s="11">
        <v>41153</v>
      </c>
      <c r="G272" s="12">
        <v>10422</v>
      </c>
      <c r="H272" s="12" t="s">
        <v>16</v>
      </c>
    </row>
    <row r="273" spans="1:8" x14ac:dyDescent="0.25">
      <c r="A273" s="11">
        <v>41609</v>
      </c>
      <c r="B273" s="12">
        <v>5663</v>
      </c>
      <c r="C273" s="12" t="s">
        <v>4</v>
      </c>
      <c r="D273" s="1"/>
      <c r="F273" s="11">
        <v>41153</v>
      </c>
      <c r="G273" s="12">
        <v>717</v>
      </c>
      <c r="H273" s="12" t="s">
        <v>29</v>
      </c>
    </row>
    <row r="274" spans="1:8" x14ac:dyDescent="0.25">
      <c r="A274" s="11">
        <v>41609</v>
      </c>
      <c r="B274" s="12">
        <v>5032</v>
      </c>
      <c r="C274" s="12" t="s">
        <v>5</v>
      </c>
      <c r="D274" s="1"/>
      <c r="F274" s="11">
        <v>41183</v>
      </c>
      <c r="G274" s="12">
        <v>97065</v>
      </c>
      <c r="H274" s="12" t="s">
        <v>15</v>
      </c>
    </row>
    <row r="275" spans="1:8" x14ac:dyDescent="0.25">
      <c r="A275" s="11">
        <v>41609</v>
      </c>
      <c r="B275" s="12">
        <v>37439</v>
      </c>
      <c r="C275" s="12" t="s">
        <v>2</v>
      </c>
      <c r="D275" s="1"/>
      <c r="F275" s="11">
        <v>41183</v>
      </c>
      <c r="G275" s="12">
        <v>11093</v>
      </c>
      <c r="H275" s="12" t="s">
        <v>16</v>
      </c>
    </row>
    <row r="276" spans="1:8" x14ac:dyDescent="0.25">
      <c r="A276" s="11">
        <v>41640</v>
      </c>
      <c r="B276" s="12">
        <v>6805</v>
      </c>
      <c r="C276" s="12" t="s">
        <v>4</v>
      </c>
      <c r="D276" s="1"/>
      <c r="F276" s="11">
        <v>41183</v>
      </c>
      <c r="G276" s="12">
        <v>599</v>
      </c>
      <c r="H276" s="12" t="s">
        <v>29</v>
      </c>
    </row>
    <row r="277" spans="1:8" x14ac:dyDescent="0.25">
      <c r="A277" s="11">
        <v>41640</v>
      </c>
      <c r="B277" s="12">
        <v>4513</v>
      </c>
      <c r="C277" s="12" t="s">
        <v>5</v>
      </c>
      <c r="D277" s="1"/>
      <c r="F277" s="11">
        <v>41214</v>
      </c>
      <c r="G277" s="12">
        <v>111565</v>
      </c>
      <c r="H277" s="12" t="s">
        <v>15</v>
      </c>
    </row>
    <row r="278" spans="1:8" x14ac:dyDescent="0.25">
      <c r="A278" s="11">
        <v>41640</v>
      </c>
      <c r="B278" s="12">
        <v>35948</v>
      </c>
      <c r="C278" s="12" t="s">
        <v>2</v>
      </c>
      <c r="D278" s="1"/>
      <c r="F278" s="11">
        <v>41214</v>
      </c>
      <c r="G278" s="12">
        <v>11252</v>
      </c>
      <c r="H278" s="12" t="s">
        <v>16</v>
      </c>
    </row>
    <row r="279" spans="1:8" x14ac:dyDescent="0.25">
      <c r="A279" s="11">
        <v>41671</v>
      </c>
      <c r="B279" s="12">
        <v>6672</v>
      </c>
      <c r="C279" s="12" t="s">
        <v>4</v>
      </c>
      <c r="D279" s="1"/>
      <c r="F279" s="11">
        <v>41214</v>
      </c>
      <c r="G279" s="12">
        <v>645</v>
      </c>
      <c r="H279" s="12" t="s">
        <v>29</v>
      </c>
    </row>
    <row r="280" spans="1:8" x14ac:dyDescent="0.25">
      <c r="A280" s="11">
        <v>41671</v>
      </c>
      <c r="B280" s="12">
        <v>4501</v>
      </c>
      <c r="C280" s="12" t="s">
        <v>5</v>
      </c>
      <c r="D280" s="1"/>
      <c r="F280" s="11">
        <v>41244</v>
      </c>
      <c r="G280" s="12">
        <v>112927</v>
      </c>
      <c r="H280" s="12" t="s">
        <v>15</v>
      </c>
    </row>
    <row r="281" spans="1:8" x14ac:dyDescent="0.25">
      <c r="A281" s="11">
        <v>41671</v>
      </c>
      <c r="B281" s="12">
        <v>36934</v>
      </c>
      <c r="C281" s="12" t="s">
        <v>2</v>
      </c>
      <c r="D281" s="1"/>
      <c r="F281" s="11">
        <v>41244</v>
      </c>
      <c r="G281" s="12">
        <v>10537</v>
      </c>
      <c r="H281" s="12" t="s">
        <v>16</v>
      </c>
    </row>
    <row r="282" spans="1:8" x14ac:dyDescent="0.25">
      <c r="A282" s="11">
        <v>41699</v>
      </c>
      <c r="B282" s="12">
        <v>4588</v>
      </c>
      <c r="C282" s="12" t="s">
        <v>4</v>
      </c>
      <c r="D282" s="1"/>
      <c r="F282" s="11">
        <v>41244</v>
      </c>
      <c r="G282" s="12">
        <v>642</v>
      </c>
      <c r="H282" s="12" t="s">
        <v>29</v>
      </c>
    </row>
    <row r="283" spans="1:8" x14ac:dyDescent="0.25">
      <c r="A283" s="11">
        <v>41699</v>
      </c>
      <c r="B283" s="12">
        <v>3808</v>
      </c>
      <c r="C283" s="12" t="s">
        <v>5</v>
      </c>
      <c r="D283" s="1"/>
      <c r="F283" s="11">
        <v>41275</v>
      </c>
      <c r="G283" s="12">
        <v>99881</v>
      </c>
      <c r="H283" s="12" t="s">
        <v>15</v>
      </c>
    </row>
    <row r="284" spans="1:8" x14ac:dyDescent="0.25">
      <c r="A284" s="11">
        <v>41699</v>
      </c>
      <c r="B284" s="12">
        <v>1</v>
      </c>
      <c r="C284" s="12" t="s">
        <v>6</v>
      </c>
      <c r="D284" s="1"/>
      <c r="F284" s="11">
        <v>41275</v>
      </c>
      <c r="G284" s="12">
        <v>8444</v>
      </c>
      <c r="H284" s="12" t="s">
        <v>16</v>
      </c>
    </row>
    <row r="285" spans="1:8" x14ac:dyDescent="0.25">
      <c r="A285" s="11">
        <v>41699</v>
      </c>
      <c r="B285" s="12">
        <v>26620</v>
      </c>
      <c r="C285" s="12" t="s">
        <v>2</v>
      </c>
      <c r="D285" s="1"/>
      <c r="F285" s="11">
        <v>41275</v>
      </c>
      <c r="G285" s="12">
        <v>695</v>
      </c>
      <c r="H285" s="12" t="s">
        <v>29</v>
      </c>
    </row>
    <row r="286" spans="1:8" x14ac:dyDescent="0.25">
      <c r="A286" s="11">
        <v>41730</v>
      </c>
      <c r="B286" s="12">
        <v>7325</v>
      </c>
      <c r="C286" s="12" t="s">
        <v>6</v>
      </c>
      <c r="D286" s="1"/>
      <c r="F286" s="11">
        <v>41306</v>
      </c>
      <c r="G286" s="12">
        <v>109359</v>
      </c>
      <c r="H286" s="12" t="s">
        <v>15</v>
      </c>
    </row>
    <row r="287" spans="1:8" x14ac:dyDescent="0.25">
      <c r="A287" s="11">
        <v>41730</v>
      </c>
      <c r="B287" s="12">
        <v>25136</v>
      </c>
      <c r="C287" s="12" t="s">
        <v>2</v>
      </c>
      <c r="D287" s="1"/>
      <c r="F287" s="11">
        <v>41306</v>
      </c>
      <c r="G287" s="12">
        <v>9524</v>
      </c>
      <c r="H287" s="12" t="s">
        <v>16</v>
      </c>
    </row>
    <row r="288" spans="1:8" x14ac:dyDescent="0.25">
      <c r="A288" s="11">
        <v>41760</v>
      </c>
      <c r="B288" s="12">
        <v>8674</v>
      </c>
      <c r="C288" s="12" t="s">
        <v>6</v>
      </c>
      <c r="D288" s="1"/>
      <c r="F288" s="11">
        <v>41306</v>
      </c>
      <c r="G288" s="12">
        <v>655</v>
      </c>
      <c r="H288" s="12" t="s">
        <v>29</v>
      </c>
    </row>
    <row r="289" spans="1:8" x14ac:dyDescent="0.25">
      <c r="A289" s="11">
        <v>41760</v>
      </c>
      <c r="B289" s="12">
        <v>31556</v>
      </c>
      <c r="C289" s="12" t="s">
        <v>2</v>
      </c>
      <c r="D289" s="1"/>
      <c r="F289" s="11">
        <v>41334</v>
      </c>
      <c r="G289" s="12">
        <v>119300</v>
      </c>
      <c r="H289" s="12" t="s">
        <v>15</v>
      </c>
    </row>
    <row r="290" spans="1:8" x14ac:dyDescent="0.25">
      <c r="A290" s="11">
        <v>41791</v>
      </c>
      <c r="B290" s="12">
        <v>8516</v>
      </c>
      <c r="C290" s="12" t="s">
        <v>6</v>
      </c>
      <c r="D290" s="1"/>
      <c r="F290" s="11">
        <v>41334</v>
      </c>
      <c r="G290" s="12">
        <v>8323</v>
      </c>
      <c r="H290" s="12" t="s">
        <v>16</v>
      </c>
    </row>
    <row r="291" spans="1:8" x14ac:dyDescent="0.25">
      <c r="A291" s="11">
        <v>41791</v>
      </c>
      <c r="B291" s="12">
        <v>32352</v>
      </c>
      <c r="C291" s="12" t="s">
        <v>2</v>
      </c>
      <c r="D291" s="1"/>
      <c r="F291" s="11">
        <v>41334</v>
      </c>
      <c r="G291" s="12">
        <v>708</v>
      </c>
      <c r="H291" s="12" t="s">
        <v>29</v>
      </c>
    </row>
    <row r="292" spans="1:8" x14ac:dyDescent="0.25">
      <c r="A292" s="11">
        <v>41821</v>
      </c>
      <c r="B292" s="12">
        <v>7944</v>
      </c>
      <c r="C292" s="12" t="s">
        <v>6</v>
      </c>
      <c r="D292" s="1"/>
      <c r="F292" s="11">
        <v>41365</v>
      </c>
      <c r="G292" s="12">
        <v>113005</v>
      </c>
      <c r="H292" s="12" t="s">
        <v>15</v>
      </c>
    </row>
    <row r="293" spans="1:8" x14ac:dyDescent="0.25">
      <c r="A293" s="11">
        <v>41821</v>
      </c>
      <c r="B293" s="12">
        <v>33024</v>
      </c>
      <c r="C293" s="12" t="s">
        <v>2</v>
      </c>
      <c r="D293" s="1"/>
      <c r="F293" s="11">
        <v>41365</v>
      </c>
      <c r="G293" s="12">
        <v>9978</v>
      </c>
      <c r="H293" s="12" t="s">
        <v>16</v>
      </c>
    </row>
    <row r="294" spans="1:8" x14ac:dyDescent="0.25">
      <c r="A294" s="11">
        <v>41852</v>
      </c>
      <c r="B294" s="12">
        <v>9945</v>
      </c>
      <c r="C294" s="12" t="s">
        <v>6</v>
      </c>
      <c r="D294" s="1"/>
      <c r="F294" s="11">
        <v>41365</v>
      </c>
      <c r="G294" s="12">
        <v>650</v>
      </c>
      <c r="H294" s="12" t="s">
        <v>29</v>
      </c>
    </row>
    <row r="295" spans="1:8" x14ac:dyDescent="0.25">
      <c r="A295" s="11">
        <v>41852</v>
      </c>
      <c r="B295" s="12">
        <v>38072</v>
      </c>
      <c r="C295" s="12" t="s">
        <v>2</v>
      </c>
      <c r="D295" s="1"/>
      <c r="F295" s="11">
        <v>41395</v>
      </c>
      <c r="G295" s="12">
        <v>103719</v>
      </c>
      <c r="H295" s="12" t="s">
        <v>15</v>
      </c>
    </row>
    <row r="296" spans="1:8" x14ac:dyDescent="0.25">
      <c r="A296" s="11">
        <v>41883</v>
      </c>
      <c r="B296" s="12">
        <v>10570</v>
      </c>
      <c r="C296" s="12" t="s">
        <v>6</v>
      </c>
      <c r="D296" s="1"/>
      <c r="F296" s="11">
        <v>41395</v>
      </c>
      <c r="G296" s="12">
        <v>11451</v>
      </c>
      <c r="H296" s="12" t="s">
        <v>16</v>
      </c>
    </row>
    <row r="297" spans="1:8" x14ac:dyDescent="0.25">
      <c r="A297" s="11">
        <v>41883</v>
      </c>
      <c r="B297" s="12">
        <v>39712</v>
      </c>
      <c r="C297" s="12" t="s">
        <v>2</v>
      </c>
      <c r="D297" s="1"/>
      <c r="F297" s="11">
        <v>41395</v>
      </c>
      <c r="G297" s="12">
        <v>633</v>
      </c>
      <c r="H297" s="12" t="s">
        <v>29</v>
      </c>
    </row>
    <row r="298" spans="1:8" x14ac:dyDescent="0.25">
      <c r="A298" s="11">
        <v>41913</v>
      </c>
      <c r="B298" s="12">
        <v>10504</v>
      </c>
      <c r="C298" s="12" t="s">
        <v>6</v>
      </c>
      <c r="D298" s="1"/>
      <c r="F298" s="11">
        <v>41426</v>
      </c>
      <c r="G298" s="12">
        <v>95107</v>
      </c>
      <c r="H298" s="12" t="s">
        <v>15</v>
      </c>
    </row>
    <row r="299" spans="1:8" x14ac:dyDescent="0.25">
      <c r="A299" s="11">
        <v>41913</v>
      </c>
      <c r="B299" s="12">
        <v>39108</v>
      </c>
      <c r="C299" s="12" t="s">
        <v>2</v>
      </c>
      <c r="D299" s="1"/>
      <c r="F299" s="11">
        <v>41426</v>
      </c>
      <c r="G299" s="12">
        <v>11640</v>
      </c>
      <c r="H299" s="12" t="s">
        <v>16</v>
      </c>
    </row>
    <row r="300" spans="1:8" x14ac:dyDescent="0.25">
      <c r="A300" s="11">
        <v>41944</v>
      </c>
      <c r="B300" s="12">
        <v>11170</v>
      </c>
      <c r="C300" s="12" t="s">
        <v>6</v>
      </c>
      <c r="D300" s="1"/>
      <c r="F300" s="11">
        <v>41426</v>
      </c>
      <c r="G300" s="12">
        <v>604</v>
      </c>
      <c r="H300" s="12" t="s">
        <v>29</v>
      </c>
    </row>
    <row r="301" spans="1:8" x14ac:dyDescent="0.25">
      <c r="A301" s="11">
        <v>41944</v>
      </c>
      <c r="B301" s="12">
        <v>38839</v>
      </c>
      <c r="C301" s="12" t="s">
        <v>2</v>
      </c>
      <c r="D301" s="1"/>
      <c r="F301" s="11">
        <v>41456</v>
      </c>
      <c r="G301" s="12">
        <v>102480</v>
      </c>
      <c r="H301" s="12" t="s">
        <v>15</v>
      </c>
    </row>
    <row r="302" spans="1:8" x14ac:dyDescent="0.25">
      <c r="A302" s="11">
        <v>41974</v>
      </c>
      <c r="B302" s="12">
        <v>11302</v>
      </c>
      <c r="C302" s="12" t="s">
        <v>6</v>
      </c>
      <c r="D302" s="1"/>
      <c r="F302" s="11">
        <v>41456</v>
      </c>
      <c r="G302" s="12">
        <v>15624</v>
      </c>
      <c r="H302" s="12" t="s">
        <v>16</v>
      </c>
    </row>
    <row r="303" spans="1:8" x14ac:dyDescent="0.25">
      <c r="A303" s="11">
        <v>41974</v>
      </c>
      <c r="B303" s="12">
        <v>37604</v>
      </c>
      <c r="C303" s="12" t="s">
        <v>2</v>
      </c>
      <c r="D303" s="1"/>
      <c r="F303" s="11">
        <v>41456</v>
      </c>
      <c r="G303" s="12">
        <v>436</v>
      </c>
      <c r="H303" s="12" t="s">
        <v>29</v>
      </c>
    </row>
    <row r="304" spans="1:8" x14ac:dyDescent="0.25">
      <c r="A304" s="11">
        <v>42005</v>
      </c>
      <c r="B304" s="12">
        <v>13831</v>
      </c>
      <c r="C304" s="12" t="s">
        <v>6</v>
      </c>
      <c r="D304" s="1"/>
      <c r="F304" s="11">
        <v>41487</v>
      </c>
      <c r="G304" s="12">
        <v>85115</v>
      </c>
      <c r="H304" s="12" t="s">
        <v>15</v>
      </c>
    </row>
    <row r="305" spans="1:8" x14ac:dyDescent="0.25">
      <c r="A305" s="11">
        <v>42005</v>
      </c>
      <c r="B305" s="12">
        <v>36928</v>
      </c>
      <c r="C305" s="12" t="s">
        <v>2</v>
      </c>
      <c r="D305" s="1"/>
      <c r="F305" s="11">
        <v>41487</v>
      </c>
      <c r="G305" s="12">
        <v>14982</v>
      </c>
      <c r="H305" s="12" t="s">
        <v>16</v>
      </c>
    </row>
    <row r="306" spans="1:8" x14ac:dyDescent="0.25">
      <c r="A306" s="11">
        <v>42036</v>
      </c>
      <c r="B306" s="12">
        <v>13752</v>
      </c>
      <c r="C306" s="12" t="s">
        <v>6</v>
      </c>
      <c r="D306" s="1"/>
      <c r="F306" s="11">
        <v>41487</v>
      </c>
      <c r="G306" s="12">
        <v>477</v>
      </c>
      <c r="H306" s="12" t="s">
        <v>29</v>
      </c>
    </row>
    <row r="307" spans="1:8" x14ac:dyDescent="0.25">
      <c r="A307" s="11">
        <v>42036</v>
      </c>
      <c r="B307" s="12">
        <v>38773</v>
      </c>
      <c r="C307" s="12" t="s">
        <v>2</v>
      </c>
      <c r="D307" s="1"/>
      <c r="F307" s="11">
        <v>41518</v>
      </c>
      <c r="G307" s="12">
        <v>66894</v>
      </c>
      <c r="H307" s="12" t="s">
        <v>15</v>
      </c>
    </row>
    <row r="308" spans="1:8" x14ac:dyDescent="0.25">
      <c r="A308" s="11">
        <v>42064</v>
      </c>
      <c r="B308" s="12">
        <v>15828</v>
      </c>
      <c r="C308" s="12" t="s">
        <v>6</v>
      </c>
      <c r="D308" s="1"/>
      <c r="F308" s="11">
        <v>41518</v>
      </c>
      <c r="G308" s="12">
        <v>14165</v>
      </c>
      <c r="H308" s="12" t="s">
        <v>16</v>
      </c>
    </row>
    <row r="309" spans="1:8" x14ac:dyDescent="0.25">
      <c r="A309" s="11">
        <v>42064</v>
      </c>
      <c r="B309" s="12">
        <v>35617</v>
      </c>
      <c r="C309" s="12" t="s">
        <v>2</v>
      </c>
      <c r="D309" s="1"/>
      <c r="F309" s="11">
        <v>41518</v>
      </c>
      <c r="G309" s="12">
        <v>637</v>
      </c>
      <c r="H309" s="12" t="s">
        <v>29</v>
      </c>
    </row>
    <row r="310" spans="1:8" x14ac:dyDescent="0.25">
      <c r="A310" s="11">
        <v>42095</v>
      </c>
      <c r="B310" s="12">
        <v>44169</v>
      </c>
      <c r="C310" s="12" t="s">
        <v>2</v>
      </c>
      <c r="D310" s="1"/>
      <c r="F310" s="11">
        <v>41548</v>
      </c>
      <c r="G310" s="12">
        <v>47860</v>
      </c>
      <c r="H310" s="12" t="s">
        <v>15</v>
      </c>
    </row>
    <row r="311" spans="1:8" x14ac:dyDescent="0.25">
      <c r="A311" s="11">
        <v>42095</v>
      </c>
      <c r="B311" s="12">
        <v>24093</v>
      </c>
      <c r="C311" s="12" t="s">
        <v>6</v>
      </c>
      <c r="D311" s="1"/>
      <c r="F311" s="11">
        <v>41548</v>
      </c>
      <c r="G311" s="12">
        <v>13624</v>
      </c>
      <c r="H311" s="12" t="s">
        <v>16</v>
      </c>
    </row>
    <row r="312" spans="1:8" x14ac:dyDescent="0.25">
      <c r="A312" s="11">
        <v>42125</v>
      </c>
      <c r="B312" s="12">
        <v>58780</v>
      </c>
      <c r="C312" s="12" t="s">
        <v>2</v>
      </c>
      <c r="D312" s="1"/>
      <c r="F312" s="11">
        <v>41548</v>
      </c>
      <c r="G312" s="12">
        <v>496</v>
      </c>
      <c r="H312" s="12" t="s">
        <v>29</v>
      </c>
    </row>
    <row r="313" spans="1:8" x14ac:dyDescent="0.25">
      <c r="A313" s="11">
        <v>42125</v>
      </c>
      <c r="B313" s="12">
        <v>26719</v>
      </c>
      <c r="C313" s="12" t="s">
        <v>6</v>
      </c>
      <c r="D313" s="1"/>
      <c r="F313" s="11">
        <v>41579</v>
      </c>
      <c r="G313" s="12">
        <v>36562</v>
      </c>
      <c r="H313" s="12" t="s">
        <v>15</v>
      </c>
    </row>
    <row r="314" spans="1:8" x14ac:dyDescent="0.25">
      <c r="A314" s="11">
        <v>42156</v>
      </c>
      <c r="B314" s="12">
        <v>20847</v>
      </c>
      <c r="C314" s="12" t="s">
        <v>6</v>
      </c>
      <c r="D314" s="1"/>
      <c r="F314" s="11">
        <v>41579</v>
      </c>
      <c r="G314" s="12">
        <v>11286</v>
      </c>
      <c r="H314" s="12" t="s">
        <v>16</v>
      </c>
    </row>
    <row r="315" spans="1:8" x14ac:dyDescent="0.25">
      <c r="A315" s="11">
        <v>42156</v>
      </c>
      <c r="B315" s="12">
        <v>54620</v>
      </c>
      <c r="C315" s="12" t="s">
        <v>2</v>
      </c>
      <c r="D315" s="1"/>
      <c r="F315" s="11">
        <v>41579</v>
      </c>
      <c r="G315" s="12">
        <v>575</v>
      </c>
      <c r="H315" s="12" t="s">
        <v>29</v>
      </c>
    </row>
    <row r="316" spans="1:8" x14ac:dyDescent="0.25">
      <c r="A316" s="11">
        <v>42186</v>
      </c>
      <c r="B316" s="12">
        <v>50424</v>
      </c>
      <c r="C316" s="12" t="s">
        <v>2</v>
      </c>
      <c r="D316" s="1"/>
      <c r="F316" s="11">
        <v>41609</v>
      </c>
      <c r="G316" s="12">
        <v>35033</v>
      </c>
      <c r="H316" s="12" t="s">
        <v>15</v>
      </c>
    </row>
    <row r="317" spans="1:8" x14ac:dyDescent="0.25">
      <c r="A317" s="11">
        <v>42186</v>
      </c>
      <c r="B317" s="12">
        <v>17987</v>
      </c>
      <c r="C317" s="12" t="s">
        <v>6</v>
      </c>
      <c r="D317" s="1"/>
      <c r="F317" s="11">
        <v>41609</v>
      </c>
      <c r="G317" s="12">
        <v>12595</v>
      </c>
      <c r="H317" s="12" t="s">
        <v>16</v>
      </c>
    </row>
    <row r="318" spans="1:8" x14ac:dyDescent="0.25">
      <c r="A318" s="11">
        <v>42217</v>
      </c>
      <c r="B318" s="12">
        <v>51211</v>
      </c>
      <c r="C318" s="12" t="s">
        <v>2</v>
      </c>
      <c r="D318" s="1"/>
      <c r="F318" s="11">
        <v>41609</v>
      </c>
      <c r="G318" s="12">
        <v>506</v>
      </c>
      <c r="H318" s="12" t="s">
        <v>29</v>
      </c>
    </row>
    <row r="319" spans="1:8" x14ac:dyDescent="0.25">
      <c r="A319" s="11">
        <v>42217</v>
      </c>
      <c r="B319" s="12">
        <v>14250</v>
      </c>
      <c r="C319" s="12" t="s">
        <v>6</v>
      </c>
      <c r="D319" s="1"/>
      <c r="F319" s="11">
        <v>41640</v>
      </c>
      <c r="G319" s="12">
        <v>35077</v>
      </c>
      <c r="H319" s="12" t="s">
        <v>15</v>
      </c>
    </row>
    <row r="320" spans="1:8" x14ac:dyDescent="0.25">
      <c r="A320" s="11">
        <v>42248</v>
      </c>
      <c r="B320" s="12">
        <v>48040</v>
      </c>
      <c r="C320" s="12" t="s">
        <v>2</v>
      </c>
      <c r="D320" s="1"/>
      <c r="F320" s="11">
        <v>41640</v>
      </c>
      <c r="G320" s="12">
        <v>11847</v>
      </c>
      <c r="H320" s="12" t="s">
        <v>16</v>
      </c>
    </row>
    <row r="321" spans="1:8" x14ac:dyDescent="0.25">
      <c r="A321" s="11">
        <v>42248</v>
      </c>
      <c r="B321" s="12">
        <v>11509</v>
      </c>
      <c r="C321" s="12" t="s">
        <v>6</v>
      </c>
      <c r="D321" s="1"/>
      <c r="F321" s="11">
        <v>41640</v>
      </c>
      <c r="G321" s="12">
        <v>342</v>
      </c>
      <c r="H321" s="12" t="s">
        <v>29</v>
      </c>
    </row>
    <row r="322" spans="1:8" x14ac:dyDescent="0.25">
      <c r="A322" s="11">
        <v>42278</v>
      </c>
      <c r="B322" s="12">
        <v>10672</v>
      </c>
      <c r="C322" s="12" t="s">
        <v>6</v>
      </c>
      <c r="D322" s="1"/>
      <c r="F322" s="11">
        <v>41671</v>
      </c>
      <c r="G322" s="12">
        <v>35365</v>
      </c>
      <c r="H322" s="12" t="s">
        <v>15</v>
      </c>
    </row>
    <row r="323" spans="1:8" x14ac:dyDescent="0.25">
      <c r="A323" s="11">
        <v>42278</v>
      </c>
      <c r="B323" s="12">
        <v>45509</v>
      </c>
      <c r="C323" s="12" t="s">
        <v>2</v>
      </c>
      <c r="D323" s="1"/>
      <c r="F323" s="11">
        <v>41671</v>
      </c>
      <c r="G323" s="12">
        <v>12433</v>
      </c>
      <c r="H323" s="12" t="s">
        <v>16</v>
      </c>
    </row>
    <row r="324" spans="1:8" x14ac:dyDescent="0.25">
      <c r="A324" s="11">
        <v>42309</v>
      </c>
      <c r="B324" s="12">
        <v>46090</v>
      </c>
      <c r="C324" s="12" t="s">
        <v>2</v>
      </c>
      <c r="D324" s="1"/>
      <c r="F324" s="11">
        <v>41671</v>
      </c>
      <c r="G324" s="12">
        <v>309</v>
      </c>
      <c r="H324" s="12" t="s">
        <v>29</v>
      </c>
    </row>
    <row r="325" spans="1:8" x14ac:dyDescent="0.25">
      <c r="A325" s="11">
        <v>42309</v>
      </c>
      <c r="B325" s="12">
        <v>11546</v>
      </c>
      <c r="C325" s="12" t="s">
        <v>6</v>
      </c>
      <c r="D325" s="1"/>
      <c r="F325" s="11">
        <v>41699</v>
      </c>
      <c r="G325" s="12">
        <v>26426</v>
      </c>
      <c r="H325" s="12" t="s">
        <v>15</v>
      </c>
    </row>
    <row r="326" spans="1:8" x14ac:dyDescent="0.25">
      <c r="A326" s="11">
        <v>42339</v>
      </c>
      <c r="B326" s="12">
        <v>11998</v>
      </c>
      <c r="C326" s="12" t="s">
        <v>6</v>
      </c>
      <c r="D326" s="1"/>
      <c r="F326" s="11">
        <v>41699</v>
      </c>
      <c r="G326" s="12">
        <v>8221</v>
      </c>
      <c r="H326" s="12" t="s">
        <v>16</v>
      </c>
    </row>
    <row r="327" spans="1:8" x14ac:dyDescent="0.25">
      <c r="A327" s="11">
        <v>42339</v>
      </c>
      <c r="B327" s="12">
        <v>45232</v>
      </c>
      <c r="C327" s="12" t="s">
        <v>2</v>
      </c>
      <c r="D327" s="1"/>
      <c r="F327" s="11">
        <v>41699</v>
      </c>
      <c r="G327" s="12">
        <v>370</v>
      </c>
      <c r="H327" s="12" t="s">
        <v>29</v>
      </c>
    </row>
    <row r="328" spans="1:8" x14ac:dyDescent="0.25">
      <c r="A328" s="11">
        <v>42370</v>
      </c>
      <c r="B328" s="12">
        <v>36984</v>
      </c>
      <c r="C328" s="12" t="s">
        <v>2</v>
      </c>
      <c r="D328" s="1"/>
      <c r="F328" s="11">
        <v>41730</v>
      </c>
      <c r="G328" s="12">
        <v>23600</v>
      </c>
      <c r="H328" s="12" t="s">
        <v>15</v>
      </c>
    </row>
    <row r="329" spans="1:8" x14ac:dyDescent="0.25">
      <c r="A329" s="11">
        <v>42370</v>
      </c>
      <c r="B329" s="12">
        <v>10535</v>
      </c>
      <c r="C329" s="12" t="s">
        <v>6</v>
      </c>
      <c r="D329" s="1"/>
      <c r="F329" s="11">
        <v>41730</v>
      </c>
      <c r="G329" s="12">
        <v>8505</v>
      </c>
      <c r="H329" s="12" t="s">
        <v>16</v>
      </c>
    </row>
    <row r="330" spans="1:8" x14ac:dyDescent="0.25">
      <c r="A330" s="11">
        <v>42401</v>
      </c>
      <c r="B330" s="12">
        <v>6239</v>
      </c>
      <c r="C330" s="12" t="s">
        <v>6</v>
      </c>
      <c r="D330" s="1"/>
      <c r="F330" s="11">
        <v>41730</v>
      </c>
      <c r="G330" s="12">
        <v>356</v>
      </c>
      <c r="H330" s="12" t="s">
        <v>29</v>
      </c>
    </row>
    <row r="331" spans="1:8" x14ac:dyDescent="0.25">
      <c r="A331" s="11">
        <v>42401</v>
      </c>
      <c r="B331" s="12">
        <v>25348</v>
      </c>
      <c r="C331" s="12" t="s">
        <v>2</v>
      </c>
      <c r="D331" s="1"/>
      <c r="F331" s="11">
        <v>41760</v>
      </c>
      <c r="G331" s="12">
        <v>29027</v>
      </c>
      <c r="H331" s="12" t="s">
        <v>15</v>
      </c>
    </row>
    <row r="332" spans="1:8" x14ac:dyDescent="0.25">
      <c r="A332" s="11">
        <v>42430</v>
      </c>
      <c r="B332" s="12">
        <v>1077</v>
      </c>
      <c r="C332" s="12" t="s">
        <v>2</v>
      </c>
      <c r="D332" s="1"/>
      <c r="F332" s="11">
        <v>41760</v>
      </c>
      <c r="G332" s="12">
        <v>10922</v>
      </c>
      <c r="H332" s="12" t="s">
        <v>16</v>
      </c>
    </row>
    <row r="333" spans="1:8" x14ac:dyDescent="0.25">
      <c r="A333" s="11">
        <v>42430</v>
      </c>
      <c r="B333" s="12">
        <v>426</v>
      </c>
      <c r="C333" s="12" t="s">
        <v>6</v>
      </c>
      <c r="D333" s="1"/>
      <c r="F333" s="11">
        <v>41760</v>
      </c>
      <c r="G333" s="12">
        <v>281</v>
      </c>
      <c r="H333" s="12" t="s">
        <v>29</v>
      </c>
    </row>
    <row r="334" spans="1:8" x14ac:dyDescent="0.25">
      <c r="D334" s="1"/>
      <c r="F334" s="11">
        <v>41791</v>
      </c>
      <c r="G334" s="12">
        <v>28783</v>
      </c>
      <c r="H334" s="12" t="s">
        <v>15</v>
      </c>
    </row>
    <row r="335" spans="1:8" x14ac:dyDescent="0.25">
      <c r="D335" s="1"/>
      <c r="F335" s="11">
        <v>41791</v>
      </c>
      <c r="G335" s="12">
        <v>11991</v>
      </c>
      <c r="H335" s="12" t="s">
        <v>16</v>
      </c>
    </row>
    <row r="336" spans="1:8" x14ac:dyDescent="0.25">
      <c r="D336" s="1"/>
      <c r="F336" s="11">
        <v>41791</v>
      </c>
      <c r="G336" s="12">
        <v>94</v>
      </c>
      <c r="H336" s="12" t="s">
        <v>29</v>
      </c>
    </row>
    <row r="337" spans="4:8" x14ac:dyDescent="0.25">
      <c r="D337" s="1"/>
      <c r="F337" s="11">
        <v>41821</v>
      </c>
      <c r="G337" s="12">
        <v>27454</v>
      </c>
      <c r="H337" s="12" t="s">
        <v>15</v>
      </c>
    </row>
    <row r="338" spans="4:8" x14ac:dyDescent="0.25">
      <c r="D338" s="1"/>
      <c r="F338" s="11">
        <v>41821</v>
      </c>
      <c r="G338" s="12">
        <v>13489</v>
      </c>
      <c r="H338" s="12" t="s">
        <v>16</v>
      </c>
    </row>
    <row r="339" spans="4:8" x14ac:dyDescent="0.25">
      <c r="D339" s="1"/>
      <c r="F339" s="11">
        <v>41821</v>
      </c>
      <c r="G339" s="12">
        <v>25</v>
      </c>
      <c r="H339" s="12" t="s">
        <v>29</v>
      </c>
    </row>
    <row r="340" spans="4:8" x14ac:dyDescent="0.25">
      <c r="D340" s="1"/>
      <c r="F340" s="11">
        <v>41852</v>
      </c>
      <c r="G340" s="12">
        <v>31701</v>
      </c>
      <c r="H340" s="12" t="s">
        <v>15</v>
      </c>
    </row>
    <row r="341" spans="4:8" x14ac:dyDescent="0.25">
      <c r="D341" s="1"/>
      <c r="F341" s="11">
        <v>41852</v>
      </c>
      <c r="G341" s="12">
        <v>16316</v>
      </c>
      <c r="H341" s="12" t="s">
        <v>16</v>
      </c>
    </row>
    <row r="342" spans="4:8" x14ac:dyDescent="0.25">
      <c r="D342" s="1"/>
      <c r="F342" s="11">
        <v>41883</v>
      </c>
      <c r="G342" s="12">
        <v>33633</v>
      </c>
      <c r="H342" s="12" t="s">
        <v>15</v>
      </c>
    </row>
    <row r="343" spans="4:8" x14ac:dyDescent="0.25">
      <c r="D343" s="1"/>
      <c r="F343" s="11">
        <v>41883</v>
      </c>
      <c r="G343" s="12">
        <v>16649</v>
      </c>
      <c r="H343" s="12" t="s">
        <v>16</v>
      </c>
    </row>
    <row r="344" spans="4:8" x14ac:dyDescent="0.25">
      <c r="D344" s="1"/>
      <c r="F344" s="11">
        <v>41913</v>
      </c>
      <c r="G344" s="12">
        <v>34036</v>
      </c>
      <c r="H344" s="12" t="s">
        <v>15</v>
      </c>
    </row>
    <row r="345" spans="4:8" x14ac:dyDescent="0.25">
      <c r="D345" s="1"/>
      <c r="F345" s="11">
        <v>41913</v>
      </c>
      <c r="G345" s="12">
        <v>15576</v>
      </c>
      <c r="H345" s="12" t="s">
        <v>16</v>
      </c>
    </row>
    <row r="346" spans="4:8" x14ac:dyDescent="0.25">
      <c r="D346" s="1"/>
      <c r="F346" s="11">
        <v>41944</v>
      </c>
      <c r="G346" s="12">
        <v>36023</v>
      </c>
      <c r="H346" s="12" t="s">
        <v>15</v>
      </c>
    </row>
    <row r="347" spans="4:8" x14ac:dyDescent="0.25">
      <c r="D347" s="1"/>
      <c r="F347" s="11">
        <v>41944</v>
      </c>
      <c r="G347" s="12">
        <v>13986</v>
      </c>
      <c r="H347" s="12" t="s">
        <v>16</v>
      </c>
    </row>
    <row r="348" spans="4:8" x14ac:dyDescent="0.25">
      <c r="D348" s="1"/>
      <c r="F348" s="11">
        <v>41974</v>
      </c>
      <c r="G348" s="12">
        <v>35867</v>
      </c>
      <c r="H348" s="12" t="s">
        <v>15</v>
      </c>
    </row>
    <row r="349" spans="4:8" x14ac:dyDescent="0.25">
      <c r="D349" s="1"/>
      <c r="F349" s="11">
        <v>41974</v>
      </c>
      <c r="G349" s="12">
        <v>13039</v>
      </c>
      <c r="H349" s="12" t="s">
        <v>16</v>
      </c>
    </row>
    <row r="350" spans="4:8" x14ac:dyDescent="0.25">
      <c r="D350" s="1"/>
      <c r="F350" s="11">
        <v>42005</v>
      </c>
      <c r="G350" s="12">
        <v>39892</v>
      </c>
      <c r="H350" s="12" t="s">
        <v>15</v>
      </c>
    </row>
    <row r="351" spans="4:8" x14ac:dyDescent="0.25">
      <c r="D351" s="1"/>
      <c r="F351" s="11">
        <v>42005</v>
      </c>
      <c r="G351" s="12">
        <v>10867</v>
      </c>
      <c r="H351" s="12" t="s">
        <v>16</v>
      </c>
    </row>
    <row r="352" spans="4:8" x14ac:dyDescent="0.25">
      <c r="D352" s="1"/>
      <c r="F352" s="11">
        <v>42036</v>
      </c>
      <c r="G352" s="12">
        <v>40915</v>
      </c>
      <c r="H352" s="12" t="s">
        <v>15</v>
      </c>
    </row>
    <row r="353" spans="4:8" x14ac:dyDescent="0.25">
      <c r="D353" s="1"/>
      <c r="F353" s="11">
        <v>42036</v>
      </c>
      <c r="G353" s="12">
        <v>11610</v>
      </c>
      <c r="H353" s="12" t="s">
        <v>16</v>
      </c>
    </row>
    <row r="354" spans="4:8" x14ac:dyDescent="0.25">
      <c r="D354" s="1"/>
      <c r="F354" s="11">
        <v>42064</v>
      </c>
      <c r="G354" s="12">
        <v>43058</v>
      </c>
      <c r="H354" s="12" t="s">
        <v>15</v>
      </c>
    </row>
    <row r="355" spans="4:8" x14ac:dyDescent="0.25">
      <c r="D355" s="1"/>
      <c r="F355" s="11">
        <v>42064</v>
      </c>
      <c r="G355" s="12">
        <v>8387</v>
      </c>
      <c r="H355" s="12" t="s">
        <v>16</v>
      </c>
    </row>
    <row r="356" spans="4:8" x14ac:dyDescent="0.25">
      <c r="D356" s="1"/>
      <c r="F356" s="11">
        <v>42095</v>
      </c>
      <c r="G356" s="12">
        <v>9362</v>
      </c>
      <c r="H356" s="12" t="s">
        <v>16</v>
      </c>
    </row>
    <row r="357" spans="4:8" x14ac:dyDescent="0.25">
      <c r="D357" s="1"/>
      <c r="F357" s="11">
        <v>42095</v>
      </c>
      <c r="G357" s="12">
        <v>58900</v>
      </c>
      <c r="H357" s="12" t="s">
        <v>15</v>
      </c>
    </row>
    <row r="358" spans="4:8" x14ac:dyDescent="0.25">
      <c r="D358" s="1"/>
      <c r="F358" s="11">
        <v>42125</v>
      </c>
      <c r="G358" s="12">
        <v>13263</v>
      </c>
      <c r="H358" s="12" t="s">
        <v>16</v>
      </c>
    </row>
    <row r="359" spans="4:8" x14ac:dyDescent="0.25">
      <c r="D359" s="1"/>
      <c r="F359" s="11">
        <v>42125</v>
      </c>
      <c r="G359" s="12">
        <v>72236</v>
      </c>
      <c r="H359" s="12" t="s">
        <v>15</v>
      </c>
    </row>
    <row r="360" spans="4:8" x14ac:dyDescent="0.25">
      <c r="D360" s="1"/>
      <c r="F360" s="11">
        <v>42156</v>
      </c>
      <c r="G360" s="12">
        <v>61051</v>
      </c>
      <c r="H360" s="12" t="s">
        <v>15</v>
      </c>
    </row>
    <row r="361" spans="4:8" x14ac:dyDescent="0.25">
      <c r="D361" s="1"/>
      <c r="F361" s="11">
        <v>42156</v>
      </c>
      <c r="G361" s="12">
        <v>14416</v>
      </c>
      <c r="H361" s="12" t="s">
        <v>16</v>
      </c>
    </row>
    <row r="362" spans="4:8" x14ac:dyDescent="0.25">
      <c r="D362" s="1"/>
      <c r="F362" s="11">
        <v>42186</v>
      </c>
      <c r="G362" s="12">
        <v>15500</v>
      </c>
      <c r="H362" s="12" t="s">
        <v>16</v>
      </c>
    </row>
    <row r="363" spans="4:8" x14ac:dyDescent="0.25">
      <c r="D363" s="1"/>
      <c r="F363" s="11">
        <v>42186</v>
      </c>
      <c r="G363" s="12">
        <v>52911</v>
      </c>
      <c r="H363" s="12" t="s">
        <v>15</v>
      </c>
    </row>
    <row r="364" spans="4:8" x14ac:dyDescent="0.25">
      <c r="D364" s="1"/>
      <c r="F364" s="11">
        <v>42217</v>
      </c>
      <c r="G364" s="12">
        <v>17225</v>
      </c>
      <c r="H364" s="12" t="s">
        <v>16</v>
      </c>
    </row>
    <row r="365" spans="4:8" x14ac:dyDescent="0.25">
      <c r="D365" s="1"/>
      <c r="F365" s="11">
        <v>42217</v>
      </c>
      <c r="G365" s="12">
        <v>48236</v>
      </c>
      <c r="H365" s="12" t="s">
        <v>15</v>
      </c>
    </row>
    <row r="366" spans="4:8" x14ac:dyDescent="0.25">
      <c r="D366" s="1"/>
      <c r="F366" s="11">
        <v>42248</v>
      </c>
      <c r="G366" s="12">
        <v>17221</v>
      </c>
      <c r="H366" s="12" t="s">
        <v>16</v>
      </c>
    </row>
    <row r="367" spans="4:8" x14ac:dyDescent="0.25">
      <c r="D367" s="1"/>
      <c r="F367" s="11">
        <v>42248</v>
      </c>
      <c r="G367" s="12">
        <v>42328</v>
      </c>
      <c r="H367" s="12" t="s">
        <v>15</v>
      </c>
    </row>
    <row r="368" spans="4:8" x14ac:dyDescent="0.25">
      <c r="D368" s="1"/>
      <c r="F368" s="11">
        <v>42278</v>
      </c>
      <c r="G368" s="12">
        <v>39780</v>
      </c>
      <c r="H368" s="12" t="s">
        <v>15</v>
      </c>
    </row>
    <row r="369" spans="4:8" x14ac:dyDescent="0.25">
      <c r="D369" s="1"/>
      <c r="F369" s="11">
        <v>42278</v>
      </c>
      <c r="G369" s="12">
        <v>16401</v>
      </c>
      <c r="H369" s="12" t="s">
        <v>16</v>
      </c>
    </row>
    <row r="370" spans="4:8" x14ac:dyDescent="0.25">
      <c r="D370" s="1"/>
      <c r="F370" s="11">
        <v>42309</v>
      </c>
      <c r="G370" s="12">
        <v>15285</v>
      </c>
      <c r="H370" s="12" t="s">
        <v>16</v>
      </c>
    </row>
    <row r="371" spans="4:8" x14ac:dyDescent="0.25">
      <c r="D371" s="1"/>
      <c r="F371" s="11">
        <v>42309</v>
      </c>
      <c r="G371" s="12">
        <v>42351</v>
      </c>
      <c r="H371" s="12" t="s">
        <v>15</v>
      </c>
    </row>
    <row r="372" spans="4:8" x14ac:dyDescent="0.25">
      <c r="D372" s="1"/>
      <c r="F372" s="11">
        <v>42339</v>
      </c>
      <c r="G372" s="12">
        <v>43420</v>
      </c>
      <c r="H372" s="12" t="s">
        <v>15</v>
      </c>
    </row>
    <row r="373" spans="4:8" x14ac:dyDescent="0.25">
      <c r="D373" s="1"/>
      <c r="F373" s="11">
        <v>42339</v>
      </c>
      <c r="G373" s="12">
        <v>13810</v>
      </c>
      <c r="H373" s="12" t="s">
        <v>16</v>
      </c>
    </row>
    <row r="374" spans="4:8" x14ac:dyDescent="0.25">
      <c r="D374" s="1"/>
      <c r="F374" s="11">
        <v>42370</v>
      </c>
      <c r="G374" s="12">
        <v>10624</v>
      </c>
      <c r="H374" s="12" t="s">
        <v>16</v>
      </c>
    </row>
    <row r="375" spans="4:8" x14ac:dyDescent="0.25">
      <c r="D375" s="1"/>
      <c r="F375" s="11">
        <v>42370</v>
      </c>
      <c r="G375" s="12">
        <v>36895</v>
      </c>
      <c r="H375" s="12" t="s">
        <v>15</v>
      </c>
    </row>
    <row r="376" spans="4:8" x14ac:dyDescent="0.25">
      <c r="D376" s="1"/>
      <c r="F376" s="11">
        <v>42401</v>
      </c>
      <c r="G376" s="12">
        <v>24422</v>
      </c>
      <c r="H376" s="12" t="s">
        <v>15</v>
      </c>
    </row>
    <row r="377" spans="4:8" x14ac:dyDescent="0.25">
      <c r="D377" s="1"/>
      <c r="F377" s="11">
        <v>42401</v>
      </c>
      <c r="G377" s="12">
        <v>7165</v>
      </c>
      <c r="H377" s="12" t="s">
        <v>16</v>
      </c>
    </row>
    <row r="378" spans="4:8" x14ac:dyDescent="0.25">
      <c r="D378" s="1"/>
      <c r="F378" s="11">
        <v>42430</v>
      </c>
      <c r="G378" s="12">
        <v>257</v>
      </c>
      <c r="H378" s="12" t="s">
        <v>16</v>
      </c>
    </row>
    <row r="379" spans="4:8" x14ac:dyDescent="0.25">
      <c r="D379" s="1"/>
      <c r="F379" s="11">
        <v>42430</v>
      </c>
      <c r="G379" s="12">
        <v>1246</v>
      </c>
      <c r="H379" s="12" t="s">
        <v>15</v>
      </c>
    </row>
    <row r="380" spans="4:8" x14ac:dyDescent="0.25">
      <c r="D380" s="1"/>
    </row>
    <row r="381" spans="4:8" x14ac:dyDescent="0.25">
      <c r="D381" s="1"/>
    </row>
    <row r="382" spans="4:8" x14ac:dyDescent="0.25">
      <c r="D382" s="1"/>
    </row>
    <row r="383" spans="4:8" x14ac:dyDescent="0.25">
      <c r="D383" s="1"/>
    </row>
    <row r="384" spans="4:8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33"/>
  <sheetViews>
    <sheetView topLeftCell="K1" workbookViewId="0">
      <selection activeCell="J58" sqref="J58"/>
    </sheetView>
  </sheetViews>
  <sheetFormatPr defaultRowHeight="15" x14ac:dyDescent="0.25"/>
  <cols>
    <col min="4" max="4" width="9.7109375" customWidth="1"/>
    <col min="5" max="5" width="7.42578125" customWidth="1"/>
    <col min="6" max="6" width="11.28515625" bestFit="1" customWidth="1"/>
    <col min="8" max="8" width="15.85546875" bestFit="1" customWidth="1"/>
    <col min="12" max="12" width="14.140625" customWidth="1"/>
    <col min="13" max="13" width="16.28515625" bestFit="1" customWidth="1"/>
    <col min="14" max="14" width="8" customWidth="1"/>
    <col min="15" max="15" width="9" customWidth="1"/>
    <col min="16" max="16" width="10.85546875" customWidth="1"/>
    <col min="17" max="17" width="9.5703125" customWidth="1"/>
    <col min="18" max="18" width="11.28515625" bestFit="1" customWidth="1"/>
    <col min="22" max="22" width="14.140625" customWidth="1"/>
    <col min="23" max="23" width="16.28515625" customWidth="1"/>
    <col min="24" max="24" width="12.42578125" customWidth="1"/>
    <col min="25" max="25" width="18.7109375" bestFit="1" customWidth="1"/>
    <col min="26" max="26" width="12.7109375" bestFit="1" customWidth="1"/>
    <col min="27" max="27" width="11.28515625" bestFit="1" customWidth="1"/>
  </cols>
  <sheetData>
    <row r="1" spans="1:35" x14ac:dyDescent="0.25">
      <c r="D1" t="s">
        <v>38</v>
      </c>
    </row>
    <row r="4" spans="1:35" x14ac:dyDescent="0.25">
      <c r="A4" s="12" t="s">
        <v>26</v>
      </c>
      <c r="B4" s="12" t="s">
        <v>0</v>
      </c>
      <c r="C4" s="12" t="s">
        <v>1</v>
      </c>
      <c r="F4" s="12" t="s">
        <v>26</v>
      </c>
      <c r="G4" s="12" t="s">
        <v>0</v>
      </c>
      <c r="H4" s="12" t="s">
        <v>13</v>
      </c>
      <c r="L4" s="2" t="s">
        <v>11</v>
      </c>
      <c r="M4" s="2" t="s">
        <v>10</v>
      </c>
      <c r="V4" s="2" t="s">
        <v>11</v>
      </c>
      <c r="W4" s="2" t="s">
        <v>10</v>
      </c>
    </row>
    <row r="5" spans="1:35" x14ac:dyDescent="0.25">
      <c r="A5" s="11">
        <v>38353</v>
      </c>
      <c r="B5">
        <v>3094</v>
      </c>
      <c r="C5" t="s">
        <v>2</v>
      </c>
      <c r="F5" s="11">
        <v>38353</v>
      </c>
      <c r="G5">
        <v>1679</v>
      </c>
      <c r="H5" s="12" t="s">
        <v>16</v>
      </c>
      <c r="L5" s="2" t="s">
        <v>7</v>
      </c>
      <c r="M5" t="s">
        <v>3</v>
      </c>
      <c r="N5" t="s">
        <v>5</v>
      </c>
      <c r="O5" t="s">
        <v>2</v>
      </c>
      <c r="P5" t="s">
        <v>4</v>
      </c>
      <c r="Q5" t="s">
        <v>6</v>
      </c>
      <c r="R5" t="s">
        <v>9</v>
      </c>
      <c r="V5" s="2" t="s">
        <v>7</v>
      </c>
      <c r="W5" t="s">
        <v>14</v>
      </c>
      <c r="X5" t="s">
        <v>29</v>
      </c>
      <c r="Y5" t="s">
        <v>16</v>
      </c>
      <c r="Z5" t="s">
        <v>15</v>
      </c>
      <c r="AA5" t="s">
        <v>9</v>
      </c>
      <c r="AE5" t="s">
        <v>39</v>
      </c>
      <c r="AF5" t="s">
        <v>41</v>
      </c>
      <c r="AG5" t="s">
        <v>43</v>
      </c>
      <c r="AH5" t="s">
        <v>40</v>
      </c>
      <c r="AI5" t="s">
        <v>42</v>
      </c>
    </row>
    <row r="6" spans="1:35" x14ac:dyDescent="0.25">
      <c r="A6" s="11">
        <v>38353</v>
      </c>
      <c r="B6" s="12">
        <v>290</v>
      </c>
      <c r="C6" s="12" t="s">
        <v>3</v>
      </c>
      <c r="D6" s="1"/>
      <c r="F6" s="11">
        <v>38353</v>
      </c>
      <c r="G6" s="12">
        <v>1468</v>
      </c>
      <c r="H6" s="12" t="s">
        <v>15</v>
      </c>
      <c r="L6" s="3">
        <v>38353</v>
      </c>
      <c r="M6" s="5">
        <v>290</v>
      </c>
      <c r="N6" s="5"/>
      <c r="O6" s="5">
        <v>3094</v>
      </c>
      <c r="P6" s="5"/>
      <c r="Q6" s="5"/>
      <c r="R6" s="5">
        <v>3384</v>
      </c>
      <c r="V6" s="3">
        <v>38353</v>
      </c>
      <c r="W6" s="5">
        <v>237</v>
      </c>
      <c r="X6" s="5"/>
      <c r="Y6" s="5">
        <v>1679</v>
      </c>
      <c r="Z6" s="5">
        <v>1468</v>
      </c>
      <c r="AA6" s="5">
        <v>3384</v>
      </c>
      <c r="AD6" s="3">
        <v>38353</v>
      </c>
      <c r="AE6">
        <f>VLOOKUP(AD6,V:AA,2,0)</f>
        <v>237</v>
      </c>
      <c r="AF6">
        <f>VLOOKUP(AD6,L:R,3,0)</f>
        <v>0</v>
      </c>
      <c r="AG6">
        <f>AF6/AE6</f>
        <v>0</v>
      </c>
      <c r="AH6">
        <f>VLOOKUP(AD6,V:AA,6,0)</f>
        <v>3384</v>
      </c>
      <c r="AI6">
        <f>VLOOKUP(AD6,L:R,7,0)</f>
        <v>3384</v>
      </c>
    </row>
    <row r="7" spans="1:35" x14ac:dyDescent="0.25">
      <c r="A7" s="11">
        <v>38384</v>
      </c>
      <c r="B7" s="12">
        <v>277</v>
      </c>
      <c r="C7" s="12" t="s">
        <v>3</v>
      </c>
      <c r="D7" s="1"/>
      <c r="F7" s="11">
        <v>38353</v>
      </c>
      <c r="G7" s="12">
        <v>237</v>
      </c>
      <c r="H7" s="12" t="s">
        <v>14</v>
      </c>
      <c r="L7" s="3">
        <v>38384</v>
      </c>
      <c r="M7" s="5">
        <v>277</v>
      </c>
      <c r="N7" s="5"/>
      <c r="O7" s="5">
        <v>2710</v>
      </c>
      <c r="P7" s="5"/>
      <c r="Q7" s="5"/>
      <c r="R7" s="5">
        <v>2987</v>
      </c>
      <c r="V7" s="3">
        <v>38384</v>
      </c>
      <c r="W7" s="5">
        <v>111</v>
      </c>
      <c r="X7" s="5"/>
      <c r="Y7" s="5">
        <v>1664</v>
      </c>
      <c r="Z7" s="5">
        <v>1212</v>
      </c>
      <c r="AA7" s="5">
        <v>2987</v>
      </c>
      <c r="AD7" s="3">
        <v>38384</v>
      </c>
      <c r="AE7">
        <f t="shared" ref="AE7:AE70" si="0">VLOOKUP(AD7,V:AA,2,0)</f>
        <v>111</v>
      </c>
      <c r="AF7">
        <f t="shared" ref="AF7:AF70" si="1">VLOOKUP(AD7,L:R,3,0)</f>
        <v>0</v>
      </c>
      <c r="AG7">
        <f t="shared" ref="AG7:AG70" si="2">AF7/AE7</f>
        <v>0</v>
      </c>
      <c r="AH7">
        <f t="shared" ref="AH7:AH70" si="3">VLOOKUP(AD7,V:AA,6,0)</f>
        <v>2987</v>
      </c>
      <c r="AI7">
        <f t="shared" ref="AI7:AI70" si="4">VLOOKUP(AD7,L:R,7,0)</f>
        <v>2987</v>
      </c>
    </row>
    <row r="8" spans="1:35" x14ac:dyDescent="0.25">
      <c r="A8" s="11">
        <v>38384</v>
      </c>
      <c r="B8" s="12">
        <v>2710</v>
      </c>
      <c r="C8" s="12" t="s">
        <v>2</v>
      </c>
      <c r="D8" s="1"/>
      <c r="F8" s="11">
        <v>38384</v>
      </c>
      <c r="G8" s="12">
        <v>111</v>
      </c>
      <c r="H8" s="12" t="s">
        <v>14</v>
      </c>
      <c r="L8" s="3">
        <v>38412</v>
      </c>
      <c r="M8" s="5">
        <v>206</v>
      </c>
      <c r="N8" s="5"/>
      <c r="O8" s="5">
        <v>2288</v>
      </c>
      <c r="P8" s="5"/>
      <c r="Q8" s="5"/>
      <c r="R8" s="5">
        <v>2494</v>
      </c>
      <c r="V8" s="3">
        <v>38412</v>
      </c>
      <c r="W8" s="5">
        <v>84</v>
      </c>
      <c r="X8" s="5">
        <v>3</v>
      </c>
      <c r="Y8" s="5">
        <v>1361</v>
      </c>
      <c r="Z8" s="5">
        <v>1046</v>
      </c>
      <c r="AA8" s="5">
        <v>2494</v>
      </c>
      <c r="AD8" s="3">
        <v>38412</v>
      </c>
      <c r="AE8">
        <f t="shared" si="0"/>
        <v>84</v>
      </c>
      <c r="AF8">
        <f t="shared" si="1"/>
        <v>0</v>
      </c>
      <c r="AG8">
        <f t="shared" si="2"/>
        <v>0</v>
      </c>
      <c r="AH8">
        <f t="shared" si="3"/>
        <v>2494</v>
      </c>
      <c r="AI8">
        <f t="shared" si="4"/>
        <v>2494</v>
      </c>
    </row>
    <row r="9" spans="1:35" x14ac:dyDescent="0.25">
      <c r="A9" s="11">
        <v>38412</v>
      </c>
      <c r="B9" s="12">
        <v>2288</v>
      </c>
      <c r="C9" s="12" t="s">
        <v>2</v>
      </c>
      <c r="D9" s="1"/>
      <c r="F9" s="11">
        <v>38384</v>
      </c>
      <c r="G9" s="12">
        <v>1664</v>
      </c>
      <c r="H9" s="12" t="s">
        <v>16</v>
      </c>
      <c r="L9" s="3">
        <v>38443</v>
      </c>
      <c r="M9" s="5">
        <v>301</v>
      </c>
      <c r="N9" s="5"/>
      <c r="O9" s="5">
        <v>2295</v>
      </c>
      <c r="P9" s="5"/>
      <c r="Q9" s="5"/>
      <c r="R9" s="5">
        <v>2596</v>
      </c>
      <c r="V9" s="3">
        <v>38443</v>
      </c>
      <c r="W9" s="5">
        <v>87</v>
      </c>
      <c r="X9" s="5">
        <v>1</v>
      </c>
      <c r="Y9" s="5">
        <v>1349</v>
      </c>
      <c r="Z9" s="5">
        <v>1159</v>
      </c>
      <c r="AA9" s="5">
        <v>2596</v>
      </c>
      <c r="AD9" s="3">
        <v>38443</v>
      </c>
      <c r="AE9">
        <f t="shared" si="0"/>
        <v>87</v>
      </c>
      <c r="AF9">
        <f t="shared" si="1"/>
        <v>0</v>
      </c>
      <c r="AG9">
        <f t="shared" si="2"/>
        <v>0</v>
      </c>
      <c r="AH9">
        <f t="shared" si="3"/>
        <v>2596</v>
      </c>
      <c r="AI9">
        <f t="shared" si="4"/>
        <v>2596</v>
      </c>
    </row>
    <row r="10" spans="1:35" x14ac:dyDescent="0.25">
      <c r="A10" s="11">
        <v>38412</v>
      </c>
      <c r="B10" s="12">
        <v>206</v>
      </c>
      <c r="C10" s="12" t="s">
        <v>3</v>
      </c>
      <c r="D10" s="1"/>
      <c r="F10" s="11">
        <v>38384</v>
      </c>
      <c r="G10" s="12">
        <v>1212</v>
      </c>
      <c r="H10" s="12" t="s">
        <v>15</v>
      </c>
      <c r="L10" s="3">
        <v>38473</v>
      </c>
      <c r="M10" s="5">
        <v>441</v>
      </c>
      <c r="N10" s="5"/>
      <c r="O10" s="5">
        <v>3167</v>
      </c>
      <c r="P10" s="5"/>
      <c r="Q10" s="5"/>
      <c r="R10" s="5">
        <v>3608</v>
      </c>
      <c r="V10" s="3">
        <v>38473</v>
      </c>
      <c r="W10" s="5">
        <v>98</v>
      </c>
      <c r="X10" s="5">
        <v>1</v>
      </c>
      <c r="Y10" s="5">
        <v>1768</v>
      </c>
      <c r="Z10" s="5">
        <v>1741</v>
      </c>
      <c r="AA10" s="5">
        <v>3608</v>
      </c>
      <c r="AD10" s="3">
        <v>38473</v>
      </c>
      <c r="AE10">
        <f t="shared" si="0"/>
        <v>98</v>
      </c>
      <c r="AF10">
        <f t="shared" si="1"/>
        <v>0</v>
      </c>
      <c r="AG10">
        <f t="shared" si="2"/>
        <v>0</v>
      </c>
      <c r="AH10">
        <f t="shared" si="3"/>
        <v>3608</v>
      </c>
      <c r="AI10">
        <f t="shared" si="4"/>
        <v>3608</v>
      </c>
    </row>
    <row r="11" spans="1:35" x14ac:dyDescent="0.25">
      <c r="A11" s="11">
        <v>38443</v>
      </c>
      <c r="B11" s="12">
        <v>301</v>
      </c>
      <c r="C11" s="12" t="s">
        <v>3</v>
      </c>
      <c r="D11" s="1"/>
      <c r="F11" s="11">
        <v>38412</v>
      </c>
      <c r="G11" s="12">
        <v>1046</v>
      </c>
      <c r="H11" s="12" t="s">
        <v>15</v>
      </c>
      <c r="L11" s="3">
        <v>38504</v>
      </c>
      <c r="M11" s="5">
        <v>310</v>
      </c>
      <c r="N11" s="5"/>
      <c r="O11" s="5">
        <v>3341</v>
      </c>
      <c r="P11" s="5"/>
      <c r="Q11" s="5"/>
      <c r="R11" s="5">
        <v>3651</v>
      </c>
      <c r="V11" s="3">
        <v>38504</v>
      </c>
      <c r="W11" s="5">
        <v>119</v>
      </c>
      <c r="X11" s="5">
        <v>1</v>
      </c>
      <c r="Y11" s="5">
        <v>2005</v>
      </c>
      <c r="Z11" s="5">
        <v>1526</v>
      </c>
      <c r="AA11" s="5">
        <v>3651</v>
      </c>
      <c r="AD11" s="3">
        <v>38504</v>
      </c>
      <c r="AE11">
        <f t="shared" si="0"/>
        <v>119</v>
      </c>
      <c r="AF11">
        <f t="shared" si="1"/>
        <v>0</v>
      </c>
      <c r="AG11">
        <f t="shared" si="2"/>
        <v>0</v>
      </c>
      <c r="AH11">
        <f t="shared" si="3"/>
        <v>3651</v>
      </c>
      <c r="AI11">
        <f t="shared" si="4"/>
        <v>3651</v>
      </c>
    </row>
    <row r="12" spans="1:35" x14ac:dyDescent="0.25">
      <c r="A12" s="11">
        <v>38443</v>
      </c>
      <c r="B12" s="12">
        <v>2295</v>
      </c>
      <c r="C12" s="12" t="s">
        <v>2</v>
      </c>
      <c r="D12" s="1"/>
      <c r="F12" s="11">
        <v>38412</v>
      </c>
      <c r="G12" s="12">
        <v>3</v>
      </c>
      <c r="H12" s="12" t="s">
        <v>29</v>
      </c>
      <c r="L12" s="3">
        <v>38534</v>
      </c>
      <c r="M12" s="5">
        <v>371</v>
      </c>
      <c r="N12" s="5"/>
      <c r="O12" s="5">
        <v>4075</v>
      </c>
      <c r="P12" s="5"/>
      <c r="Q12" s="5"/>
      <c r="R12" s="5">
        <v>4446</v>
      </c>
      <c r="V12" s="3">
        <v>38534</v>
      </c>
      <c r="W12" s="5">
        <v>130</v>
      </c>
      <c r="X12" s="5"/>
      <c r="Y12" s="5">
        <v>2592</v>
      </c>
      <c r="Z12" s="5">
        <v>1724</v>
      </c>
      <c r="AA12" s="5">
        <v>4446</v>
      </c>
      <c r="AD12" s="3">
        <v>38534</v>
      </c>
      <c r="AE12">
        <f t="shared" si="0"/>
        <v>130</v>
      </c>
      <c r="AF12">
        <f t="shared" si="1"/>
        <v>0</v>
      </c>
      <c r="AG12">
        <f t="shared" si="2"/>
        <v>0</v>
      </c>
      <c r="AH12">
        <f t="shared" si="3"/>
        <v>4446</v>
      </c>
      <c r="AI12">
        <f t="shared" si="4"/>
        <v>4446</v>
      </c>
    </row>
    <row r="13" spans="1:35" x14ac:dyDescent="0.25">
      <c r="A13" s="11">
        <v>38473</v>
      </c>
      <c r="B13" s="12">
        <v>441</v>
      </c>
      <c r="C13" s="12" t="s">
        <v>3</v>
      </c>
      <c r="D13" s="1"/>
      <c r="F13" s="11">
        <v>38412</v>
      </c>
      <c r="G13" s="12">
        <v>84</v>
      </c>
      <c r="H13" s="12" t="s">
        <v>14</v>
      </c>
      <c r="L13" s="3">
        <v>38565</v>
      </c>
      <c r="M13" s="5">
        <v>429</v>
      </c>
      <c r="N13" s="5"/>
      <c r="O13" s="5">
        <v>4849</v>
      </c>
      <c r="P13" s="5"/>
      <c r="Q13" s="5"/>
      <c r="R13" s="5">
        <v>5278</v>
      </c>
      <c r="V13" s="3">
        <v>38565</v>
      </c>
      <c r="W13" s="5">
        <v>133</v>
      </c>
      <c r="X13" s="5">
        <v>1</v>
      </c>
      <c r="Y13" s="5">
        <v>3068</v>
      </c>
      <c r="Z13" s="5">
        <v>2076</v>
      </c>
      <c r="AA13" s="5">
        <v>5278</v>
      </c>
      <c r="AD13" s="3">
        <v>38565</v>
      </c>
      <c r="AE13">
        <f t="shared" si="0"/>
        <v>133</v>
      </c>
      <c r="AF13">
        <f t="shared" si="1"/>
        <v>0</v>
      </c>
      <c r="AG13">
        <f t="shared" si="2"/>
        <v>0</v>
      </c>
      <c r="AH13">
        <f t="shared" si="3"/>
        <v>5278</v>
      </c>
      <c r="AI13">
        <f t="shared" si="4"/>
        <v>5278</v>
      </c>
    </row>
    <row r="14" spans="1:35" x14ac:dyDescent="0.25">
      <c r="A14" s="11">
        <v>38473</v>
      </c>
      <c r="B14" s="12">
        <v>3167</v>
      </c>
      <c r="C14" s="12" t="s">
        <v>2</v>
      </c>
      <c r="D14" s="1"/>
      <c r="F14" s="11">
        <v>38412</v>
      </c>
      <c r="G14" s="12">
        <v>1361</v>
      </c>
      <c r="H14" s="12" t="s">
        <v>16</v>
      </c>
      <c r="L14" s="3">
        <v>38596</v>
      </c>
      <c r="M14" s="5">
        <v>695</v>
      </c>
      <c r="N14" s="5"/>
      <c r="O14" s="5">
        <v>6088</v>
      </c>
      <c r="P14" s="5"/>
      <c r="Q14" s="5"/>
      <c r="R14" s="5">
        <v>6783</v>
      </c>
      <c r="V14" s="3">
        <v>38596</v>
      </c>
      <c r="W14" s="5">
        <v>145</v>
      </c>
      <c r="X14" s="5">
        <v>1</v>
      </c>
      <c r="Y14" s="5">
        <v>3502</v>
      </c>
      <c r="Z14" s="5">
        <v>3135</v>
      </c>
      <c r="AA14" s="5">
        <v>6783</v>
      </c>
      <c r="AD14" s="3">
        <v>38596</v>
      </c>
      <c r="AE14">
        <f t="shared" si="0"/>
        <v>145</v>
      </c>
      <c r="AF14">
        <f t="shared" si="1"/>
        <v>0</v>
      </c>
      <c r="AG14">
        <f t="shared" si="2"/>
        <v>0</v>
      </c>
      <c r="AH14">
        <f t="shared" si="3"/>
        <v>6783</v>
      </c>
      <c r="AI14">
        <f t="shared" si="4"/>
        <v>6783</v>
      </c>
    </row>
    <row r="15" spans="1:35" x14ac:dyDescent="0.25">
      <c r="A15" s="11">
        <v>38504</v>
      </c>
      <c r="B15" s="12">
        <v>3341</v>
      </c>
      <c r="C15" s="12" t="s">
        <v>2</v>
      </c>
      <c r="D15" s="1"/>
      <c r="F15" s="11">
        <v>38443</v>
      </c>
      <c r="G15" s="12">
        <v>1</v>
      </c>
      <c r="H15" s="12" t="s">
        <v>29</v>
      </c>
      <c r="L15" s="3">
        <v>38626</v>
      </c>
      <c r="M15" s="5">
        <v>1063</v>
      </c>
      <c r="N15" s="5"/>
      <c r="O15" s="5">
        <v>10428</v>
      </c>
      <c r="P15" s="5"/>
      <c r="Q15" s="5"/>
      <c r="R15" s="5">
        <v>11491</v>
      </c>
      <c r="V15" s="3">
        <v>38626</v>
      </c>
      <c r="W15" s="5">
        <v>230</v>
      </c>
      <c r="X15" s="5"/>
      <c r="Y15" s="5">
        <v>5946</v>
      </c>
      <c r="Z15" s="5">
        <v>5315</v>
      </c>
      <c r="AA15" s="5">
        <v>11491</v>
      </c>
      <c r="AD15" s="3">
        <v>38626</v>
      </c>
      <c r="AE15">
        <f t="shared" si="0"/>
        <v>230</v>
      </c>
      <c r="AF15">
        <f t="shared" si="1"/>
        <v>0</v>
      </c>
      <c r="AG15">
        <f t="shared" si="2"/>
        <v>0</v>
      </c>
      <c r="AH15">
        <f t="shared" si="3"/>
        <v>11491</v>
      </c>
      <c r="AI15">
        <f t="shared" si="4"/>
        <v>11491</v>
      </c>
    </row>
    <row r="16" spans="1:35" x14ac:dyDescent="0.25">
      <c r="A16" s="11">
        <v>38504</v>
      </c>
      <c r="B16" s="12">
        <v>310</v>
      </c>
      <c r="C16" s="12" t="s">
        <v>3</v>
      </c>
      <c r="D16" s="1"/>
      <c r="F16" s="11">
        <v>38443</v>
      </c>
      <c r="G16" s="12">
        <v>87</v>
      </c>
      <c r="H16" s="12" t="s">
        <v>14</v>
      </c>
      <c r="L16" s="3">
        <v>38657</v>
      </c>
      <c r="M16" s="5">
        <v>2285</v>
      </c>
      <c r="N16" s="5"/>
      <c r="O16" s="5">
        <v>21051</v>
      </c>
      <c r="P16" s="5"/>
      <c r="Q16" s="5"/>
      <c r="R16" s="5">
        <v>23336</v>
      </c>
      <c r="V16" s="3">
        <v>38657</v>
      </c>
      <c r="W16" s="5">
        <v>445</v>
      </c>
      <c r="X16" s="5"/>
      <c r="Y16" s="5">
        <v>10686</v>
      </c>
      <c r="Z16" s="5">
        <v>12205</v>
      </c>
      <c r="AA16" s="5">
        <v>23336</v>
      </c>
      <c r="AD16" s="3">
        <v>38657</v>
      </c>
      <c r="AE16">
        <f t="shared" si="0"/>
        <v>445</v>
      </c>
      <c r="AF16">
        <f t="shared" si="1"/>
        <v>0</v>
      </c>
      <c r="AG16">
        <f t="shared" si="2"/>
        <v>0</v>
      </c>
      <c r="AH16">
        <f t="shared" si="3"/>
        <v>23336</v>
      </c>
      <c r="AI16">
        <f t="shared" si="4"/>
        <v>23336</v>
      </c>
    </row>
    <row r="17" spans="1:35" x14ac:dyDescent="0.25">
      <c r="A17" s="11">
        <v>38534</v>
      </c>
      <c r="B17" s="12">
        <v>4075</v>
      </c>
      <c r="C17" s="12" t="s">
        <v>2</v>
      </c>
      <c r="D17" s="1"/>
      <c r="F17" s="11">
        <v>38443</v>
      </c>
      <c r="G17" s="12">
        <v>1349</v>
      </c>
      <c r="H17" s="12" t="s">
        <v>16</v>
      </c>
      <c r="L17" s="3">
        <v>38687</v>
      </c>
      <c r="M17" s="5">
        <v>9866</v>
      </c>
      <c r="N17" s="5"/>
      <c r="O17" s="5">
        <v>74623</v>
      </c>
      <c r="P17" s="5"/>
      <c r="Q17" s="5"/>
      <c r="R17" s="5">
        <v>84489</v>
      </c>
      <c r="V17" s="3">
        <v>38687</v>
      </c>
      <c r="W17" s="5">
        <v>1387</v>
      </c>
      <c r="X17" s="5">
        <v>1</v>
      </c>
      <c r="Y17" s="5">
        <v>35733</v>
      </c>
      <c r="Z17" s="5">
        <v>47368</v>
      </c>
      <c r="AA17" s="5">
        <v>84489</v>
      </c>
      <c r="AD17" s="3">
        <v>38687</v>
      </c>
      <c r="AE17">
        <f t="shared" si="0"/>
        <v>1387</v>
      </c>
      <c r="AF17">
        <f t="shared" si="1"/>
        <v>0</v>
      </c>
      <c r="AG17">
        <f t="shared" si="2"/>
        <v>0</v>
      </c>
      <c r="AH17">
        <f t="shared" si="3"/>
        <v>84489</v>
      </c>
      <c r="AI17">
        <f t="shared" si="4"/>
        <v>84489</v>
      </c>
    </row>
    <row r="18" spans="1:35" x14ac:dyDescent="0.25">
      <c r="A18" s="11">
        <v>38534</v>
      </c>
      <c r="B18" s="12">
        <v>371</v>
      </c>
      <c r="C18" s="12" t="s">
        <v>3</v>
      </c>
      <c r="D18" s="1"/>
      <c r="F18" s="11">
        <v>38443</v>
      </c>
      <c r="G18" s="12">
        <v>1159</v>
      </c>
      <c r="H18" s="12" t="s">
        <v>15</v>
      </c>
      <c r="L18" s="3">
        <v>38718</v>
      </c>
      <c r="M18" s="5">
        <v>15215</v>
      </c>
      <c r="N18" s="5"/>
      <c r="O18" s="5">
        <v>127998</v>
      </c>
      <c r="P18" s="5"/>
      <c r="Q18" s="5"/>
      <c r="R18" s="5">
        <v>143213</v>
      </c>
      <c r="V18" s="3">
        <v>38718</v>
      </c>
      <c r="W18" s="5">
        <v>2295</v>
      </c>
      <c r="X18" s="5">
        <v>1</v>
      </c>
      <c r="Y18" s="5">
        <v>63201</v>
      </c>
      <c r="Z18" s="5">
        <v>77716</v>
      </c>
      <c r="AA18" s="5">
        <v>143213</v>
      </c>
      <c r="AD18" s="3">
        <v>38718</v>
      </c>
      <c r="AE18">
        <f t="shared" si="0"/>
        <v>2295</v>
      </c>
      <c r="AF18">
        <f t="shared" si="1"/>
        <v>0</v>
      </c>
      <c r="AG18">
        <f t="shared" si="2"/>
        <v>0</v>
      </c>
      <c r="AH18">
        <f t="shared" si="3"/>
        <v>143213</v>
      </c>
      <c r="AI18">
        <f t="shared" si="4"/>
        <v>143213</v>
      </c>
    </row>
    <row r="19" spans="1:35" x14ac:dyDescent="0.25">
      <c r="A19" s="11">
        <v>38565</v>
      </c>
      <c r="B19" s="12">
        <v>429</v>
      </c>
      <c r="C19" s="12" t="s">
        <v>3</v>
      </c>
      <c r="D19" s="1"/>
      <c r="F19" s="11">
        <v>38473</v>
      </c>
      <c r="G19" s="12">
        <v>1741</v>
      </c>
      <c r="H19" s="12" t="s">
        <v>15</v>
      </c>
      <c r="L19" s="3">
        <v>38749</v>
      </c>
      <c r="M19" s="5">
        <v>13819</v>
      </c>
      <c r="N19" s="5"/>
      <c r="O19" s="5">
        <v>118908</v>
      </c>
      <c r="P19" s="5"/>
      <c r="Q19" s="5"/>
      <c r="R19" s="5">
        <v>132727</v>
      </c>
      <c r="V19" s="3">
        <v>38749</v>
      </c>
      <c r="W19" s="5">
        <v>2065</v>
      </c>
      <c r="X19" s="5">
        <v>2</v>
      </c>
      <c r="Y19" s="5">
        <v>61981</v>
      </c>
      <c r="Z19" s="5">
        <v>68679</v>
      </c>
      <c r="AA19" s="5">
        <v>132727</v>
      </c>
      <c r="AD19" s="3">
        <v>38749</v>
      </c>
      <c r="AE19">
        <f t="shared" si="0"/>
        <v>2065</v>
      </c>
      <c r="AF19">
        <f t="shared" si="1"/>
        <v>0</v>
      </c>
      <c r="AG19">
        <f t="shared" si="2"/>
        <v>0</v>
      </c>
      <c r="AH19">
        <f t="shared" si="3"/>
        <v>132727</v>
      </c>
      <c r="AI19">
        <f t="shared" si="4"/>
        <v>132727</v>
      </c>
    </row>
    <row r="20" spans="1:35" x14ac:dyDescent="0.25">
      <c r="A20" s="11">
        <v>38565</v>
      </c>
      <c r="B20" s="12">
        <v>4849</v>
      </c>
      <c r="C20" s="12" t="s">
        <v>2</v>
      </c>
      <c r="D20" s="1"/>
      <c r="F20" s="11">
        <v>38473</v>
      </c>
      <c r="G20" s="12">
        <v>1768</v>
      </c>
      <c r="H20" s="12" t="s">
        <v>16</v>
      </c>
      <c r="L20" s="3">
        <v>38777</v>
      </c>
      <c r="M20" s="5">
        <v>12884</v>
      </c>
      <c r="N20" s="5"/>
      <c r="O20" s="5">
        <v>97173</v>
      </c>
      <c r="P20" s="5"/>
      <c r="Q20" s="5"/>
      <c r="R20" s="5">
        <v>110057</v>
      </c>
      <c r="V20" s="3">
        <v>38777</v>
      </c>
      <c r="W20" s="5">
        <v>1822</v>
      </c>
      <c r="X20" s="5"/>
      <c r="Y20" s="5">
        <v>47293</v>
      </c>
      <c r="Z20" s="5">
        <v>60942</v>
      </c>
      <c r="AA20" s="5">
        <v>110057</v>
      </c>
      <c r="AD20" s="3">
        <v>38777</v>
      </c>
      <c r="AE20">
        <f t="shared" si="0"/>
        <v>1822</v>
      </c>
      <c r="AF20">
        <f t="shared" si="1"/>
        <v>0</v>
      </c>
      <c r="AG20">
        <f t="shared" si="2"/>
        <v>0</v>
      </c>
      <c r="AH20">
        <f t="shared" si="3"/>
        <v>110057</v>
      </c>
      <c r="AI20">
        <f t="shared" si="4"/>
        <v>110057</v>
      </c>
    </row>
    <row r="21" spans="1:35" x14ac:dyDescent="0.25">
      <c r="A21" s="11">
        <v>38596</v>
      </c>
      <c r="B21" s="12">
        <v>6088</v>
      </c>
      <c r="C21" s="12" t="s">
        <v>2</v>
      </c>
      <c r="D21" s="1"/>
      <c r="F21" s="11">
        <v>38473</v>
      </c>
      <c r="G21" s="12">
        <v>98</v>
      </c>
      <c r="H21" s="12" t="s">
        <v>14</v>
      </c>
      <c r="L21" s="3">
        <v>38808</v>
      </c>
      <c r="M21" s="5">
        <v>13860</v>
      </c>
      <c r="N21" s="5"/>
      <c r="O21" s="5">
        <v>108450</v>
      </c>
      <c r="P21" s="5"/>
      <c r="Q21" s="5"/>
      <c r="R21" s="5">
        <v>122310</v>
      </c>
      <c r="V21" s="3">
        <v>38808</v>
      </c>
      <c r="W21" s="5">
        <v>1770</v>
      </c>
      <c r="X21" s="5"/>
      <c r="Y21" s="5">
        <v>52939</v>
      </c>
      <c r="Z21" s="5">
        <v>67601</v>
      </c>
      <c r="AA21" s="5">
        <v>122310</v>
      </c>
      <c r="AD21" s="3">
        <v>38808</v>
      </c>
      <c r="AE21">
        <f t="shared" si="0"/>
        <v>1770</v>
      </c>
      <c r="AF21">
        <f t="shared" si="1"/>
        <v>0</v>
      </c>
      <c r="AG21">
        <f t="shared" si="2"/>
        <v>0</v>
      </c>
      <c r="AH21">
        <f t="shared" si="3"/>
        <v>122310</v>
      </c>
      <c r="AI21">
        <f t="shared" si="4"/>
        <v>122310</v>
      </c>
    </row>
    <row r="22" spans="1:35" x14ac:dyDescent="0.25">
      <c r="A22" s="11">
        <v>38596</v>
      </c>
      <c r="B22" s="12">
        <v>695</v>
      </c>
      <c r="C22" s="12" t="s">
        <v>3</v>
      </c>
      <c r="D22" s="1"/>
      <c r="F22" s="11">
        <v>38473</v>
      </c>
      <c r="G22" s="12">
        <v>1</v>
      </c>
      <c r="H22" s="12" t="s">
        <v>29</v>
      </c>
      <c r="L22" s="3">
        <v>38838</v>
      </c>
      <c r="M22" s="5">
        <v>14237</v>
      </c>
      <c r="N22" s="5"/>
      <c r="O22" s="5">
        <v>123822</v>
      </c>
      <c r="P22" s="5"/>
      <c r="Q22" s="5"/>
      <c r="R22" s="5">
        <v>138059</v>
      </c>
      <c r="V22" s="3">
        <v>38838</v>
      </c>
      <c r="W22" s="5">
        <v>1798</v>
      </c>
      <c r="X22" s="5">
        <v>3</v>
      </c>
      <c r="Y22" s="5">
        <v>65517</v>
      </c>
      <c r="Z22" s="5">
        <v>70741</v>
      </c>
      <c r="AA22" s="5">
        <v>138059</v>
      </c>
      <c r="AD22" s="3">
        <v>38838</v>
      </c>
      <c r="AE22">
        <f t="shared" si="0"/>
        <v>1798</v>
      </c>
      <c r="AF22">
        <f t="shared" si="1"/>
        <v>0</v>
      </c>
      <c r="AG22">
        <f t="shared" si="2"/>
        <v>0</v>
      </c>
      <c r="AH22">
        <f t="shared" si="3"/>
        <v>138059</v>
      </c>
      <c r="AI22">
        <f t="shared" si="4"/>
        <v>138059</v>
      </c>
    </row>
    <row r="23" spans="1:35" x14ac:dyDescent="0.25">
      <c r="A23" s="11">
        <v>38626</v>
      </c>
      <c r="B23" s="12">
        <v>10428</v>
      </c>
      <c r="C23" s="12" t="s">
        <v>2</v>
      </c>
      <c r="D23" s="1"/>
      <c r="F23" s="11">
        <v>38504</v>
      </c>
      <c r="G23" s="12">
        <v>1526</v>
      </c>
      <c r="H23" s="12" t="s">
        <v>15</v>
      </c>
      <c r="L23" s="3">
        <v>38869</v>
      </c>
      <c r="M23" s="5">
        <v>12564</v>
      </c>
      <c r="N23" s="5"/>
      <c r="O23" s="5">
        <v>116000</v>
      </c>
      <c r="P23" s="5"/>
      <c r="Q23" s="5"/>
      <c r="R23" s="5">
        <v>128564</v>
      </c>
      <c r="V23" s="3">
        <v>38869</v>
      </c>
      <c r="W23" s="5">
        <v>1716</v>
      </c>
      <c r="X23" s="5">
        <v>5</v>
      </c>
      <c r="Y23" s="5">
        <v>66064</v>
      </c>
      <c r="Z23" s="5">
        <v>60779</v>
      </c>
      <c r="AA23" s="5">
        <v>128564</v>
      </c>
      <c r="AD23" s="3">
        <v>38869</v>
      </c>
      <c r="AE23">
        <f t="shared" si="0"/>
        <v>1716</v>
      </c>
      <c r="AF23">
        <f t="shared" si="1"/>
        <v>0</v>
      </c>
      <c r="AG23">
        <f t="shared" si="2"/>
        <v>0</v>
      </c>
      <c r="AH23">
        <f t="shared" si="3"/>
        <v>128564</v>
      </c>
      <c r="AI23">
        <f t="shared" si="4"/>
        <v>128564</v>
      </c>
    </row>
    <row r="24" spans="1:35" x14ac:dyDescent="0.25">
      <c r="A24" s="11">
        <v>38626</v>
      </c>
      <c r="B24" s="12">
        <v>1063</v>
      </c>
      <c r="C24" s="12" t="s">
        <v>3</v>
      </c>
      <c r="D24" s="1"/>
      <c r="F24" s="11">
        <v>38504</v>
      </c>
      <c r="G24" s="12">
        <v>2005</v>
      </c>
      <c r="H24" s="12" t="s">
        <v>16</v>
      </c>
      <c r="L24" s="3">
        <v>38899</v>
      </c>
      <c r="M24" s="5">
        <v>12214</v>
      </c>
      <c r="N24" s="5"/>
      <c r="O24" s="5">
        <v>126858</v>
      </c>
      <c r="P24" s="5"/>
      <c r="Q24" s="5"/>
      <c r="R24" s="5">
        <v>139072</v>
      </c>
      <c r="V24" s="3">
        <v>38899</v>
      </c>
      <c r="W24" s="5">
        <v>1721</v>
      </c>
      <c r="X24" s="5"/>
      <c r="Y24" s="5">
        <v>77907</v>
      </c>
      <c r="Z24" s="5">
        <v>59444</v>
      </c>
      <c r="AA24" s="5">
        <v>139072</v>
      </c>
      <c r="AD24" s="3">
        <v>38899</v>
      </c>
      <c r="AE24">
        <f t="shared" si="0"/>
        <v>1721</v>
      </c>
      <c r="AF24">
        <f t="shared" si="1"/>
        <v>0</v>
      </c>
      <c r="AG24">
        <f t="shared" si="2"/>
        <v>0</v>
      </c>
      <c r="AH24">
        <f t="shared" si="3"/>
        <v>139072</v>
      </c>
      <c r="AI24">
        <f t="shared" si="4"/>
        <v>139072</v>
      </c>
    </row>
    <row r="25" spans="1:35" x14ac:dyDescent="0.25">
      <c r="A25" s="11">
        <v>38657</v>
      </c>
      <c r="B25" s="12">
        <v>21051</v>
      </c>
      <c r="C25" s="12" t="s">
        <v>2</v>
      </c>
      <c r="D25" s="1"/>
      <c r="F25" s="11">
        <v>38504</v>
      </c>
      <c r="G25" s="12">
        <v>119</v>
      </c>
      <c r="H25" s="12" t="s">
        <v>14</v>
      </c>
      <c r="L25" s="3">
        <v>38930</v>
      </c>
      <c r="M25" s="5">
        <v>11515</v>
      </c>
      <c r="N25" s="5"/>
      <c r="O25" s="5">
        <v>135402</v>
      </c>
      <c r="P25" s="5"/>
      <c r="Q25" s="5"/>
      <c r="R25" s="5">
        <v>146917</v>
      </c>
      <c r="V25" s="3">
        <v>38930</v>
      </c>
      <c r="W25" s="5">
        <v>1634</v>
      </c>
      <c r="X25" s="5">
        <v>1</v>
      </c>
      <c r="Y25" s="5">
        <v>89759</v>
      </c>
      <c r="Z25" s="5">
        <v>55523</v>
      </c>
      <c r="AA25" s="5">
        <v>146917</v>
      </c>
      <c r="AD25" s="3">
        <v>38930</v>
      </c>
      <c r="AE25">
        <f t="shared" si="0"/>
        <v>1634</v>
      </c>
      <c r="AF25">
        <f t="shared" si="1"/>
        <v>0</v>
      </c>
      <c r="AG25">
        <f t="shared" si="2"/>
        <v>0</v>
      </c>
      <c r="AH25">
        <f t="shared" si="3"/>
        <v>146917</v>
      </c>
      <c r="AI25">
        <f t="shared" si="4"/>
        <v>146917</v>
      </c>
    </row>
    <row r="26" spans="1:35" x14ac:dyDescent="0.25">
      <c r="A26" s="11">
        <v>38657</v>
      </c>
      <c r="B26" s="12">
        <v>2285</v>
      </c>
      <c r="C26" s="12" t="s">
        <v>3</v>
      </c>
      <c r="D26" s="1"/>
      <c r="F26" s="11">
        <v>38504</v>
      </c>
      <c r="G26" s="12">
        <v>1</v>
      </c>
      <c r="H26" s="12" t="s">
        <v>29</v>
      </c>
      <c r="L26" s="3">
        <v>38961</v>
      </c>
      <c r="M26" s="5">
        <v>10948</v>
      </c>
      <c r="N26" s="5"/>
      <c r="O26" s="5">
        <v>121614</v>
      </c>
      <c r="P26" s="5"/>
      <c r="Q26" s="5"/>
      <c r="R26" s="5">
        <v>132562</v>
      </c>
      <c r="V26" s="3">
        <v>38961</v>
      </c>
      <c r="W26" s="5">
        <v>1463</v>
      </c>
      <c r="X26" s="5">
        <v>3</v>
      </c>
      <c r="Y26" s="5">
        <v>79978</v>
      </c>
      <c r="Z26" s="5">
        <v>51118</v>
      </c>
      <c r="AA26" s="5">
        <v>132562</v>
      </c>
      <c r="AD26" s="3">
        <v>38961</v>
      </c>
      <c r="AE26">
        <f t="shared" si="0"/>
        <v>1463</v>
      </c>
      <c r="AF26">
        <f t="shared" si="1"/>
        <v>0</v>
      </c>
      <c r="AG26">
        <f t="shared" si="2"/>
        <v>0</v>
      </c>
      <c r="AH26">
        <f t="shared" si="3"/>
        <v>132562</v>
      </c>
      <c r="AI26">
        <f t="shared" si="4"/>
        <v>132562</v>
      </c>
    </row>
    <row r="27" spans="1:35" x14ac:dyDescent="0.25">
      <c r="A27" s="11">
        <v>38687</v>
      </c>
      <c r="B27" s="12">
        <v>9866</v>
      </c>
      <c r="C27" s="12" t="s">
        <v>3</v>
      </c>
      <c r="D27" s="1"/>
      <c r="F27" s="11">
        <v>38534</v>
      </c>
      <c r="G27" s="12">
        <v>1724</v>
      </c>
      <c r="H27" s="12" t="s">
        <v>15</v>
      </c>
      <c r="L27" s="3">
        <v>38991</v>
      </c>
      <c r="M27" s="5">
        <v>11867</v>
      </c>
      <c r="N27" s="5"/>
      <c r="O27" s="5">
        <v>124126</v>
      </c>
      <c r="P27" s="5"/>
      <c r="Q27" s="5"/>
      <c r="R27" s="5">
        <v>135993</v>
      </c>
      <c r="V27" s="3">
        <v>38991</v>
      </c>
      <c r="W27" s="5">
        <v>1491</v>
      </c>
      <c r="X27" s="5">
        <v>1</v>
      </c>
      <c r="Y27" s="5">
        <v>78978</v>
      </c>
      <c r="Z27" s="5">
        <v>55523</v>
      </c>
      <c r="AA27" s="5">
        <v>135993</v>
      </c>
      <c r="AD27" s="3">
        <v>38991</v>
      </c>
      <c r="AE27">
        <f t="shared" si="0"/>
        <v>1491</v>
      </c>
      <c r="AF27">
        <f t="shared" si="1"/>
        <v>0</v>
      </c>
      <c r="AG27">
        <f t="shared" si="2"/>
        <v>0</v>
      </c>
      <c r="AH27">
        <f t="shared" si="3"/>
        <v>135993</v>
      </c>
      <c r="AI27">
        <f t="shared" si="4"/>
        <v>135993</v>
      </c>
    </row>
    <row r="28" spans="1:35" x14ac:dyDescent="0.25">
      <c r="A28" s="11">
        <v>38687</v>
      </c>
      <c r="B28" s="12">
        <v>74623</v>
      </c>
      <c r="C28" s="12" t="s">
        <v>2</v>
      </c>
      <c r="D28" s="1"/>
      <c r="F28" s="11">
        <v>38534</v>
      </c>
      <c r="G28" s="12">
        <v>2592</v>
      </c>
      <c r="H28" s="12" t="s">
        <v>16</v>
      </c>
      <c r="L28" s="3">
        <v>39022</v>
      </c>
      <c r="M28" s="5">
        <v>13427</v>
      </c>
      <c r="N28" s="5"/>
      <c r="O28" s="5">
        <v>116363</v>
      </c>
      <c r="P28" s="5"/>
      <c r="Q28" s="5"/>
      <c r="R28" s="5">
        <v>129790</v>
      </c>
      <c r="V28" s="3">
        <v>39022</v>
      </c>
      <c r="W28" s="5">
        <v>1415</v>
      </c>
      <c r="X28" s="5">
        <v>2</v>
      </c>
      <c r="Y28" s="5">
        <v>69122</v>
      </c>
      <c r="Z28" s="5">
        <v>59251</v>
      </c>
      <c r="AA28" s="5">
        <v>129790</v>
      </c>
      <c r="AD28" s="3">
        <v>39022</v>
      </c>
      <c r="AE28">
        <f t="shared" si="0"/>
        <v>1415</v>
      </c>
      <c r="AF28">
        <f t="shared" si="1"/>
        <v>0</v>
      </c>
      <c r="AG28">
        <f t="shared" si="2"/>
        <v>0</v>
      </c>
      <c r="AH28">
        <f t="shared" si="3"/>
        <v>129790</v>
      </c>
      <c r="AI28">
        <f t="shared" si="4"/>
        <v>129790</v>
      </c>
    </row>
    <row r="29" spans="1:35" x14ac:dyDescent="0.25">
      <c r="A29" s="11">
        <v>38718</v>
      </c>
      <c r="B29" s="12">
        <v>15215</v>
      </c>
      <c r="C29" s="12" t="s">
        <v>3</v>
      </c>
      <c r="D29" s="1"/>
      <c r="F29" s="11">
        <v>38534</v>
      </c>
      <c r="G29" s="12">
        <v>130</v>
      </c>
      <c r="H29" s="12" t="s">
        <v>14</v>
      </c>
      <c r="L29" s="3">
        <v>39052</v>
      </c>
      <c r="M29" s="5">
        <v>18575</v>
      </c>
      <c r="N29" s="5"/>
      <c r="O29" s="5">
        <v>130961</v>
      </c>
      <c r="P29" s="5"/>
      <c r="Q29" s="5"/>
      <c r="R29" s="5">
        <v>149536</v>
      </c>
      <c r="V29" s="3">
        <v>39052</v>
      </c>
      <c r="W29" s="5">
        <v>1652</v>
      </c>
      <c r="X29" s="5">
        <v>6</v>
      </c>
      <c r="Y29" s="5">
        <v>70005</v>
      </c>
      <c r="Z29" s="5">
        <v>77873</v>
      </c>
      <c r="AA29" s="5">
        <v>149536</v>
      </c>
      <c r="AD29" s="3">
        <v>39052</v>
      </c>
      <c r="AE29">
        <f t="shared" si="0"/>
        <v>1652</v>
      </c>
      <c r="AF29">
        <f t="shared" si="1"/>
        <v>0</v>
      </c>
      <c r="AG29">
        <f t="shared" si="2"/>
        <v>0</v>
      </c>
      <c r="AH29">
        <f t="shared" si="3"/>
        <v>149536</v>
      </c>
      <c r="AI29">
        <f t="shared" si="4"/>
        <v>149536</v>
      </c>
    </row>
    <row r="30" spans="1:35" x14ac:dyDescent="0.25">
      <c r="A30" s="11">
        <v>38718</v>
      </c>
      <c r="B30" s="12">
        <v>127998</v>
      </c>
      <c r="C30" s="12" t="s">
        <v>2</v>
      </c>
      <c r="D30" s="1"/>
      <c r="F30" s="11">
        <v>38565</v>
      </c>
      <c r="G30" s="12">
        <v>2076</v>
      </c>
      <c r="H30" s="12" t="s">
        <v>15</v>
      </c>
      <c r="L30" s="3">
        <v>39083</v>
      </c>
      <c r="M30" s="5">
        <v>18135</v>
      </c>
      <c r="N30" s="5"/>
      <c r="O30" s="5">
        <v>119955</v>
      </c>
      <c r="P30" s="5"/>
      <c r="Q30" s="5"/>
      <c r="R30" s="5">
        <v>138090</v>
      </c>
      <c r="V30" s="3">
        <v>39083</v>
      </c>
      <c r="W30" s="5">
        <v>1465</v>
      </c>
      <c r="X30" s="5">
        <v>5</v>
      </c>
      <c r="Y30" s="5">
        <v>64994</v>
      </c>
      <c r="Z30" s="5">
        <v>71626</v>
      </c>
      <c r="AA30" s="5">
        <v>138090</v>
      </c>
      <c r="AD30" s="3">
        <v>39083</v>
      </c>
      <c r="AE30">
        <f t="shared" si="0"/>
        <v>1465</v>
      </c>
      <c r="AF30">
        <f t="shared" si="1"/>
        <v>0</v>
      </c>
      <c r="AG30">
        <f t="shared" si="2"/>
        <v>0</v>
      </c>
      <c r="AH30">
        <f t="shared" si="3"/>
        <v>138090</v>
      </c>
      <c r="AI30">
        <f t="shared" si="4"/>
        <v>138090</v>
      </c>
    </row>
    <row r="31" spans="1:35" x14ac:dyDescent="0.25">
      <c r="A31" s="11">
        <v>38749</v>
      </c>
      <c r="B31" s="12">
        <v>13819</v>
      </c>
      <c r="C31" s="12" t="s">
        <v>3</v>
      </c>
      <c r="D31" s="1"/>
      <c r="F31" s="11">
        <v>38565</v>
      </c>
      <c r="G31" s="12">
        <v>3068</v>
      </c>
      <c r="H31" s="12" t="s">
        <v>16</v>
      </c>
      <c r="L31" s="3">
        <v>39114</v>
      </c>
      <c r="M31" s="5">
        <v>22662</v>
      </c>
      <c r="N31" s="5"/>
      <c r="O31" s="5">
        <v>123443</v>
      </c>
      <c r="P31" s="5"/>
      <c r="Q31" s="5"/>
      <c r="R31" s="5">
        <v>146105</v>
      </c>
      <c r="V31" s="3">
        <v>39114</v>
      </c>
      <c r="W31" s="5">
        <v>1437</v>
      </c>
      <c r="X31" s="5">
        <v>2</v>
      </c>
      <c r="Y31" s="5">
        <v>61892</v>
      </c>
      <c r="Z31" s="5">
        <v>82774</v>
      </c>
      <c r="AA31" s="5">
        <v>146105</v>
      </c>
      <c r="AD31" s="3">
        <v>39114</v>
      </c>
      <c r="AE31">
        <f t="shared" si="0"/>
        <v>1437</v>
      </c>
      <c r="AF31">
        <f t="shared" si="1"/>
        <v>0</v>
      </c>
      <c r="AG31">
        <f t="shared" si="2"/>
        <v>0</v>
      </c>
      <c r="AH31">
        <f t="shared" si="3"/>
        <v>146105</v>
      </c>
      <c r="AI31">
        <f t="shared" si="4"/>
        <v>146105</v>
      </c>
    </row>
    <row r="32" spans="1:35" x14ac:dyDescent="0.25">
      <c r="A32" s="11">
        <v>38749</v>
      </c>
      <c r="B32" s="12">
        <v>118908</v>
      </c>
      <c r="C32" s="12" t="s">
        <v>2</v>
      </c>
      <c r="D32" s="1"/>
      <c r="F32" s="11">
        <v>38565</v>
      </c>
      <c r="G32" s="12">
        <v>133</v>
      </c>
      <c r="H32" s="12" t="s">
        <v>14</v>
      </c>
      <c r="L32" s="3">
        <v>39142</v>
      </c>
      <c r="M32" s="5">
        <v>22585</v>
      </c>
      <c r="N32" s="5"/>
      <c r="O32" s="5">
        <v>109970</v>
      </c>
      <c r="P32" s="5"/>
      <c r="Q32" s="5"/>
      <c r="R32" s="5">
        <v>132555</v>
      </c>
      <c r="V32" s="3">
        <v>39142</v>
      </c>
      <c r="W32" s="5">
        <v>1409</v>
      </c>
      <c r="X32" s="5">
        <v>6</v>
      </c>
      <c r="Y32" s="5">
        <v>51462</v>
      </c>
      <c r="Z32" s="5">
        <v>79678</v>
      </c>
      <c r="AA32" s="5">
        <v>132555</v>
      </c>
      <c r="AD32" s="3">
        <v>39142</v>
      </c>
      <c r="AE32">
        <f t="shared" si="0"/>
        <v>1409</v>
      </c>
      <c r="AF32">
        <f t="shared" si="1"/>
        <v>0</v>
      </c>
      <c r="AG32">
        <f t="shared" si="2"/>
        <v>0</v>
      </c>
      <c r="AH32">
        <f t="shared" si="3"/>
        <v>132555</v>
      </c>
      <c r="AI32">
        <f t="shared" si="4"/>
        <v>132555</v>
      </c>
    </row>
    <row r="33" spans="1:35" x14ac:dyDescent="0.25">
      <c r="A33" s="11">
        <v>38777</v>
      </c>
      <c r="B33" s="12">
        <v>12884</v>
      </c>
      <c r="C33" s="12" t="s">
        <v>3</v>
      </c>
      <c r="D33" s="1"/>
      <c r="F33" s="11">
        <v>38565</v>
      </c>
      <c r="G33" s="12">
        <v>1</v>
      </c>
      <c r="H33" s="12" t="s">
        <v>29</v>
      </c>
      <c r="L33" s="3">
        <v>39173</v>
      </c>
      <c r="M33" s="5">
        <v>19622</v>
      </c>
      <c r="N33" s="5"/>
      <c r="O33" s="5">
        <v>117291</v>
      </c>
      <c r="P33" s="5"/>
      <c r="Q33" s="5"/>
      <c r="R33" s="5">
        <v>136913</v>
      </c>
      <c r="V33" s="3">
        <v>39173</v>
      </c>
      <c r="W33" s="5">
        <v>1286</v>
      </c>
      <c r="X33" s="5">
        <v>6</v>
      </c>
      <c r="Y33" s="5">
        <v>61679</v>
      </c>
      <c r="Z33" s="5">
        <v>73942</v>
      </c>
      <c r="AA33" s="5">
        <v>136913</v>
      </c>
      <c r="AD33" s="3">
        <v>39173</v>
      </c>
      <c r="AE33">
        <f t="shared" si="0"/>
        <v>1286</v>
      </c>
      <c r="AF33">
        <f t="shared" si="1"/>
        <v>0</v>
      </c>
      <c r="AG33">
        <f t="shared" si="2"/>
        <v>0</v>
      </c>
      <c r="AH33">
        <f t="shared" si="3"/>
        <v>136913</v>
      </c>
      <c r="AI33">
        <f t="shared" si="4"/>
        <v>136913</v>
      </c>
    </row>
    <row r="34" spans="1:35" x14ac:dyDescent="0.25">
      <c r="A34" s="11">
        <v>38777</v>
      </c>
      <c r="B34" s="12">
        <v>97173</v>
      </c>
      <c r="C34" s="12" t="s">
        <v>2</v>
      </c>
      <c r="D34" s="1"/>
      <c r="F34" s="11">
        <v>38596</v>
      </c>
      <c r="G34" s="12">
        <v>3135</v>
      </c>
      <c r="H34" s="12" t="s">
        <v>15</v>
      </c>
      <c r="L34" s="3">
        <v>39203</v>
      </c>
      <c r="M34" s="5">
        <v>25940</v>
      </c>
      <c r="N34" s="5"/>
      <c r="O34" s="5">
        <v>151094</v>
      </c>
      <c r="P34" s="5"/>
      <c r="Q34" s="5"/>
      <c r="R34" s="5">
        <v>177034</v>
      </c>
      <c r="V34" s="3">
        <v>39203</v>
      </c>
      <c r="W34" s="5">
        <v>1594</v>
      </c>
      <c r="X34" s="5">
        <v>5</v>
      </c>
      <c r="Y34" s="5">
        <v>82047</v>
      </c>
      <c r="Z34" s="5">
        <v>93388</v>
      </c>
      <c r="AA34" s="5">
        <v>177034</v>
      </c>
      <c r="AD34" s="3">
        <v>39203</v>
      </c>
      <c r="AE34">
        <f t="shared" si="0"/>
        <v>1594</v>
      </c>
      <c r="AF34">
        <f t="shared" si="1"/>
        <v>0</v>
      </c>
      <c r="AG34">
        <f t="shared" si="2"/>
        <v>0</v>
      </c>
      <c r="AH34">
        <f t="shared" si="3"/>
        <v>177034</v>
      </c>
      <c r="AI34">
        <f t="shared" si="4"/>
        <v>177034</v>
      </c>
    </row>
    <row r="35" spans="1:35" x14ac:dyDescent="0.25">
      <c r="A35" s="11">
        <v>38808</v>
      </c>
      <c r="B35" s="12">
        <v>13860</v>
      </c>
      <c r="C35" s="12" t="s">
        <v>3</v>
      </c>
      <c r="D35" s="1"/>
      <c r="F35" s="11">
        <v>38596</v>
      </c>
      <c r="G35" s="12">
        <v>3502</v>
      </c>
      <c r="H35" s="12" t="s">
        <v>16</v>
      </c>
      <c r="L35" s="3">
        <v>39234</v>
      </c>
      <c r="M35" s="5">
        <v>28685</v>
      </c>
      <c r="N35" s="5"/>
      <c r="O35" s="5">
        <v>158385</v>
      </c>
      <c r="P35" s="5"/>
      <c r="Q35" s="5"/>
      <c r="R35" s="5">
        <v>187070</v>
      </c>
      <c r="V35" s="3">
        <v>39234</v>
      </c>
      <c r="W35" s="5">
        <v>1586</v>
      </c>
      <c r="X35" s="5">
        <v>8</v>
      </c>
      <c r="Y35" s="5">
        <v>87754</v>
      </c>
      <c r="Z35" s="5">
        <v>97722</v>
      </c>
      <c r="AA35" s="5">
        <v>187070</v>
      </c>
      <c r="AD35" s="3">
        <v>39234</v>
      </c>
      <c r="AE35">
        <f t="shared" si="0"/>
        <v>1586</v>
      </c>
      <c r="AF35">
        <f t="shared" si="1"/>
        <v>0</v>
      </c>
      <c r="AG35">
        <f t="shared" si="2"/>
        <v>0</v>
      </c>
      <c r="AH35">
        <f t="shared" si="3"/>
        <v>187070</v>
      </c>
      <c r="AI35">
        <f t="shared" si="4"/>
        <v>187070</v>
      </c>
    </row>
    <row r="36" spans="1:35" x14ac:dyDescent="0.25">
      <c r="A36" s="11">
        <v>38808</v>
      </c>
      <c r="B36" s="12">
        <v>108450</v>
      </c>
      <c r="C36" s="12" t="s">
        <v>2</v>
      </c>
      <c r="D36" s="1"/>
      <c r="F36" s="11">
        <v>38596</v>
      </c>
      <c r="G36" s="12">
        <v>145</v>
      </c>
      <c r="H36" s="12" t="s">
        <v>14</v>
      </c>
      <c r="L36" s="3">
        <v>39264</v>
      </c>
      <c r="M36" s="5">
        <v>25352</v>
      </c>
      <c r="N36" s="5"/>
      <c r="O36" s="5">
        <v>160817</v>
      </c>
      <c r="P36" s="5"/>
      <c r="Q36" s="5"/>
      <c r="R36" s="5">
        <v>186169</v>
      </c>
      <c r="V36" s="3">
        <v>39264</v>
      </c>
      <c r="W36" s="5">
        <v>1610</v>
      </c>
      <c r="X36" s="5">
        <v>2</v>
      </c>
      <c r="Y36" s="5">
        <v>95582</v>
      </c>
      <c r="Z36" s="5">
        <v>88975</v>
      </c>
      <c r="AA36" s="5">
        <v>186169</v>
      </c>
      <c r="AD36" s="3">
        <v>39264</v>
      </c>
      <c r="AE36">
        <f t="shared" si="0"/>
        <v>1610</v>
      </c>
      <c r="AF36">
        <f t="shared" si="1"/>
        <v>0</v>
      </c>
      <c r="AG36">
        <f t="shared" si="2"/>
        <v>0</v>
      </c>
      <c r="AH36">
        <f t="shared" si="3"/>
        <v>186169</v>
      </c>
      <c r="AI36">
        <f t="shared" si="4"/>
        <v>186169</v>
      </c>
    </row>
    <row r="37" spans="1:35" x14ac:dyDescent="0.25">
      <c r="A37" s="11">
        <v>38838</v>
      </c>
      <c r="B37" s="12">
        <v>14237</v>
      </c>
      <c r="C37" s="12" t="s">
        <v>3</v>
      </c>
      <c r="D37" s="1"/>
      <c r="F37" s="11">
        <v>38596</v>
      </c>
      <c r="G37" s="12">
        <v>1</v>
      </c>
      <c r="H37" s="12" t="s">
        <v>29</v>
      </c>
      <c r="L37" s="3">
        <v>39295</v>
      </c>
      <c r="M37" s="5">
        <v>20261</v>
      </c>
      <c r="N37" s="5"/>
      <c r="O37" s="5">
        <v>149675</v>
      </c>
      <c r="P37" s="5"/>
      <c r="Q37" s="5"/>
      <c r="R37" s="5">
        <v>169936</v>
      </c>
      <c r="V37" s="3">
        <v>39295</v>
      </c>
      <c r="W37" s="5">
        <v>1480</v>
      </c>
      <c r="X37" s="5">
        <v>1</v>
      </c>
      <c r="Y37" s="5">
        <v>96673</v>
      </c>
      <c r="Z37" s="5">
        <v>71782</v>
      </c>
      <c r="AA37" s="5">
        <v>169936</v>
      </c>
      <c r="AD37" s="3">
        <v>39295</v>
      </c>
      <c r="AE37">
        <f t="shared" si="0"/>
        <v>1480</v>
      </c>
      <c r="AF37">
        <f t="shared" si="1"/>
        <v>0</v>
      </c>
      <c r="AG37">
        <f t="shared" si="2"/>
        <v>0</v>
      </c>
      <c r="AH37">
        <f t="shared" si="3"/>
        <v>169936</v>
      </c>
      <c r="AI37">
        <f t="shared" si="4"/>
        <v>169936</v>
      </c>
    </row>
    <row r="38" spans="1:35" x14ac:dyDescent="0.25">
      <c r="A38" s="11">
        <v>38838</v>
      </c>
      <c r="B38" s="12">
        <v>123822</v>
      </c>
      <c r="C38" s="12" t="s">
        <v>2</v>
      </c>
      <c r="D38" s="1"/>
      <c r="F38" s="11">
        <v>38626</v>
      </c>
      <c r="G38" s="12">
        <v>5315</v>
      </c>
      <c r="H38" s="12" t="s">
        <v>15</v>
      </c>
      <c r="L38" s="3">
        <v>39326</v>
      </c>
      <c r="M38" s="5">
        <v>17391</v>
      </c>
      <c r="N38" s="5"/>
      <c r="O38" s="5">
        <v>139954</v>
      </c>
      <c r="P38" s="5"/>
      <c r="Q38" s="5"/>
      <c r="R38" s="5">
        <v>157345</v>
      </c>
      <c r="V38" s="3">
        <v>39326</v>
      </c>
      <c r="W38" s="5">
        <v>1553</v>
      </c>
      <c r="X38" s="5">
        <v>3</v>
      </c>
      <c r="Y38" s="5">
        <v>93076</v>
      </c>
      <c r="Z38" s="5">
        <v>62713</v>
      </c>
      <c r="AA38" s="5">
        <v>157345</v>
      </c>
      <c r="AD38" s="3">
        <v>39326</v>
      </c>
      <c r="AE38">
        <f t="shared" si="0"/>
        <v>1553</v>
      </c>
      <c r="AF38">
        <f t="shared" si="1"/>
        <v>0</v>
      </c>
      <c r="AG38">
        <f t="shared" si="2"/>
        <v>0</v>
      </c>
      <c r="AH38">
        <f t="shared" si="3"/>
        <v>157345</v>
      </c>
      <c r="AI38">
        <f t="shared" si="4"/>
        <v>157345</v>
      </c>
    </row>
    <row r="39" spans="1:35" x14ac:dyDescent="0.25">
      <c r="A39" s="11">
        <v>38869</v>
      </c>
      <c r="B39" s="12">
        <v>12564</v>
      </c>
      <c r="C39" s="12" t="s">
        <v>3</v>
      </c>
      <c r="D39" s="1"/>
      <c r="F39" s="11">
        <v>38626</v>
      </c>
      <c r="G39" s="12">
        <v>5946</v>
      </c>
      <c r="H39" s="12" t="s">
        <v>16</v>
      </c>
      <c r="L39" s="3">
        <v>39356</v>
      </c>
      <c r="M39" s="5">
        <v>16755</v>
      </c>
      <c r="N39" s="5"/>
      <c r="O39" s="5">
        <v>133387</v>
      </c>
      <c r="P39" s="5"/>
      <c r="Q39" s="5"/>
      <c r="R39" s="5">
        <v>150142</v>
      </c>
      <c r="V39" s="3">
        <v>39356</v>
      </c>
      <c r="W39" s="5">
        <v>1532</v>
      </c>
      <c r="X39" s="5">
        <v>4</v>
      </c>
      <c r="Y39" s="5">
        <v>89900</v>
      </c>
      <c r="Z39" s="5">
        <v>58706</v>
      </c>
      <c r="AA39" s="5">
        <v>150142</v>
      </c>
      <c r="AD39" s="3">
        <v>39356</v>
      </c>
      <c r="AE39">
        <f t="shared" si="0"/>
        <v>1532</v>
      </c>
      <c r="AF39">
        <f t="shared" si="1"/>
        <v>0</v>
      </c>
      <c r="AG39">
        <f t="shared" si="2"/>
        <v>0</v>
      </c>
      <c r="AH39">
        <f t="shared" si="3"/>
        <v>150142</v>
      </c>
      <c r="AI39">
        <f t="shared" si="4"/>
        <v>150142</v>
      </c>
    </row>
    <row r="40" spans="1:35" x14ac:dyDescent="0.25">
      <c r="A40" s="11">
        <v>38869</v>
      </c>
      <c r="B40" s="12">
        <v>116000</v>
      </c>
      <c r="C40" s="12" t="s">
        <v>2</v>
      </c>
      <c r="D40" s="1"/>
      <c r="F40" s="11">
        <v>38626</v>
      </c>
      <c r="G40" s="12">
        <v>230</v>
      </c>
      <c r="H40" s="12" t="s">
        <v>14</v>
      </c>
      <c r="L40" s="3">
        <v>39387</v>
      </c>
      <c r="M40" s="5">
        <v>19462</v>
      </c>
      <c r="N40" s="5"/>
      <c r="O40" s="5">
        <v>120202</v>
      </c>
      <c r="P40" s="5"/>
      <c r="Q40" s="5"/>
      <c r="R40" s="5">
        <v>139664</v>
      </c>
      <c r="V40" s="3">
        <v>39387</v>
      </c>
      <c r="W40" s="5">
        <v>1645</v>
      </c>
      <c r="X40" s="5">
        <v>3</v>
      </c>
      <c r="Y40" s="5">
        <v>75591</v>
      </c>
      <c r="Z40" s="5">
        <v>62425</v>
      </c>
      <c r="AA40" s="5">
        <v>139664</v>
      </c>
      <c r="AD40" s="3">
        <v>39387</v>
      </c>
      <c r="AE40">
        <f t="shared" si="0"/>
        <v>1645</v>
      </c>
      <c r="AF40">
        <f t="shared" si="1"/>
        <v>0</v>
      </c>
      <c r="AG40">
        <f t="shared" si="2"/>
        <v>0</v>
      </c>
      <c r="AH40">
        <f t="shared" si="3"/>
        <v>139664</v>
      </c>
      <c r="AI40">
        <f t="shared" si="4"/>
        <v>139664</v>
      </c>
    </row>
    <row r="41" spans="1:35" x14ac:dyDescent="0.25">
      <c r="A41" s="11">
        <v>38899</v>
      </c>
      <c r="B41" s="12">
        <v>12214</v>
      </c>
      <c r="C41" s="12" t="s">
        <v>3</v>
      </c>
      <c r="D41" s="1"/>
      <c r="F41" s="11">
        <v>38657</v>
      </c>
      <c r="G41" s="12">
        <v>12205</v>
      </c>
      <c r="H41" s="12" t="s">
        <v>15</v>
      </c>
      <c r="L41" s="3">
        <v>39417</v>
      </c>
      <c r="M41" s="5">
        <v>23165</v>
      </c>
      <c r="N41" s="5"/>
      <c r="O41" s="5">
        <v>124380</v>
      </c>
      <c r="P41" s="5"/>
      <c r="Q41" s="5"/>
      <c r="R41" s="5">
        <v>147545</v>
      </c>
      <c r="V41" s="3">
        <v>39417</v>
      </c>
      <c r="W41" s="5">
        <v>1747</v>
      </c>
      <c r="X41" s="5">
        <v>7</v>
      </c>
      <c r="Y41" s="5">
        <v>71078</v>
      </c>
      <c r="Z41" s="5">
        <v>74713</v>
      </c>
      <c r="AA41" s="5">
        <v>147545</v>
      </c>
      <c r="AD41" s="3">
        <v>39417</v>
      </c>
      <c r="AE41">
        <f t="shared" si="0"/>
        <v>1747</v>
      </c>
      <c r="AF41">
        <f t="shared" si="1"/>
        <v>0</v>
      </c>
      <c r="AG41">
        <f t="shared" si="2"/>
        <v>0</v>
      </c>
      <c r="AH41">
        <f t="shared" si="3"/>
        <v>147545</v>
      </c>
      <c r="AI41">
        <f t="shared" si="4"/>
        <v>147545</v>
      </c>
    </row>
    <row r="42" spans="1:35" x14ac:dyDescent="0.25">
      <c r="A42" s="11">
        <v>38899</v>
      </c>
      <c r="B42" s="12">
        <v>126858</v>
      </c>
      <c r="C42" s="12" t="s">
        <v>2</v>
      </c>
      <c r="D42" s="1"/>
      <c r="F42" s="11">
        <v>38657</v>
      </c>
      <c r="G42" s="12">
        <v>10686</v>
      </c>
      <c r="H42" s="12" t="s">
        <v>16</v>
      </c>
      <c r="L42" s="3">
        <v>39448</v>
      </c>
      <c r="M42" s="5">
        <v>21667</v>
      </c>
      <c r="N42" s="5"/>
      <c r="O42" s="5">
        <v>105626</v>
      </c>
      <c r="P42" s="5"/>
      <c r="Q42" s="5"/>
      <c r="R42" s="5">
        <v>127293</v>
      </c>
      <c r="V42" s="3">
        <v>39448</v>
      </c>
      <c r="W42" s="5">
        <v>1342</v>
      </c>
      <c r="X42" s="5">
        <v>7</v>
      </c>
      <c r="Y42" s="5">
        <v>61423</v>
      </c>
      <c r="Z42" s="5">
        <v>64521</v>
      </c>
      <c r="AA42" s="5">
        <v>127293</v>
      </c>
      <c r="AD42" s="3">
        <v>39448</v>
      </c>
      <c r="AE42">
        <f t="shared" si="0"/>
        <v>1342</v>
      </c>
      <c r="AF42">
        <f t="shared" si="1"/>
        <v>0</v>
      </c>
      <c r="AG42">
        <f t="shared" si="2"/>
        <v>0</v>
      </c>
      <c r="AH42">
        <f t="shared" si="3"/>
        <v>127293</v>
      </c>
      <c r="AI42">
        <f t="shared" si="4"/>
        <v>127293</v>
      </c>
    </row>
    <row r="43" spans="1:35" x14ac:dyDescent="0.25">
      <c r="A43" s="11">
        <v>38930</v>
      </c>
      <c r="B43" s="12">
        <v>11515</v>
      </c>
      <c r="C43" s="12" t="s">
        <v>3</v>
      </c>
      <c r="D43" s="1"/>
      <c r="F43" s="11">
        <v>38657</v>
      </c>
      <c r="G43" s="12">
        <v>445</v>
      </c>
      <c r="H43" s="12" t="s">
        <v>14</v>
      </c>
      <c r="L43" s="3">
        <v>39479</v>
      </c>
      <c r="M43" s="5">
        <v>31699</v>
      </c>
      <c r="N43" s="5"/>
      <c r="O43" s="5">
        <v>115597</v>
      </c>
      <c r="P43" s="5"/>
      <c r="Q43" s="5"/>
      <c r="R43" s="5">
        <v>147296</v>
      </c>
      <c r="V43" s="3">
        <v>39479</v>
      </c>
      <c r="W43" s="5">
        <v>1534</v>
      </c>
      <c r="X43" s="5">
        <v>13</v>
      </c>
      <c r="Y43" s="5">
        <v>60885</v>
      </c>
      <c r="Z43" s="5">
        <v>84864</v>
      </c>
      <c r="AA43" s="5">
        <v>147296</v>
      </c>
      <c r="AD43" s="3">
        <v>39479</v>
      </c>
      <c r="AE43">
        <f t="shared" si="0"/>
        <v>1534</v>
      </c>
      <c r="AF43">
        <f t="shared" si="1"/>
        <v>0</v>
      </c>
      <c r="AG43">
        <f t="shared" si="2"/>
        <v>0</v>
      </c>
      <c r="AH43">
        <f t="shared" si="3"/>
        <v>147296</v>
      </c>
      <c r="AI43">
        <f t="shared" si="4"/>
        <v>147296</v>
      </c>
    </row>
    <row r="44" spans="1:35" x14ac:dyDescent="0.25">
      <c r="A44" s="11">
        <v>38930</v>
      </c>
      <c r="B44" s="12">
        <v>135402</v>
      </c>
      <c r="C44" s="12" t="s">
        <v>2</v>
      </c>
      <c r="D44" s="1"/>
      <c r="F44" s="11">
        <v>38687</v>
      </c>
      <c r="G44" s="12">
        <v>47368</v>
      </c>
      <c r="H44" s="12" t="s">
        <v>15</v>
      </c>
      <c r="L44" s="3">
        <v>39508</v>
      </c>
      <c r="M44" s="5">
        <v>35311</v>
      </c>
      <c r="N44" s="5"/>
      <c r="O44" s="5">
        <v>97553</v>
      </c>
      <c r="P44" s="5"/>
      <c r="Q44" s="5"/>
      <c r="R44" s="5">
        <v>132864</v>
      </c>
      <c r="V44" s="3">
        <v>39508</v>
      </c>
      <c r="W44" s="5">
        <v>1300</v>
      </c>
      <c r="X44" s="5">
        <v>15</v>
      </c>
      <c r="Y44" s="5">
        <v>46033</v>
      </c>
      <c r="Z44" s="5">
        <v>85516</v>
      </c>
      <c r="AA44" s="5">
        <v>132864</v>
      </c>
      <c r="AD44" s="3">
        <v>39508</v>
      </c>
      <c r="AE44">
        <f t="shared" si="0"/>
        <v>1300</v>
      </c>
      <c r="AF44">
        <f t="shared" si="1"/>
        <v>0</v>
      </c>
      <c r="AG44">
        <f t="shared" si="2"/>
        <v>0</v>
      </c>
      <c r="AH44">
        <f t="shared" si="3"/>
        <v>132864</v>
      </c>
      <c r="AI44">
        <f t="shared" si="4"/>
        <v>132864</v>
      </c>
    </row>
    <row r="45" spans="1:35" x14ac:dyDescent="0.25">
      <c r="A45" s="11">
        <v>38961</v>
      </c>
      <c r="B45" s="12">
        <v>10948</v>
      </c>
      <c r="C45" s="12" t="s">
        <v>3</v>
      </c>
      <c r="D45" s="1"/>
      <c r="F45" s="11">
        <v>38687</v>
      </c>
      <c r="G45" s="12">
        <v>35733</v>
      </c>
      <c r="H45" s="12" t="s">
        <v>16</v>
      </c>
      <c r="L45" s="3">
        <v>39539</v>
      </c>
      <c r="M45" s="5">
        <v>61159</v>
      </c>
      <c r="N45" s="5"/>
      <c r="O45" s="5">
        <v>140722</v>
      </c>
      <c r="P45" s="5"/>
      <c r="Q45" s="5"/>
      <c r="R45" s="5">
        <v>201881</v>
      </c>
      <c r="V45" s="3">
        <v>39539</v>
      </c>
      <c r="W45" s="5">
        <v>1805</v>
      </c>
      <c r="X45" s="5">
        <v>10</v>
      </c>
      <c r="Y45" s="5">
        <v>50715</v>
      </c>
      <c r="Z45" s="5">
        <v>149351</v>
      </c>
      <c r="AA45" s="5">
        <v>201881</v>
      </c>
      <c r="AD45" s="3">
        <v>39539</v>
      </c>
      <c r="AE45">
        <f t="shared" si="0"/>
        <v>1805</v>
      </c>
      <c r="AF45">
        <f t="shared" si="1"/>
        <v>0</v>
      </c>
      <c r="AG45">
        <f t="shared" si="2"/>
        <v>0</v>
      </c>
      <c r="AH45">
        <f t="shared" si="3"/>
        <v>201881</v>
      </c>
      <c r="AI45">
        <f t="shared" si="4"/>
        <v>201881</v>
      </c>
    </row>
    <row r="46" spans="1:35" x14ac:dyDescent="0.25">
      <c r="A46" s="11">
        <v>38961</v>
      </c>
      <c r="B46" s="12">
        <v>121614</v>
      </c>
      <c r="C46" s="12" t="s">
        <v>2</v>
      </c>
      <c r="D46" s="1"/>
      <c r="F46" s="11">
        <v>38687</v>
      </c>
      <c r="G46" s="12">
        <v>1387</v>
      </c>
      <c r="H46" s="12" t="s">
        <v>14</v>
      </c>
      <c r="L46" s="3">
        <v>39569</v>
      </c>
      <c r="M46" s="5">
        <v>42303</v>
      </c>
      <c r="N46" s="5"/>
      <c r="O46" s="5">
        <v>139504</v>
      </c>
      <c r="P46" s="5"/>
      <c r="Q46" s="5"/>
      <c r="R46" s="5">
        <v>181807</v>
      </c>
      <c r="V46" s="3">
        <v>39569</v>
      </c>
      <c r="W46" s="5">
        <v>1564</v>
      </c>
      <c r="X46" s="5">
        <v>13</v>
      </c>
      <c r="Y46" s="5">
        <v>59260</v>
      </c>
      <c r="Z46" s="5">
        <v>120970</v>
      </c>
      <c r="AA46" s="5">
        <v>181807</v>
      </c>
      <c r="AD46" s="3">
        <v>39569</v>
      </c>
      <c r="AE46">
        <f t="shared" si="0"/>
        <v>1564</v>
      </c>
      <c r="AF46">
        <f t="shared" si="1"/>
        <v>0</v>
      </c>
      <c r="AG46">
        <f t="shared" si="2"/>
        <v>0</v>
      </c>
      <c r="AH46">
        <f t="shared" si="3"/>
        <v>181807</v>
      </c>
      <c r="AI46">
        <f t="shared" si="4"/>
        <v>181807</v>
      </c>
    </row>
    <row r="47" spans="1:35" x14ac:dyDescent="0.25">
      <c r="A47" s="11">
        <v>38991</v>
      </c>
      <c r="B47" s="12">
        <v>11867</v>
      </c>
      <c r="C47" s="12" t="s">
        <v>3</v>
      </c>
      <c r="D47" s="1"/>
      <c r="F47" s="11">
        <v>38687</v>
      </c>
      <c r="G47" s="12">
        <v>1</v>
      </c>
      <c r="H47" s="12" t="s">
        <v>29</v>
      </c>
      <c r="L47" s="3">
        <v>39600</v>
      </c>
      <c r="M47" s="5">
        <v>38887</v>
      </c>
      <c r="N47" s="5"/>
      <c r="O47" s="5">
        <v>131767</v>
      </c>
      <c r="P47" s="5"/>
      <c r="Q47" s="5"/>
      <c r="R47" s="5">
        <v>170654</v>
      </c>
      <c r="V47" s="3">
        <v>39600</v>
      </c>
      <c r="W47" s="5">
        <v>1309</v>
      </c>
      <c r="X47" s="5">
        <v>17</v>
      </c>
      <c r="Y47" s="5">
        <v>56979</v>
      </c>
      <c r="Z47" s="5">
        <v>112349</v>
      </c>
      <c r="AA47" s="5">
        <v>170654</v>
      </c>
      <c r="AD47" s="3">
        <v>39600</v>
      </c>
      <c r="AE47">
        <f t="shared" si="0"/>
        <v>1309</v>
      </c>
      <c r="AF47">
        <f t="shared" si="1"/>
        <v>0</v>
      </c>
      <c r="AG47">
        <f t="shared" si="2"/>
        <v>0</v>
      </c>
      <c r="AH47">
        <f t="shared" si="3"/>
        <v>170654</v>
      </c>
      <c r="AI47">
        <f t="shared" si="4"/>
        <v>170654</v>
      </c>
    </row>
    <row r="48" spans="1:35" x14ac:dyDescent="0.25">
      <c r="A48" s="11">
        <v>38991</v>
      </c>
      <c r="B48" s="12">
        <v>124126</v>
      </c>
      <c r="C48" s="12" t="s">
        <v>2</v>
      </c>
      <c r="D48" s="1"/>
      <c r="F48" s="11">
        <v>38718</v>
      </c>
      <c r="G48" s="12">
        <v>77716</v>
      </c>
      <c r="H48" s="12" t="s">
        <v>15</v>
      </c>
      <c r="L48" s="3">
        <v>39630</v>
      </c>
      <c r="M48" s="5">
        <v>23755</v>
      </c>
      <c r="N48" s="5"/>
      <c r="O48" s="5">
        <v>104867</v>
      </c>
      <c r="P48" s="5"/>
      <c r="Q48" s="5"/>
      <c r="R48" s="5">
        <v>128622</v>
      </c>
      <c r="V48" s="3">
        <v>39630</v>
      </c>
      <c r="W48" s="5">
        <v>811</v>
      </c>
      <c r="X48" s="5">
        <v>41</v>
      </c>
      <c r="Y48" s="5">
        <v>55862</v>
      </c>
      <c r="Z48" s="5">
        <v>71908</v>
      </c>
      <c r="AA48" s="5">
        <v>128622</v>
      </c>
      <c r="AD48" s="3">
        <v>39630</v>
      </c>
      <c r="AE48">
        <f t="shared" si="0"/>
        <v>811</v>
      </c>
      <c r="AF48">
        <f t="shared" si="1"/>
        <v>0</v>
      </c>
      <c r="AG48">
        <f t="shared" si="2"/>
        <v>0</v>
      </c>
      <c r="AH48">
        <f t="shared" si="3"/>
        <v>128622</v>
      </c>
      <c r="AI48">
        <f t="shared" si="4"/>
        <v>128622</v>
      </c>
    </row>
    <row r="49" spans="1:35" x14ac:dyDescent="0.25">
      <c r="A49" s="11">
        <v>39022</v>
      </c>
      <c r="B49" s="12">
        <v>116363</v>
      </c>
      <c r="C49" s="12" t="s">
        <v>2</v>
      </c>
      <c r="D49" s="1"/>
      <c r="F49" s="11">
        <v>38718</v>
      </c>
      <c r="G49" s="12">
        <v>63201</v>
      </c>
      <c r="H49" s="12" t="s">
        <v>16</v>
      </c>
      <c r="L49" s="3">
        <v>39661</v>
      </c>
      <c r="M49" s="5">
        <v>17704</v>
      </c>
      <c r="N49" s="5"/>
      <c r="O49" s="5">
        <v>99389</v>
      </c>
      <c r="P49" s="5"/>
      <c r="Q49" s="5"/>
      <c r="R49" s="5">
        <v>117093</v>
      </c>
      <c r="V49" s="3">
        <v>39661</v>
      </c>
      <c r="W49" s="5">
        <v>631</v>
      </c>
      <c r="X49" s="5">
        <v>122</v>
      </c>
      <c r="Y49" s="5">
        <v>60469</v>
      </c>
      <c r="Z49" s="5">
        <v>55871</v>
      </c>
      <c r="AA49" s="5">
        <v>117093</v>
      </c>
      <c r="AD49" s="3">
        <v>39661</v>
      </c>
      <c r="AE49">
        <f t="shared" si="0"/>
        <v>631</v>
      </c>
      <c r="AF49">
        <f t="shared" si="1"/>
        <v>0</v>
      </c>
      <c r="AG49">
        <f t="shared" si="2"/>
        <v>0</v>
      </c>
      <c r="AH49">
        <f t="shared" si="3"/>
        <v>117093</v>
      </c>
      <c r="AI49">
        <f t="shared" si="4"/>
        <v>117093</v>
      </c>
    </row>
    <row r="50" spans="1:35" x14ac:dyDescent="0.25">
      <c r="A50" s="11">
        <v>39022</v>
      </c>
      <c r="B50" s="12">
        <v>13427</v>
      </c>
      <c r="C50" s="12" t="s">
        <v>3</v>
      </c>
      <c r="D50" s="1"/>
      <c r="F50" s="11">
        <v>38718</v>
      </c>
      <c r="G50" s="12">
        <v>2295</v>
      </c>
      <c r="H50" s="12" t="s">
        <v>14</v>
      </c>
      <c r="L50" s="3">
        <v>39692</v>
      </c>
      <c r="M50" s="5">
        <v>11718</v>
      </c>
      <c r="N50" s="5"/>
      <c r="O50" s="5">
        <v>77863</v>
      </c>
      <c r="P50" s="5"/>
      <c r="Q50" s="5"/>
      <c r="R50" s="5">
        <v>89581</v>
      </c>
      <c r="V50" s="3">
        <v>39692</v>
      </c>
      <c r="W50" s="5">
        <v>399</v>
      </c>
      <c r="X50" s="5">
        <v>89</v>
      </c>
      <c r="Y50" s="5">
        <v>51835</v>
      </c>
      <c r="Z50" s="5">
        <v>37258</v>
      </c>
      <c r="AA50" s="5">
        <v>89581</v>
      </c>
      <c r="AD50" s="3">
        <v>39692</v>
      </c>
      <c r="AE50">
        <f t="shared" si="0"/>
        <v>399</v>
      </c>
      <c r="AF50">
        <f t="shared" si="1"/>
        <v>0</v>
      </c>
      <c r="AG50">
        <f t="shared" si="2"/>
        <v>0</v>
      </c>
      <c r="AH50">
        <f t="shared" si="3"/>
        <v>89581</v>
      </c>
      <c r="AI50">
        <f t="shared" si="4"/>
        <v>89581</v>
      </c>
    </row>
    <row r="51" spans="1:35" x14ac:dyDescent="0.25">
      <c r="A51" s="11">
        <v>39052</v>
      </c>
      <c r="B51" s="12">
        <v>130961</v>
      </c>
      <c r="C51" s="12" t="s">
        <v>2</v>
      </c>
      <c r="D51" s="1"/>
      <c r="F51" s="11">
        <v>38718</v>
      </c>
      <c r="G51" s="12">
        <v>1</v>
      </c>
      <c r="H51" s="12" t="s">
        <v>29</v>
      </c>
      <c r="L51" s="3">
        <v>39722</v>
      </c>
      <c r="M51" s="5">
        <v>7319</v>
      </c>
      <c r="N51" s="5"/>
      <c r="O51" s="5">
        <v>54547</v>
      </c>
      <c r="P51" s="5"/>
      <c r="Q51" s="5"/>
      <c r="R51" s="5">
        <v>61866</v>
      </c>
      <c r="V51" s="3">
        <v>39722</v>
      </c>
      <c r="W51" s="5">
        <v>287</v>
      </c>
      <c r="X51" s="5">
        <v>100</v>
      </c>
      <c r="Y51" s="5">
        <v>36240</v>
      </c>
      <c r="Z51" s="5">
        <v>25239</v>
      </c>
      <c r="AA51" s="5">
        <v>61866</v>
      </c>
      <c r="AD51" s="3">
        <v>39722</v>
      </c>
      <c r="AE51">
        <f t="shared" si="0"/>
        <v>287</v>
      </c>
      <c r="AF51">
        <f t="shared" si="1"/>
        <v>0</v>
      </c>
      <c r="AG51">
        <f t="shared" si="2"/>
        <v>0</v>
      </c>
      <c r="AH51">
        <f t="shared" si="3"/>
        <v>61866</v>
      </c>
      <c r="AI51">
        <f t="shared" si="4"/>
        <v>61866</v>
      </c>
    </row>
    <row r="52" spans="1:35" x14ac:dyDescent="0.25">
      <c r="A52" s="11">
        <v>39052</v>
      </c>
      <c r="B52" s="12">
        <v>18575</v>
      </c>
      <c r="C52" s="12" t="s">
        <v>3</v>
      </c>
      <c r="D52" s="1"/>
      <c r="F52" s="11">
        <v>38749</v>
      </c>
      <c r="G52" s="12">
        <v>68679</v>
      </c>
      <c r="H52" s="12" t="s">
        <v>15</v>
      </c>
      <c r="L52" s="3">
        <v>39753</v>
      </c>
      <c r="M52" s="5">
        <v>10715</v>
      </c>
      <c r="N52" s="5"/>
      <c r="O52" s="5">
        <v>59811</v>
      </c>
      <c r="P52" s="5"/>
      <c r="Q52" s="5"/>
      <c r="R52" s="5">
        <v>70526</v>
      </c>
      <c r="V52" s="3">
        <v>39753</v>
      </c>
      <c r="W52" s="5">
        <v>320</v>
      </c>
      <c r="X52" s="5">
        <v>319</v>
      </c>
      <c r="Y52" s="5">
        <v>38876</v>
      </c>
      <c r="Z52" s="5">
        <v>31011</v>
      </c>
      <c r="AA52" s="5">
        <v>70526</v>
      </c>
      <c r="AD52" s="3">
        <v>39753</v>
      </c>
      <c r="AE52">
        <f t="shared" si="0"/>
        <v>320</v>
      </c>
      <c r="AF52">
        <f t="shared" si="1"/>
        <v>0</v>
      </c>
      <c r="AG52">
        <f t="shared" si="2"/>
        <v>0</v>
      </c>
      <c r="AH52">
        <f t="shared" si="3"/>
        <v>70526</v>
      </c>
      <c r="AI52">
        <f t="shared" si="4"/>
        <v>70526</v>
      </c>
    </row>
    <row r="53" spans="1:35" x14ac:dyDescent="0.25">
      <c r="A53" s="11">
        <v>39083</v>
      </c>
      <c r="B53" s="12">
        <v>18135</v>
      </c>
      <c r="C53" s="12" t="s">
        <v>3</v>
      </c>
      <c r="D53" s="1"/>
      <c r="F53" s="11">
        <v>38749</v>
      </c>
      <c r="G53" s="12">
        <v>61981</v>
      </c>
      <c r="H53" s="12" t="s">
        <v>16</v>
      </c>
      <c r="L53" s="3">
        <v>39783</v>
      </c>
      <c r="M53" s="5">
        <v>15988</v>
      </c>
      <c r="N53" s="5"/>
      <c r="O53" s="5">
        <v>61034</v>
      </c>
      <c r="P53" s="5"/>
      <c r="Q53" s="5"/>
      <c r="R53" s="5">
        <v>77022</v>
      </c>
      <c r="V53" s="3">
        <v>39783</v>
      </c>
      <c r="W53" s="5">
        <v>501</v>
      </c>
      <c r="X53" s="5">
        <v>441</v>
      </c>
      <c r="Y53" s="5">
        <v>35887</v>
      </c>
      <c r="Z53" s="5">
        <v>40193</v>
      </c>
      <c r="AA53" s="5">
        <v>77022</v>
      </c>
      <c r="AD53" s="3">
        <v>39783</v>
      </c>
      <c r="AE53">
        <f t="shared" si="0"/>
        <v>501</v>
      </c>
      <c r="AF53">
        <f t="shared" si="1"/>
        <v>0</v>
      </c>
      <c r="AG53">
        <f t="shared" si="2"/>
        <v>0</v>
      </c>
      <c r="AH53">
        <f t="shared" si="3"/>
        <v>77022</v>
      </c>
      <c r="AI53">
        <f t="shared" si="4"/>
        <v>77022</v>
      </c>
    </row>
    <row r="54" spans="1:35" x14ac:dyDescent="0.25">
      <c r="A54" s="11">
        <v>39083</v>
      </c>
      <c r="B54" s="12">
        <v>119955</v>
      </c>
      <c r="C54" s="12" t="s">
        <v>2</v>
      </c>
      <c r="D54" s="1"/>
      <c r="F54" s="11">
        <v>38749</v>
      </c>
      <c r="G54" s="12">
        <v>2065</v>
      </c>
      <c r="H54" s="12" t="s">
        <v>14</v>
      </c>
      <c r="L54" s="3">
        <v>39814</v>
      </c>
      <c r="M54" s="5">
        <v>7602</v>
      </c>
      <c r="N54" s="5"/>
      <c r="O54" s="5">
        <v>38507</v>
      </c>
      <c r="P54" s="5"/>
      <c r="Q54" s="5"/>
      <c r="R54" s="5">
        <v>46109</v>
      </c>
      <c r="V54" s="3">
        <v>39814</v>
      </c>
      <c r="W54" s="5">
        <v>255</v>
      </c>
      <c r="X54" s="5">
        <v>593</v>
      </c>
      <c r="Y54" s="5">
        <v>24614</v>
      </c>
      <c r="Z54" s="5">
        <v>20647</v>
      </c>
      <c r="AA54" s="5">
        <v>46109</v>
      </c>
      <c r="AD54" s="3">
        <v>39814</v>
      </c>
      <c r="AE54">
        <f t="shared" si="0"/>
        <v>255</v>
      </c>
      <c r="AF54">
        <f t="shared" si="1"/>
        <v>0</v>
      </c>
      <c r="AG54">
        <f t="shared" si="2"/>
        <v>0</v>
      </c>
      <c r="AH54">
        <f t="shared" si="3"/>
        <v>46109</v>
      </c>
      <c r="AI54">
        <f t="shared" si="4"/>
        <v>46109</v>
      </c>
    </row>
    <row r="55" spans="1:35" x14ac:dyDescent="0.25">
      <c r="A55" s="11">
        <v>39114</v>
      </c>
      <c r="B55" s="12">
        <v>123443</v>
      </c>
      <c r="C55" s="12" t="s">
        <v>2</v>
      </c>
      <c r="D55" s="1"/>
      <c r="F55" s="11">
        <v>38749</v>
      </c>
      <c r="G55" s="12">
        <v>2</v>
      </c>
      <c r="H55" s="12" t="s">
        <v>29</v>
      </c>
      <c r="L55" s="3">
        <v>39845</v>
      </c>
      <c r="M55" s="5">
        <v>32437</v>
      </c>
      <c r="N55" s="5"/>
      <c r="O55" s="5">
        <v>62781</v>
      </c>
      <c r="P55" s="5"/>
      <c r="Q55" s="5"/>
      <c r="R55" s="5">
        <v>95218</v>
      </c>
      <c r="V55" s="3">
        <v>39845</v>
      </c>
      <c r="W55" s="5">
        <v>859</v>
      </c>
      <c r="X55" s="5">
        <v>617</v>
      </c>
      <c r="Y55" s="5">
        <v>33352</v>
      </c>
      <c r="Z55" s="5">
        <v>60390</v>
      </c>
      <c r="AA55" s="5">
        <v>95218</v>
      </c>
      <c r="AD55" s="3">
        <v>39845</v>
      </c>
      <c r="AE55">
        <f t="shared" si="0"/>
        <v>859</v>
      </c>
      <c r="AF55">
        <f t="shared" si="1"/>
        <v>0</v>
      </c>
      <c r="AG55">
        <f t="shared" si="2"/>
        <v>0</v>
      </c>
      <c r="AH55">
        <f t="shared" si="3"/>
        <v>95218</v>
      </c>
      <c r="AI55">
        <f t="shared" si="4"/>
        <v>95218</v>
      </c>
    </row>
    <row r="56" spans="1:35" x14ac:dyDescent="0.25">
      <c r="A56" s="11">
        <v>39114</v>
      </c>
      <c r="B56" s="12">
        <v>22662</v>
      </c>
      <c r="C56" s="12" t="s">
        <v>3</v>
      </c>
      <c r="D56" s="1"/>
      <c r="F56" s="11">
        <v>38777</v>
      </c>
      <c r="G56" s="12">
        <v>60942</v>
      </c>
      <c r="H56" s="12" t="s">
        <v>15</v>
      </c>
      <c r="L56" s="3">
        <v>39873</v>
      </c>
      <c r="M56" s="5">
        <v>81682</v>
      </c>
      <c r="N56" s="5"/>
      <c r="O56" s="5">
        <v>84698</v>
      </c>
      <c r="P56" s="5"/>
      <c r="Q56" s="5"/>
      <c r="R56" s="5">
        <v>166380</v>
      </c>
      <c r="V56" s="3">
        <v>39873</v>
      </c>
      <c r="W56" s="5">
        <v>2080</v>
      </c>
      <c r="X56" s="5">
        <v>691</v>
      </c>
      <c r="Y56" s="5">
        <v>21058</v>
      </c>
      <c r="Z56" s="5">
        <v>142551</v>
      </c>
      <c r="AA56" s="5">
        <v>166380</v>
      </c>
      <c r="AD56" s="3">
        <v>39873</v>
      </c>
      <c r="AE56">
        <f t="shared" si="0"/>
        <v>2080</v>
      </c>
      <c r="AF56">
        <f t="shared" si="1"/>
        <v>0</v>
      </c>
      <c r="AG56">
        <f t="shared" si="2"/>
        <v>0</v>
      </c>
      <c r="AH56">
        <f t="shared" si="3"/>
        <v>166380</v>
      </c>
      <c r="AI56">
        <f t="shared" si="4"/>
        <v>166380</v>
      </c>
    </row>
    <row r="57" spans="1:35" x14ac:dyDescent="0.25">
      <c r="A57" s="11">
        <v>39142</v>
      </c>
      <c r="B57" s="12">
        <v>109970</v>
      </c>
      <c r="C57" s="12" t="s">
        <v>2</v>
      </c>
      <c r="D57" s="1"/>
      <c r="F57" s="11">
        <v>38777</v>
      </c>
      <c r="G57" s="12">
        <v>47293</v>
      </c>
      <c r="H57" s="12" t="s">
        <v>16</v>
      </c>
      <c r="L57" s="3">
        <v>39904</v>
      </c>
      <c r="M57" s="5">
        <v>105008</v>
      </c>
      <c r="N57" s="5"/>
      <c r="O57" s="5">
        <v>117107</v>
      </c>
      <c r="P57" s="5"/>
      <c r="Q57" s="5"/>
      <c r="R57" s="5">
        <v>222115</v>
      </c>
      <c r="V57" s="3">
        <v>39904</v>
      </c>
      <c r="W57" s="5">
        <v>2392</v>
      </c>
      <c r="X57" s="5">
        <v>673</v>
      </c>
      <c r="Y57" s="5">
        <v>23754</v>
      </c>
      <c r="Z57" s="5">
        <v>195296</v>
      </c>
      <c r="AA57" s="5">
        <v>222115</v>
      </c>
      <c r="AD57" s="3">
        <v>39904</v>
      </c>
      <c r="AE57">
        <f t="shared" si="0"/>
        <v>2392</v>
      </c>
      <c r="AF57">
        <f t="shared" si="1"/>
        <v>0</v>
      </c>
      <c r="AG57">
        <f t="shared" si="2"/>
        <v>0</v>
      </c>
      <c r="AH57">
        <f t="shared" si="3"/>
        <v>222115</v>
      </c>
      <c r="AI57">
        <f t="shared" si="4"/>
        <v>222115</v>
      </c>
    </row>
    <row r="58" spans="1:35" x14ac:dyDescent="0.25">
      <c r="A58" s="11">
        <v>39142</v>
      </c>
      <c r="B58" s="12">
        <v>22585</v>
      </c>
      <c r="C58" s="12" t="s">
        <v>3</v>
      </c>
      <c r="D58" s="1"/>
      <c r="F58" s="11">
        <v>38777</v>
      </c>
      <c r="G58" s="12">
        <v>1822</v>
      </c>
      <c r="H58" s="12" t="s">
        <v>14</v>
      </c>
      <c r="L58" s="3">
        <v>39934</v>
      </c>
      <c r="M58" s="5">
        <v>109012</v>
      </c>
      <c r="N58" s="5"/>
      <c r="O58" s="5">
        <v>133715</v>
      </c>
      <c r="P58" s="5"/>
      <c r="Q58" s="5"/>
      <c r="R58" s="5">
        <v>242727</v>
      </c>
      <c r="V58" s="3">
        <v>39934</v>
      </c>
      <c r="W58" s="5">
        <v>2486</v>
      </c>
      <c r="X58" s="5">
        <v>312</v>
      </c>
      <c r="Y58" s="5">
        <v>33872</v>
      </c>
      <c r="Z58" s="5">
        <v>206057</v>
      </c>
      <c r="AA58" s="5">
        <v>242727</v>
      </c>
      <c r="AD58" s="3">
        <v>39934</v>
      </c>
      <c r="AE58">
        <f t="shared" si="0"/>
        <v>2486</v>
      </c>
      <c r="AF58">
        <f t="shared" si="1"/>
        <v>0</v>
      </c>
      <c r="AG58">
        <f t="shared" si="2"/>
        <v>0</v>
      </c>
      <c r="AH58">
        <f t="shared" si="3"/>
        <v>242727</v>
      </c>
      <c r="AI58">
        <f t="shared" si="4"/>
        <v>242727</v>
      </c>
    </row>
    <row r="59" spans="1:35" x14ac:dyDescent="0.25">
      <c r="A59" s="11">
        <v>39173</v>
      </c>
      <c r="B59" s="12">
        <v>117291</v>
      </c>
      <c r="C59" s="12" t="s">
        <v>2</v>
      </c>
      <c r="D59" s="1"/>
      <c r="F59" s="11">
        <v>38808</v>
      </c>
      <c r="G59" s="12">
        <v>67601</v>
      </c>
      <c r="H59" s="12" t="s">
        <v>15</v>
      </c>
      <c r="L59" s="3">
        <v>39965</v>
      </c>
      <c r="M59" s="5"/>
      <c r="N59" s="5">
        <v>10790</v>
      </c>
      <c r="O59" s="5">
        <v>128137</v>
      </c>
      <c r="P59" s="5">
        <v>94316</v>
      </c>
      <c r="Q59" s="5"/>
      <c r="R59" s="5">
        <v>233243</v>
      </c>
      <c r="V59" s="3">
        <v>39965</v>
      </c>
      <c r="W59" s="5">
        <v>5241</v>
      </c>
      <c r="X59" s="5">
        <v>275</v>
      </c>
      <c r="Y59" s="5">
        <v>32396</v>
      </c>
      <c r="Z59" s="5">
        <v>195331</v>
      </c>
      <c r="AA59" s="5">
        <v>233243</v>
      </c>
      <c r="AD59" s="3">
        <v>39965</v>
      </c>
      <c r="AE59">
        <f t="shared" si="0"/>
        <v>5241</v>
      </c>
      <c r="AF59">
        <f t="shared" si="1"/>
        <v>10790</v>
      </c>
      <c r="AG59">
        <f t="shared" si="2"/>
        <v>2.0587674107994656</v>
      </c>
      <c r="AH59">
        <f t="shared" si="3"/>
        <v>233243</v>
      </c>
      <c r="AI59">
        <f t="shared" si="4"/>
        <v>233243</v>
      </c>
    </row>
    <row r="60" spans="1:35" x14ac:dyDescent="0.25">
      <c r="A60" s="11">
        <v>39173</v>
      </c>
      <c r="B60" s="12">
        <v>19622</v>
      </c>
      <c r="C60" s="12" t="s">
        <v>3</v>
      </c>
      <c r="D60" s="1"/>
      <c r="F60" s="11">
        <v>38808</v>
      </c>
      <c r="G60" s="12">
        <v>52939</v>
      </c>
      <c r="H60" s="12" t="s">
        <v>16</v>
      </c>
      <c r="L60" s="3">
        <v>39995</v>
      </c>
      <c r="M60" s="5"/>
      <c r="N60" s="5">
        <v>16758</v>
      </c>
      <c r="O60" s="5">
        <v>139796</v>
      </c>
      <c r="P60" s="5">
        <v>90532</v>
      </c>
      <c r="Q60" s="5"/>
      <c r="R60" s="5">
        <v>247086</v>
      </c>
      <c r="V60" s="3">
        <v>39995</v>
      </c>
      <c r="W60" s="5">
        <v>10999</v>
      </c>
      <c r="X60" s="5">
        <v>185</v>
      </c>
      <c r="Y60" s="5">
        <v>36015</v>
      </c>
      <c r="Z60" s="5">
        <v>199887</v>
      </c>
      <c r="AA60" s="5">
        <v>247086</v>
      </c>
      <c r="AD60" s="3">
        <v>39995</v>
      </c>
      <c r="AE60">
        <f t="shared" si="0"/>
        <v>10999</v>
      </c>
      <c r="AF60">
        <f t="shared" si="1"/>
        <v>16758</v>
      </c>
      <c r="AG60">
        <f t="shared" si="2"/>
        <v>1.5235930539139921</v>
      </c>
      <c r="AH60">
        <f t="shared" si="3"/>
        <v>247086</v>
      </c>
      <c r="AI60">
        <f t="shared" si="4"/>
        <v>247086</v>
      </c>
    </row>
    <row r="61" spans="1:35" x14ac:dyDescent="0.25">
      <c r="A61" s="11">
        <v>39203</v>
      </c>
      <c r="B61" s="12">
        <v>25940</v>
      </c>
      <c r="C61" s="12" t="s">
        <v>3</v>
      </c>
      <c r="D61" s="1"/>
      <c r="F61" s="11">
        <v>38808</v>
      </c>
      <c r="G61" s="12">
        <v>1770</v>
      </c>
      <c r="H61" s="12" t="s">
        <v>14</v>
      </c>
      <c r="L61" s="3">
        <v>40026</v>
      </c>
      <c r="M61" s="5"/>
      <c r="N61" s="5">
        <v>25620</v>
      </c>
      <c r="O61" s="5">
        <v>144209</v>
      </c>
      <c r="P61" s="5">
        <v>71785</v>
      </c>
      <c r="Q61" s="5"/>
      <c r="R61" s="5">
        <v>241614</v>
      </c>
      <c r="V61" s="3">
        <v>40026</v>
      </c>
      <c r="W61" s="5">
        <v>17240</v>
      </c>
      <c r="X61" s="5">
        <v>221</v>
      </c>
      <c r="Y61" s="5">
        <v>46717</v>
      </c>
      <c r="Z61" s="5">
        <v>177436</v>
      </c>
      <c r="AA61" s="5">
        <v>241614</v>
      </c>
      <c r="AD61" s="3">
        <v>40026</v>
      </c>
      <c r="AE61">
        <f t="shared" si="0"/>
        <v>17240</v>
      </c>
      <c r="AF61">
        <f t="shared" si="1"/>
        <v>25620</v>
      </c>
      <c r="AG61">
        <f t="shared" si="2"/>
        <v>1.4860788863109049</v>
      </c>
      <c r="AH61">
        <f t="shared" si="3"/>
        <v>241614</v>
      </c>
      <c r="AI61">
        <f t="shared" si="4"/>
        <v>241614</v>
      </c>
    </row>
    <row r="62" spans="1:35" x14ac:dyDescent="0.25">
      <c r="A62" s="11">
        <v>39203</v>
      </c>
      <c r="B62" s="12">
        <v>151094</v>
      </c>
      <c r="C62" s="12" t="s">
        <v>2</v>
      </c>
      <c r="D62" s="1"/>
      <c r="F62" s="11">
        <v>38838</v>
      </c>
      <c r="G62" s="12">
        <v>70741</v>
      </c>
      <c r="H62" s="12" t="s">
        <v>15</v>
      </c>
      <c r="L62" s="3">
        <v>40057</v>
      </c>
      <c r="M62" s="5"/>
      <c r="N62" s="5">
        <v>22688</v>
      </c>
      <c r="O62" s="5">
        <v>127083</v>
      </c>
      <c r="P62" s="5">
        <v>45076</v>
      </c>
      <c r="Q62" s="5"/>
      <c r="R62" s="5">
        <v>194847</v>
      </c>
      <c r="V62" s="3">
        <v>40057</v>
      </c>
      <c r="W62" s="5">
        <v>15625</v>
      </c>
      <c r="X62" s="5">
        <v>261</v>
      </c>
      <c r="Y62" s="5">
        <v>52113</v>
      </c>
      <c r="Z62" s="5">
        <v>126848</v>
      </c>
      <c r="AA62" s="5">
        <v>194847</v>
      </c>
      <c r="AD62" s="3">
        <v>40057</v>
      </c>
      <c r="AE62">
        <f t="shared" si="0"/>
        <v>15625</v>
      </c>
      <c r="AF62">
        <f t="shared" si="1"/>
        <v>22688</v>
      </c>
      <c r="AG62">
        <f t="shared" si="2"/>
        <v>1.452032</v>
      </c>
      <c r="AH62">
        <f t="shared" si="3"/>
        <v>194847</v>
      </c>
      <c r="AI62">
        <f t="shared" si="4"/>
        <v>194847</v>
      </c>
    </row>
    <row r="63" spans="1:35" x14ac:dyDescent="0.25">
      <c r="A63" s="11">
        <v>39234</v>
      </c>
      <c r="B63" s="12">
        <v>28685</v>
      </c>
      <c r="C63" s="12" t="s">
        <v>3</v>
      </c>
      <c r="D63" s="1"/>
      <c r="F63" s="11">
        <v>38838</v>
      </c>
      <c r="G63" s="12">
        <v>65517</v>
      </c>
      <c r="H63" s="12" t="s">
        <v>16</v>
      </c>
      <c r="L63" s="3">
        <v>40087</v>
      </c>
      <c r="M63" s="5"/>
      <c r="N63" s="5">
        <v>16479</v>
      </c>
      <c r="O63" s="5">
        <v>92713</v>
      </c>
      <c r="P63" s="5">
        <v>24616</v>
      </c>
      <c r="Q63" s="5"/>
      <c r="R63" s="5">
        <v>133808</v>
      </c>
      <c r="V63" s="3">
        <v>40087</v>
      </c>
      <c r="W63" s="5">
        <v>10307</v>
      </c>
      <c r="X63" s="5">
        <v>292</v>
      </c>
      <c r="Y63" s="5">
        <v>42940</v>
      </c>
      <c r="Z63" s="5">
        <v>80269</v>
      </c>
      <c r="AA63" s="5">
        <v>133808</v>
      </c>
      <c r="AD63" s="3">
        <v>40087</v>
      </c>
      <c r="AE63">
        <f t="shared" si="0"/>
        <v>10307</v>
      </c>
      <c r="AF63">
        <f t="shared" si="1"/>
        <v>16479</v>
      </c>
      <c r="AG63">
        <f t="shared" si="2"/>
        <v>1.5988163384107887</v>
      </c>
      <c r="AH63">
        <f t="shared" si="3"/>
        <v>133808</v>
      </c>
      <c r="AI63">
        <f t="shared" si="4"/>
        <v>133808</v>
      </c>
    </row>
    <row r="64" spans="1:35" x14ac:dyDescent="0.25">
      <c r="A64" s="11">
        <v>39234</v>
      </c>
      <c r="B64" s="12">
        <v>158385</v>
      </c>
      <c r="C64" s="12" t="s">
        <v>2</v>
      </c>
      <c r="D64" s="1"/>
      <c r="F64" s="11">
        <v>38838</v>
      </c>
      <c r="G64" s="12">
        <v>1798</v>
      </c>
      <c r="H64" s="12" t="s">
        <v>14</v>
      </c>
      <c r="L64" s="3">
        <v>40118</v>
      </c>
      <c r="M64" s="5"/>
      <c r="N64" s="5">
        <v>13189</v>
      </c>
      <c r="O64" s="5">
        <v>84925</v>
      </c>
      <c r="P64" s="5">
        <v>20960</v>
      </c>
      <c r="Q64" s="5"/>
      <c r="R64" s="5">
        <v>119074</v>
      </c>
      <c r="V64" s="3">
        <v>40118</v>
      </c>
      <c r="W64" s="5">
        <v>7916</v>
      </c>
      <c r="X64" s="5">
        <v>272</v>
      </c>
      <c r="Y64" s="5">
        <v>40333</v>
      </c>
      <c r="Z64" s="5">
        <v>70553</v>
      </c>
      <c r="AA64" s="5">
        <v>119074</v>
      </c>
      <c r="AD64" s="3">
        <v>40118</v>
      </c>
      <c r="AE64">
        <f t="shared" si="0"/>
        <v>7916</v>
      </c>
      <c r="AF64">
        <f t="shared" si="1"/>
        <v>13189</v>
      </c>
      <c r="AG64">
        <f t="shared" si="2"/>
        <v>1.6661192521475492</v>
      </c>
      <c r="AH64">
        <f t="shared" si="3"/>
        <v>119074</v>
      </c>
      <c r="AI64">
        <f t="shared" si="4"/>
        <v>119074</v>
      </c>
    </row>
    <row r="65" spans="1:35" x14ac:dyDescent="0.25">
      <c r="A65" s="11">
        <v>39264</v>
      </c>
      <c r="B65" s="12">
        <v>25352</v>
      </c>
      <c r="C65" s="12" t="s">
        <v>3</v>
      </c>
      <c r="D65" s="1"/>
      <c r="F65" s="11">
        <v>38838</v>
      </c>
      <c r="G65" s="12">
        <v>3</v>
      </c>
      <c r="H65" s="12" t="s">
        <v>29</v>
      </c>
      <c r="L65" s="3">
        <v>40148</v>
      </c>
      <c r="M65" s="5"/>
      <c r="N65" s="5">
        <v>18596</v>
      </c>
      <c r="O65" s="5">
        <v>96440</v>
      </c>
      <c r="P65" s="5">
        <v>26485</v>
      </c>
      <c r="Q65" s="5"/>
      <c r="R65" s="5">
        <v>141521</v>
      </c>
      <c r="V65" s="3">
        <v>40148</v>
      </c>
      <c r="W65" s="5">
        <v>10797</v>
      </c>
      <c r="X65" s="5">
        <v>342</v>
      </c>
      <c r="Y65" s="5">
        <v>42529</v>
      </c>
      <c r="Z65" s="5">
        <v>87853</v>
      </c>
      <c r="AA65" s="5">
        <v>141521</v>
      </c>
      <c r="AD65" s="3">
        <v>40148</v>
      </c>
      <c r="AE65">
        <f t="shared" si="0"/>
        <v>10797</v>
      </c>
      <c r="AF65">
        <f t="shared" si="1"/>
        <v>18596</v>
      </c>
      <c r="AG65">
        <f t="shared" si="2"/>
        <v>1.7223302769287765</v>
      </c>
      <c r="AH65">
        <f t="shared" si="3"/>
        <v>141521</v>
      </c>
      <c r="AI65">
        <f t="shared" si="4"/>
        <v>141521</v>
      </c>
    </row>
    <row r="66" spans="1:35" x14ac:dyDescent="0.25">
      <c r="A66" s="11">
        <v>39264</v>
      </c>
      <c r="B66" s="12">
        <v>160817</v>
      </c>
      <c r="C66" s="12" t="s">
        <v>2</v>
      </c>
      <c r="D66" s="1"/>
      <c r="F66" s="11">
        <v>38869</v>
      </c>
      <c r="G66" s="12">
        <v>60779</v>
      </c>
      <c r="H66" s="12" t="s">
        <v>15</v>
      </c>
      <c r="L66" s="3">
        <v>40179</v>
      </c>
      <c r="M66" s="5"/>
      <c r="N66" s="5">
        <v>24193</v>
      </c>
      <c r="O66" s="5">
        <v>98197</v>
      </c>
      <c r="P66" s="5">
        <v>27581</v>
      </c>
      <c r="Q66" s="5"/>
      <c r="R66" s="5">
        <v>149971</v>
      </c>
      <c r="V66" s="3">
        <v>40179</v>
      </c>
      <c r="W66" s="5">
        <v>14023</v>
      </c>
      <c r="X66" s="5">
        <v>386</v>
      </c>
      <c r="Y66" s="5">
        <v>39868</v>
      </c>
      <c r="Z66" s="5">
        <v>95694</v>
      </c>
      <c r="AA66" s="5">
        <v>149971</v>
      </c>
      <c r="AD66" s="3">
        <v>40179</v>
      </c>
      <c r="AE66">
        <f t="shared" si="0"/>
        <v>14023</v>
      </c>
      <c r="AF66">
        <f t="shared" si="1"/>
        <v>24193</v>
      </c>
      <c r="AG66">
        <f t="shared" si="2"/>
        <v>1.7252371104613848</v>
      </c>
      <c r="AH66">
        <f t="shared" si="3"/>
        <v>149971</v>
      </c>
      <c r="AI66">
        <f t="shared" si="4"/>
        <v>149971</v>
      </c>
    </row>
    <row r="67" spans="1:35" x14ac:dyDescent="0.25">
      <c r="A67" s="11">
        <v>39295</v>
      </c>
      <c r="B67" s="12">
        <v>20261</v>
      </c>
      <c r="C67" s="12" t="s">
        <v>3</v>
      </c>
      <c r="D67" s="1"/>
      <c r="F67" s="11">
        <v>38869</v>
      </c>
      <c r="G67" s="12">
        <v>66064</v>
      </c>
      <c r="H67" s="12" t="s">
        <v>16</v>
      </c>
      <c r="L67" s="3">
        <v>40210</v>
      </c>
      <c r="M67" s="5"/>
      <c r="N67" s="5">
        <v>27350</v>
      </c>
      <c r="O67" s="5">
        <v>99833</v>
      </c>
      <c r="P67" s="5">
        <v>29818</v>
      </c>
      <c r="Q67" s="5"/>
      <c r="R67" s="5">
        <v>157001</v>
      </c>
      <c r="V67" s="3">
        <v>40210</v>
      </c>
      <c r="W67" s="5">
        <v>16981</v>
      </c>
      <c r="X67" s="5">
        <v>2940</v>
      </c>
      <c r="Y67" s="5">
        <v>32990</v>
      </c>
      <c r="Z67" s="5">
        <v>104090</v>
      </c>
      <c r="AA67" s="5">
        <v>157001</v>
      </c>
      <c r="AD67" s="3">
        <v>40210</v>
      </c>
      <c r="AE67">
        <f t="shared" si="0"/>
        <v>16981</v>
      </c>
      <c r="AF67">
        <f t="shared" si="1"/>
        <v>27350</v>
      </c>
      <c r="AG67">
        <f t="shared" si="2"/>
        <v>1.6106236381838526</v>
      </c>
      <c r="AH67">
        <f t="shared" si="3"/>
        <v>157001</v>
      </c>
      <c r="AI67">
        <f t="shared" si="4"/>
        <v>157001</v>
      </c>
    </row>
    <row r="68" spans="1:35" x14ac:dyDescent="0.25">
      <c r="A68" s="11">
        <v>39295</v>
      </c>
      <c r="B68" s="12">
        <v>149675</v>
      </c>
      <c r="C68" s="12" t="s">
        <v>2</v>
      </c>
      <c r="D68" s="1"/>
      <c r="F68" s="11">
        <v>38869</v>
      </c>
      <c r="G68" s="12">
        <v>1716</v>
      </c>
      <c r="H68" s="12" t="s">
        <v>14</v>
      </c>
      <c r="L68" s="3">
        <v>40238</v>
      </c>
      <c r="M68" s="5"/>
      <c r="N68" s="5">
        <v>25447</v>
      </c>
      <c r="O68" s="5">
        <v>84489</v>
      </c>
      <c r="P68" s="5">
        <v>25147</v>
      </c>
      <c r="Q68" s="5"/>
      <c r="R68" s="5">
        <v>135083</v>
      </c>
      <c r="V68" s="3">
        <v>40238</v>
      </c>
      <c r="W68" s="5">
        <v>15865</v>
      </c>
      <c r="X68" s="5">
        <v>2600</v>
      </c>
      <c r="Y68" s="5">
        <v>24007</v>
      </c>
      <c r="Z68" s="5">
        <v>92611</v>
      </c>
      <c r="AA68" s="5">
        <v>135083</v>
      </c>
      <c r="AD68" s="3">
        <v>40238</v>
      </c>
      <c r="AE68">
        <f t="shared" si="0"/>
        <v>15865</v>
      </c>
      <c r="AF68">
        <f t="shared" si="1"/>
        <v>25447</v>
      </c>
      <c r="AG68">
        <f t="shared" si="2"/>
        <v>1.6039710053577056</v>
      </c>
      <c r="AH68">
        <f t="shared" si="3"/>
        <v>135083</v>
      </c>
      <c r="AI68">
        <f t="shared" si="4"/>
        <v>135083</v>
      </c>
    </row>
    <row r="69" spans="1:35" x14ac:dyDescent="0.25">
      <c r="A69" s="11">
        <v>39326</v>
      </c>
      <c r="B69" s="12">
        <v>17391</v>
      </c>
      <c r="C69" s="12" t="s">
        <v>3</v>
      </c>
      <c r="D69" s="1"/>
      <c r="F69" s="11">
        <v>38869</v>
      </c>
      <c r="G69" s="12">
        <v>5</v>
      </c>
      <c r="H69" s="12" t="s">
        <v>29</v>
      </c>
      <c r="L69" s="3">
        <v>40269</v>
      </c>
      <c r="M69" s="5"/>
      <c r="N69" s="5">
        <v>18219</v>
      </c>
      <c r="O69" s="5">
        <v>76132</v>
      </c>
      <c r="P69" s="5">
        <v>17822</v>
      </c>
      <c r="Q69" s="5"/>
      <c r="R69" s="5">
        <v>112173</v>
      </c>
      <c r="V69" s="3">
        <v>40269</v>
      </c>
      <c r="W69" s="5">
        <v>12471</v>
      </c>
      <c r="X69" s="5">
        <v>2471</v>
      </c>
      <c r="Y69" s="5">
        <v>26517</v>
      </c>
      <c r="Z69" s="5">
        <v>70714</v>
      </c>
      <c r="AA69" s="5">
        <v>112173</v>
      </c>
      <c r="AD69" s="3">
        <v>40269</v>
      </c>
      <c r="AE69">
        <f t="shared" si="0"/>
        <v>12471</v>
      </c>
      <c r="AF69">
        <f t="shared" si="1"/>
        <v>18219</v>
      </c>
      <c r="AG69">
        <f t="shared" si="2"/>
        <v>1.4609093095982679</v>
      </c>
      <c r="AH69">
        <f t="shared" si="3"/>
        <v>112173</v>
      </c>
      <c r="AI69">
        <f t="shared" si="4"/>
        <v>112173</v>
      </c>
    </row>
    <row r="70" spans="1:35" x14ac:dyDescent="0.25">
      <c r="A70" s="11">
        <v>39326</v>
      </c>
      <c r="B70" s="12">
        <v>139954</v>
      </c>
      <c r="C70" s="12" t="s">
        <v>2</v>
      </c>
      <c r="D70" s="1"/>
      <c r="F70" s="11">
        <v>38899</v>
      </c>
      <c r="G70" s="12">
        <v>59444</v>
      </c>
      <c r="H70" s="12" t="s">
        <v>15</v>
      </c>
      <c r="L70" s="3">
        <v>40299</v>
      </c>
      <c r="M70" s="5"/>
      <c r="N70" s="5">
        <v>22090</v>
      </c>
      <c r="O70" s="5">
        <v>89646</v>
      </c>
      <c r="P70" s="5">
        <v>16871</v>
      </c>
      <c r="Q70" s="5"/>
      <c r="R70" s="5">
        <v>128607</v>
      </c>
      <c r="V70" s="3">
        <v>40299</v>
      </c>
      <c r="W70" s="5">
        <v>15106</v>
      </c>
      <c r="X70" s="5">
        <v>2720</v>
      </c>
      <c r="Y70" s="5">
        <v>32725</v>
      </c>
      <c r="Z70" s="5">
        <v>78056</v>
      </c>
      <c r="AA70" s="5">
        <v>128607</v>
      </c>
      <c r="AD70" s="3">
        <v>40299</v>
      </c>
      <c r="AE70">
        <f t="shared" si="0"/>
        <v>15106</v>
      </c>
      <c r="AF70">
        <f t="shared" si="1"/>
        <v>22090</v>
      </c>
      <c r="AG70">
        <f t="shared" si="2"/>
        <v>1.4623328478750166</v>
      </c>
      <c r="AH70">
        <f t="shared" si="3"/>
        <v>128607</v>
      </c>
      <c r="AI70">
        <f t="shared" si="4"/>
        <v>128607</v>
      </c>
    </row>
    <row r="71" spans="1:35" x14ac:dyDescent="0.25">
      <c r="A71" s="11">
        <v>39356</v>
      </c>
      <c r="B71" s="12">
        <v>16755</v>
      </c>
      <c r="C71" s="12" t="s">
        <v>3</v>
      </c>
      <c r="D71" s="1"/>
      <c r="F71" s="11">
        <v>38899</v>
      </c>
      <c r="G71" s="12">
        <v>77907</v>
      </c>
      <c r="H71" s="12" t="s">
        <v>16</v>
      </c>
      <c r="L71" s="3">
        <v>40330</v>
      </c>
      <c r="M71" s="5"/>
      <c r="N71" s="5">
        <v>20516</v>
      </c>
      <c r="O71" s="5">
        <v>89391</v>
      </c>
      <c r="P71" s="5">
        <v>14743</v>
      </c>
      <c r="Q71" s="5"/>
      <c r="R71" s="5">
        <v>124650</v>
      </c>
      <c r="V71" s="3">
        <v>40330</v>
      </c>
      <c r="W71" s="5">
        <v>13999</v>
      </c>
      <c r="X71" s="5">
        <v>2552</v>
      </c>
      <c r="Y71" s="5">
        <v>38338</v>
      </c>
      <c r="Z71" s="5">
        <v>69761</v>
      </c>
      <c r="AA71" s="5">
        <v>124650</v>
      </c>
      <c r="AD71" s="3">
        <v>40330</v>
      </c>
      <c r="AE71">
        <f t="shared" ref="AE71:AE134" si="5">VLOOKUP(AD71,V:AA,2,0)</f>
        <v>13999</v>
      </c>
      <c r="AF71">
        <f t="shared" ref="AF71:AF134" si="6">VLOOKUP(AD71,L:R,3,0)</f>
        <v>20516</v>
      </c>
      <c r="AG71">
        <f t="shared" ref="AG71:AG134" si="7">AF71/AE71</f>
        <v>1.4655332523751696</v>
      </c>
      <c r="AH71">
        <f t="shared" ref="AH71:AH134" si="8">VLOOKUP(AD71,V:AA,6,0)</f>
        <v>124650</v>
      </c>
      <c r="AI71">
        <f t="shared" ref="AI71:AI134" si="9">VLOOKUP(AD71,L:R,7,0)</f>
        <v>124650</v>
      </c>
    </row>
    <row r="72" spans="1:35" x14ac:dyDescent="0.25">
      <c r="A72" s="11">
        <v>39356</v>
      </c>
      <c r="B72" s="12">
        <v>133387</v>
      </c>
      <c r="C72" s="12" t="s">
        <v>2</v>
      </c>
      <c r="D72" s="1"/>
      <c r="F72" s="11">
        <v>38899</v>
      </c>
      <c r="G72" s="12">
        <v>1721</v>
      </c>
      <c r="H72" s="12" t="s">
        <v>14</v>
      </c>
      <c r="L72" s="3">
        <v>40360</v>
      </c>
      <c r="M72" s="5"/>
      <c r="N72" s="5">
        <v>16163</v>
      </c>
      <c r="O72" s="5">
        <v>86326</v>
      </c>
      <c r="P72" s="5">
        <v>11942</v>
      </c>
      <c r="Q72" s="5"/>
      <c r="R72" s="5">
        <v>114431</v>
      </c>
      <c r="V72" s="3">
        <v>40360</v>
      </c>
      <c r="W72" s="5">
        <v>10738</v>
      </c>
      <c r="X72" s="5">
        <v>2120</v>
      </c>
      <c r="Y72" s="5">
        <v>42298</v>
      </c>
      <c r="Z72" s="5">
        <v>59275</v>
      </c>
      <c r="AA72" s="5">
        <v>114431</v>
      </c>
      <c r="AD72" s="3">
        <v>40360</v>
      </c>
      <c r="AE72">
        <f t="shared" si="5"/>
        <v>10738</v>
      </c>
      <c r="AF72">
        <f t="shared" si="6"/>
        <v>16163</v>
      </c>
      <c r="AG72">
        <f t="shared" si="7"/>
        <v>1.5052151238591918</v>
      </c>
      <c r="AH72">
        <f t="shared" si="8"/>
        <v>114431</v>
      </c>
      <c r="AI72">
        <f t="shared" si="9"/>
        <v>114431</v>
      </c>
    </row>
    <row r="73" spans="1:35" x14ac:dyDescent="0.25">
      <c r="A73" s="11">
        <v>39387</v>
      </c>
      <c r="B73" s="12">
        <v>19462</v>
      </c>
      <c r="C73" s="12" t="s">
        <v>3</v>
      </c>
      <c r="D73" s="1"/>
      <c r="F73" s="11">
        <v>38930</v>
      </c>
      <c r="G73" s="12">
        <v>55523</v>
      </c>
      <c r="H73" s="12" t="s">
        <v>15</v>
      </c>
      <c r="L73" s="3">
        <v>40391</v>
      </c>
      <c r="M73" s="5"/>
      <c r="N73" s="5">
        <v>22576</v>
      </c>
      <c r="O73" s="5">
        <v>93314</v>
      </c>
      <c r="P73" s="5">
        <v>16486</v>
      </c>
      <c r="Q73" s="5"/>
      <c r="R73" s="5">
        <v>132376</v>
      </c>
      <c r="V73" s="3">
        <v>40391</v>
      </c>
      <c r="W73" s="5">
        <v>13788</v>
      </c>
      <c r="X73" s="5">
        <v>1051</v>
      </c>
      <c r="Y73" s="5">
        <v>45035</v>
      </c>
      <c r="Z73" s="5">
        <v>72502</v>
      </c>
      <c r="AA73" s="5">
        <v>132376</v>
      </c>
      <c r="AD73" s="3">
        <v>40391</v>
      </c>
      <c r="AE73">
        <f t="shared" si="5"/>
        <v>13788</v>
      </c>
      <c r="AF73">
        <f t="shared" si="6"/>
        <v>22576</v>
      </c>
      <c r="AG73">
        <f t="shared" si="7"/>
        <v>1.6373658253553816</v>
      </c>
      <c r="AH73">
        <f t="shared" si="8"/>
        <v>132376</v>
      </c>
      <c r="AI73">
        <f t="shared" si="9"/>
        <v>132376</v>
      </c>
    </row>
    <row r="74" spans="1:35" x14ac:dyDescent="0.25">
      <c r="A74" s="11">
        <v>39387</v>
      </c>
      <c r="B74" s="12">
        <v>120202</v>
      </c>
      <c r="C74" s="12" t="s">
        <v>2</v>
      </c>
      <c r="D74" s="1"/>
      <c r="F74" s="11">
        <v>38930</v>
      </c>
      <c r="G74" s="12">
        <v>89759</v>
      </c>
      <c r="H74" s="12" t="s">
        <v>16</v>
      </c>
      <c r="L74" s="3">
        <v>40422</v>
      </c>
      <c r="M74" s="5"/>
      <c r="N74" s="5">
        <v>29614</v>
      </c>
      <c r="O74" s="5">
        <v>88482</v>
      </c>
      <c r="P74" s="5">
        <v>22364</v>
      </c>
      <c r="Q74" s="5"/>
      <c r="R74" s="5">
        <v>140460</v>
      </c>
      <c r="V74" s="3">
        <v>40422</v>
      </c>
      <c r="W74" s="5">
        <v>17097</v>
      </c>
      <c r="X74" s="5">
        <v>1371</v>
      </c>
      <c r="Y74" s="5">
        <v>27440</v>
      </c>
      <c r="Z74" s="5">
        <v>94552</v>
      </c>
      <c r="AA74" s="5">
        <v>140460</v>
      </c>
      <c r="AD74" s="3">
        <v>40422</v>
      </c>
      <c r="AE74">
        <f t="shared" si="5"/>
        <v>17097</v>
      </c>
      <c r="AF74">
        <f t="shared" si="6"/>
        <v>29614</v>
      </c>
      <c r="AG74">
        <f t="shared" si="7"/>
        <v>1.7321167456278879</v>
      </c>
      <c r="AH74">
        <f t="shared" si="8"/>
        <v>140460</v>
      </c>
      <c r="AI74">
        <f t="shared" si="9"/>
        <v>140460</v>
      </c>
    </row>
    <row r="75" spans="1:35" x14ac:dyDescent="0.25">
      <c r="A75" s="11">
        <v>39417</v>
      </c>
      <c r="B75" s="12">
        <v>23165</v>
      </c>
      <c r="C75" s="12" t="s">
        <v>3</v>
      </c>
      <c r="D75" s="1"/>
      <c r="F75" s="11">
        <v>38930</v>
      </c>
      <c r="G75" s="12">
        <v>1634</v>
      </c>
      <c r="H75" s="12" t="s">
        <v>14</v>
      </c>
      <c r="L75" s="3">
        <v>40452</v>
      </c>
      <c r="M75" s="5"/>
      <c r="N75" s="5">
        <v>35065</v>
      </c>
      <c r="O75" s="5">
        <v>110193</v>
      </c>
      <c r="P75" s="5">
        <v>30080</v>
      </c>
      <c r="Q75" s="5"/>
      <c r="R75" s="5">
        <v>175338</v>
      </c>
      <c r="V75" s="3">
        <v>40452</v>
      </c>
      <c r="W75" s="5">
        <v>19801</v>
      </c>
      <c r="X75" s="5">
        <v>1268</v>
      </c>
      <c r="Y75" s="5">
        <v>26600</v>
      </c>
      <c r="Z75" s="5">
        <v>127669</v>
      </c>
      <c r="AA75" s="5">
        <v>175338</v>
      </c>
      <c r="AD75" s="3">
        <v>40452</v>
      </c>
      <c r="AE75">
        <f t="shared" si="5"/>
        <v>19801</v>
      </c>
      <c r="AF75">
        <f t="shared" si="6"/>
        <v>35065</v>
      </c>
      <c r="AG75">
        <f t="shared" si="7"/>
        <v>1.7708701580728246</v>
      </c>
      <c r="AH75">
        <f t="shared" si="8"/>
        <v>175338</v>
      </c>
      <c r="AI75">
        <f t="shared" si="9"/>
        <v>175338</v>
      </c>
    </row>
    <row r="76" spans="1:35" x14ac:dyDescent="0.25">
      <c r="A76" s="11">
        <v>39417</v>
      </c>
      <c r="B76" s="12">
        <v>124380</v>
      </c>
      <c r="C76" s="12" t="s">
        <v>2</v>
      </c>
      <c r="D76" s="1"/>
      <c r="F76" s="11">
        <v>38930</v>
      </c>
      <c r="G76" s="12">
        <v>1</v>
      </c>
      <c r="H76" s="12" t="s">
        <v>29</v>
      </c>
      <c r="L76" s="3">
        <v>40483</v>
      </c>
      <c r="M76" s="5"/>
      <c r="N76" s="5">
        <v>39875</v>
      </c>
      <c r="O76" s="5">
        <v>119822</v>
      </c>
      <c r="P76" s="5">
        <v>31037</v>
      </c>
      <c r="Q76" s="5"/>
      <c r="R76" s="5">
        <v>190734</v>
      </c>
      <c r="V76" s="3">
        <v>40483</v>
      </c>
      <c r="W76" s="5">
        <v>21283</v>
      </c>
      <c r="X76" s="5">
        <v>1059</v>
      </c>
      <c r="Y76" s="5">
        <v>23710</v>
      </c>
      <c r="Z76" s="5">
        <v>144682</v>
      </c>
      <c r="AA76" s="5">
        <v>190734</v>
      </c>
      <c r="AD76" s="3">
        <v>40483</v>
      </c>
      <c r="AE76">
        <f t="shared" si="5"/>
        <v>21283</v>
      </c>
      <c r="AF76">
        <f t="shared" si="6"/>
        <v>39875</v>
      </c>
      <c r="AG76">
        <f t="shared" si="7"/>
        <v>1.8735610581215054</v>
      </c>
      <c r="AH76">
        <f t="shared" si="8"/>
        <v>190734</v>
      </c>
      <c r="AI76">
        <f t="shared" si="9"/>
        <v>190734</v>
      </c>
    </row>
    <row r="77" spans="1:35" x14ac:dyDescent="0.25">
      <c r="A77" s="11">
        <v>39448</v>
      </c>
      <c r="B77" s="12">
        <v>21667</v>
      </c>
      <c r="C77" s="12" t="s">
        <v>3</v>
      </c>
      <c r="D77" s="1"/>
      <c r="F77" s="11">
        <v>38961</v>
      </c>
      <c r="G77" s="12">
        <v>51118</v>
      </c>
      <c r="H77" s="12" t="s">
        <v>15</v>
      </c>
      <c r="L77" s="3">
        <v>40513</v>
      </c>
      <c r="M77" s="5"/>
      <c r="N77" s="5">
        <v>45297</v>
      </c>
      <c r="O77" s="5">
        <v>127395</v>
      </c>
      <c r="P77" s="5">
        <v>35348</v>
      </c>
      <c r="Q77" s="5"/>
      <c r="R77" s="5">
        <v>208040</v>
      </c>
      <c r="V77" s="3">
        <v>40513</v>
      </c>
      <c r="W77" s="5">
        <v>23970</v>
      </c>
      <c r="X77" s="5">
        <v>1211</v>
      </c>
      <c r="Y77" s="5">
        <v>23134</v>
      </c>
      <c r="Z77" s="5">
        <v>159725</v>
      </c>
      <c r="AA77" s="5">
        <v>208040</v>
      </c>
      <c r="AD77" s="3">
        <v>40513</v>
      </c>
      <c r="AE77">
        <f t="shared" si="5"/>
        <v>23970</v>
      </c>
      <c r="AF77">
        <f t="shared" si="6"/>
        <v>45297</v>
      </c>
      <c r="AG77">
        <f t="shared" si="7"/>
        <v>1.8897371714643305</v>
      </c>
      <c r="AH77">
        <f t="shared" si="8"/>
        <v>208040</v>
      </c>
      <c r="AI77">
        <f t="shared" si="9"/>
        <v>208040</v>
      </c>
    </row>
    <row r="78" spans="1:35" x14ac:dyDescent="0.25">
      <c r="A78" s="11">
        <v>39448</v>
      </c>
      <c r="B78" s="12">
        <v>105626</v>
      </c>
      <c r="C78" s="12" t="s">
        <v>2</v>
      </c>
      <c r="D78" s="1"/>
      <c r="F78" s="11">
        <v>38961</v>
      </c>
      <c r="G78" s="12">
        <v>79978</v>
      </c>
      <c r="H78" s="12" t="s">
        <v>16</v>
      </c>
      <c r="L78" s="3">
        <v>40544</v>
      </c>
      <c r="M78" s="5"/>
      <c r="N78" s="5">
        <v>47142</v>
      </c>
      <c r="O78" s="5">
        <v>119820</v>
      </c>
      <c r="P78" s="5">
        <v>33931</v>
      </c>
      <c r="Q78" s="5"/>
      <c r="R78" s="5">
        <v>200893</v>
      </c>
      <c r="V78" s="3">
        <v>40544</v>
      </c>
      <c r="W78" s="5">
        <v>26744</v>
      </c>
      <c r="X78" s="5">
        <v>1228</v>
      </c>
      <c r="Y78" s="5">
        <v>21811</v>
      </c>
      <c r="Z78" s="5">
        <v>151110</v>
      </c>
      <c r="AA78" s="5">
        <v>200893</v>
      </c>
      <c r="AD78" s="3">
        <v>40544</v>
      </c>
      <c r="AE78">
        <f t="shared" si="5"/>
        <v>26744</v>
      </c>
      <c r="AF78">
        <f t="shared" si="6"/>
        <v>47142</v>
      </c>
      <c r="AG78">
        <f t="shared" si="7"/>
        <v>1.7627131319174394</v>
      </c>
      <c r="AH78">
        <f t="shared" si="8"/>
        <v>200893</v>
      </c>
      <c r="AI78">
        <f t="shared" si="9"/>
        <v>200893</v>
      </c>
    </row>
    <row r="79" spans="1:35" x14ac:dyDescent="0.25">
      <c r="A79" s="11">
        <v>39479</v>
      </c>
      <c r="B79" s="12">
        <v>31699</v>
      </c>
      <c r="C79" s="12" t="s">
        <v>3</v>
      </c>
      <c r="D79" s="1"/>
      <c r="F79" s="11">
        <v>38961</v>
      </c>
      <c r="G79" s="12">
        <v>1463</v>
      </c>
      <c r="H79" s="12" t="s">
        <v>14</v>
      </c>
      <c r="L79" s="3">
        <v>40575</v>
      </c>
      <c r="M79" s="5"/>
      <c r="N79" s="5">
        <v>40362</v>
      </c>
      <c r="O79" s="5">
        <v>113580</v>
      </c>
      <c r="P79" s="5">
        <v>31736</v>
      </c>
      <c r="Q79" s="5"/>
      <c r="R79" s="5">
        <v>185678</v>
      </c>
      <c r="V79" s="3">
        <v>40575</v>
      </c>
      <c r="W79" s="5">
        <v>25576</v>
      </c>
      <c r="X79" s="5">
        <v>1581</v>
      </c>
      <c r="Y79" s="5">
        <v>25761</v>
      </c>
      <c r="Z79" s="5">
        <v>132760</v>
      </c>
      <c r="AA79" s="5">
        <v>185678</v>
      </c>
      <c r="AD79" s="3">
        <v>40575</v>
      </c>
      <c r="AE79">
        <f t="shared" si="5"/>
        <v>25576</v>
      </c>
      <c r="AF79">
        <f t="shared" si="6"/>
        <v>40362</v>
      </c>
      <c r="AG79">
        <f t="shared" si="7"/>
        <v>1.5781201126055677</v>
      </c>
      <c r="AH79">
        <f t="shared" si="8"/>
        <v>185678</v>
      </c>
      <c r="AI79">
        <f t="shared" si="9"/>
        <v>185678</v>
      </c>
    </row>
    <row r="80" spans="1:35" x14ac:dyDescent="0.25">
      <c r="A80" s="11">
        <v>39479</v>
      </c>
      <c r="B80" s="12">
        <v>115597</v>
      </c>
      <c r="C80" s="12" t="s">
        <v>2</v>
      </c>
      <c r="D80" s="1"/>
      <c r="F80" s="11">
        <v>38961</v>
      </c>
      <c r="G80" s="12">
        <v>3</v>
      </c>
      <c r="H80" s="12" t="s">
        <v>29</v>
      </c>
      <c r="L80" s="3">
        <v>40603</v>
      </c>
      <c r="M80" s="5"/>
      <c r="N80" s="5">
        <v>36120</v>
      </c>
      <c r="O80" s="5">
        <v>90126</v>
      </c>
      <c r="P80" s="5">
        <v>21057</v>
      </c>
      <c r="Q80" s="5"/>
      <c r="R80" s="5">
        <v>147303</v>
      </c>
      <c r="V80" s="3">
        <v>40603</v>
      </c>
      <c r="W80" s="5">
        <v>23483</v>
      </c>
      <c r="X80" s="5">
        <v>2324</v>
      </c>
      <c r="Y80" s="5">
        <v>18886</v>
      </c>
      <c r="Z80" s="5">
        <v>102610</v>
      </c>
      <c r="AA80" s="5">
        <v>147303</v>
      </c>
      <c r="AD80" s="3">
        <v>40603</v>
      </c>
      <c r="AE80">
        <f t="shared" si="5"/>
        <v>23483</v>
      </c>
      <c r="AF80">
        <f t="shared" si="6"/>
        <v>36120</v>
      </c>
      <c r="AG80">
        <f t="shared" si="7"/>
        <v>1.5381339692543543</v>
      </c>
      <c r="AH80">
        <f t="shared" si="8"/>
        <v>147303</v>
      </c>
      <c r="AI80">
        <f t="shared" si="9"/>
        <v>147303</v>
      </c>
    </row>
    <row r="81" spans="1:35" x14ac:dyDescent="0.25">
      <c r="A81" s="11">
        <v>39508</v>
      </c>
      <c r="B81" s="12">
        <v>35311</v>
      </c>
      <c r="C81" s="12" t="s">
        <v>3</v>
      </c>
      <c r="D81" s="1"/>
      <c r="F81" s="11">
        <v>38991</v>
      </c>
      <c r="G81" s="12">
        <v>55523</v>
      </c>
      <c r="H81" s="12" t="s">
        <v>15</v>
      </c>
      <c r="L81" s="3">
        <v>40634</v>
      </c>
      <c r="M81" s="5"/>
      <c r="N81" s="5">
        <v>24843</v>
      </c>
      <c r="O81" s="5">
        <v>63788</v>
      </c>
      <c r="P81" s="5">
        <v>11170</v>
      </c>
      <c r="Q81" s="5"/>
      <c r="R81" s="5">
        <v>99801</v>
      </c>
      <c r="V81" s="3">
        <v>40634</v>
      </c>
      <c r="W81" s="5">
        <v>17904</v>
      </c>
      <c r="X81" s="5">
        <v>2513</v>
      </c>
      <c r="Y81" s="5">
        <v>14760</v>
      </c>
      <c r="Z81" s="5">
        <v>64624</v>
      </c>
      <c r="AA81" s="5">
        <v>99801</v>
      </c>
      <c r="AD81" s="3">
        <v>40634</v>
      </c>
      <c r="AE81">
        <f t="shared" si="5"/>
        <v>17904</v>
      </c>
      <c r="AF81">
        <f t="shared" si="6"/>
        <v>24843</v>
      </c>
      <c r="AG81">
        <f t="shared" si="7"/>
        <v>1.3875670241286864</v>
      </c>
      <c r="AH81">
        <f t="shared" si="8"/>
        <v>99801</v>
      </c>
      <c r="AI81">
        <f t="shared" si="9"/>
        <v>99801</v>
      </c>
    </row>
    <row r="82" spans="1:35" x14ac:dyDescent="0.25">
      <c r="A82" s="11">
        <v>39508</v>
      </c>
      <c r="B82" s="12">
        <v>97553</v>
      </c>
      <c r="C82" s="12" t="s">
        <v>2</v>
      </c>
      <c r="D82" s="1"/>
      <c r="F82" s="11">
        <v>38991</v>
      </c>
      <c r="G82" s="12">
        <v>78978</v>
      </c>
      <c r="H82" s="12" t="s">
        <v>16</v>
      </c>
      <c r="L82" s="3">
        <v>40664</v>
      </c>
      <c r="M82" s="5"/>
      <c r="N82" s="5">
        <v>17450</v>
      </c>
      <c r="O82" s="5">
        <v>68123</v>
      </c>
      <c r="P82" s="5">
        <v>9996</v>
      </c>
      <c r="Q82" s="5"/>
      <c r="R82" s="5">
        <v>95569</v>
      </c>
      <c r="V82" s="3">
        <v>40664</v>
      </c>
      <c r="W82" s="5">
        <v>13374</v>
      </c>
      <c r="X82" s="5">
        <v>1851</v>
      </c>
      <c r="Y82" s="5">
        <v>23441</v>
      </c>
      <c r="Z82" s="5">
        <v>56903</v>
      </c>
      <c r="AA82" s="5">
        <v>95569</v>
      </c>
      <c r="AD82" s="3">
        <v>40664</v>
      </c>
      <c r="AE82">
        <f t="shared" si="5"/>
        <v>13374</v>
      </c>
      <c r="AF82">
        <f t="shared" si="6"/>
        <v>17450</v>
      </c>
      <c r="AG82">
        <f t="shared" si="7"/>
        <v>1.3047704501271122</v>
      </c>
      <c r="AH82">
        <f t="shared" si="8"/>
        <v>95569</v>
      </c>
      <c r="AI82">
        <f t="shared" si="9"/>
        <v>95569</v>
      </c>
    </row>
    <row r="83" spans="1:35" x14ac:dyDescent="0.25">
      <c r="A83" s="11">
        <v>39539</v>
      </c>
      <c r="B83" s="12">
        <v>140722</v>
      </c>
      <c r="C83" s="12" t="s">
        <v>2</v>
      </c>
      <c r="D83" s="1"/>
      <c r="F83" s="11">
        <v>38991</v>
      </c>
      <c r="G83" s="12">
        <v>1491</v>
      </c>
      <c r="H83" s="12" t="s">
        <v>14</v>
      </c>
      <c r="L83" s="3">
        <v>40695</v>
      </c>
      <c r="M83" s="5"/>
      <c r="N83" s="5">
        <v>16099</v>
      </c>
      <c r="O83" s="5">
        <v>64085</v>
      </c>
      <c r="P83" s="5">
        <v>8025</v>
      </c>
      <c r="Q83" s="5"/>
      <c r="R83" s="5">
        <v>88209</v>
      </c>
      <c r="V83" s="3">
        <v>40695</v>
      </c>
      <c r="W83" s="5">
        <v>12054</v>
      </c>
      <c r="X83" s="5">
        <v>2143</v>
      </c>
      <c r="Y83" s="5">
        <v>25937</v>
      </c>
      <c r="Z83" s="5">
        <v>48075</v>
      </c>
      <c r="AA83" s="5">
        <v>88209</v>
      </c>
      <c r="AD83" s="3">
        <v>40695</v>
      </c>
      <c r="AE83">
        <f t="shared" si="5"/>
        <v>12054</v>
      </c>
      <c r="AF83">
        <f t="shared" si="6"/>
        <v>16099</v>
      </c>
      <c r="AG83">
        <f t="shared" si="7"/>
        <v>1.3355732536917206</v>
      </c>
      <c r="AH83">
        <f t="shared" si="8"/>
        <v>88209</v>
      </c>
      <c r="AI83">
        <f t="shared" si="9"/>
        <v>88209</v>
      </c>
    </row>
    <row r="84" spans="1:35" x14ac:dyDescent="0.25">
      <c r="A84" s="11">
        <v>39539</v>
      </c>
      <c r="B84" s="12">
        <v>61159</v>
      </c>
      <c r="C84" s="12" t="s">
        <v>3</v>
      </c>
      <c r="D84" s="1"/>
      <c r="F84" s="11">
        <v>38991</v>
      </c>
      <c r="G84" s="12">
        <v>1</v>
      </c>
      <c r="H84" s="12" t="s">
        <v>29</v>
      </c>
      <c r="L84" s="3">
        <v>40725</v>
      </c>
      <c r="M84" s="5"/>
      <c r="N84" s="5">
        <v>13670</v>
      </c>
      <c r="O84" s="5">
        <v>61083</v>
      </c>
      <c r="P84" s="5">
        <v>6765</v>
      </c>
      <c r="Q84" s="5"/>
      <c r="R84" s="5">
        <v>81518</v>
      </c>
      <c r="V84" s="3">
        <v>40725</v>
      </c>
      <c r="W84" s="5">
        <v>10483</v>
      </c>
      <c r="X84" s="5">
        <v>1799</v>
      </c>
      <c r="Y84" s="5">
        <v>28385</v>
      </c>
      <c r="Z84" s="5">
        <v>40851</v>
      </c>
      <c r="AA84" s="5">
        <v>81518</v>
      </c>
      <c r="AD84" s="3">
        <v>40725</v>
      </c>
      <c r="AE84">
        <f t="shared" si="5"/>
        <v>10483</v>
      </c>
      <c r="AF84">
        <f t="shared" si="6"/>
        <v>13670</v>
      </c>
      <c r="AG84">
        <f t="shared" si="7"/>
        <v>1.304016025946771</v>
      </c>
      <c r="AH84">
        <f t="shared" si="8"/>
        <v>81518</v>
      </c>
      <c r="AI84">
        <f t="shared" si="9"/>
        <v>81518</v>
      </c>
    </row>
    <row r="85" spans="1:35" x14ac:dyDescent="0.25">
      <c r="A85" s="11">
        <v>39569</v>
      </c>
      <c r="B85" s="12">
        <v>139504</v>
      </c>
      <c r="C85" s="12" t="s">
        <v>2</v>
      </c>
      <c r="D85" s="1"/>
      <c r="F85" s="11">
        <v>39022</v>
      </c>
      <c r="G85" s="12">
        <v>59251</v>
      </c>
      <c r="H85" s="12" t="s">
        <v>15</v>
      </c>
      <c r="L85" s="3">
        <v>40756</v>
      </c>
      <c r="M85" s="5"/>
      <c r="N85" s="5">
        <v>14894</v>
      </c>
      <c r="O85" s="5">
        <v>77774</v>
      </c>
      <c r="P85" s="5">
        <v>9383</v>
      </c>
      <c r="Q85" s="5"/>
      <c r="R85" s="5">
        <v>102051</v>
      </c>
      <c r="V85" s="3">
        <v>40756</v>
      </c>
      <c r="W85" s="5">
        <v>11570</v>
      </c>
      <c r="X85" s="5">
        <v>1754</v>
      </c>
      <c r="Y85" s="5">
        <v>37390</v>
      </c>
      <c r="Z85" s="5">
        <v>51337</v>
      </c>
      <c r="AA85" s="5">
        <v>102051</v>
      </c>
      <c r="AD85" s="3">
        <v>40756</v>
      </c>
      <c r="AE85">
        <f t="shared" si="5"/>
        <v>11570</v>
      </c>
      <c r="AF85">
        <f t="shared" si="6"/>
        <v>14894</v>
      </c>
      <c r="AG85">
        <f t="shared" si="7"/>
        <v>1.287294727744166</v>
      </c>
      <c r="AH85">
        <f t="shared" si="8"/>
        <v>102051</v>
      </c>
      <c r="AI85">
        <f t="shared" si="9"/>
        <v>102051</v>
      </c>
    </row>
    <row r="86" spans="1:35" x14ac:dyDescent="0.25">
      <c r="A86" s="11">
        <v>39569</v>
      </c>
      <c r="B86" s="12">
        <v>42303</v>
      </c>
      <c r="C86" s="12" t="s">
        <v>3</v>
      </c>
      <c r="D86" s="1"/>
      <c r="F86" s="11">
        <v>39022</v>
      </c>
      <c r="G86" s="12">
        <v>69122</v>
      </c>
      <c r="H86" s="12" t="s">
        <v>16</v>
      </c>
      <c r="L86" s="3">
        <v>40787</v>
      </c>
      <c r="M86" s="5"/>
      <c r="N86" s="5">
        <v>16583</v>
      </c>
      <c r="O86" s="5">
        <v>77050</v>
      </c>
      <c r="P86" s="5">
        <v>10389</v>
      </c>
      <c r="Q86" s="5"/>
      <c r="R86" s="5">
        <v>104022</v>
      </c>
      <c r="V86" s="3">
        <v>40787</v>
      </c>
      <c r="W86" s="5">
        <v>12293</v>
      </c>
      <c r="X86" s="5">
        <v>1447</v>
      </c>
      <c r="Y86" s="5">
        <v>32968</v>
      </c>
      <c r="Z86" s="5">
        <v>57314</v>
      </c>
      <c r="AA86" s="5">
        <v>104022</v>
      </c>
      <c r="AD86" s="3">
        <v>40787</v>
      </c>
      <c r="AE86">
        <f t="shared" si="5"/>
        <v>12293</v>
      </c>
      <c r="AF86">
        <f t="shared" si="6"/>
        <v>16583</v>
      </c>
      <c r="AG86">
        <f t="shared" si="7"/>
        <v>1.3489790937932156</v>
      </c>
      <c r="AH86">
        <f t="shared" si="8"/>
        <v>104022</v>
      </c>
      <c r="AI86">
        <f t="shared" si="9"/>
        <v>104022</v>
      </c>
    </row>
    <row r="87" spans="1:35" x14ac:dyDescent="0.25">
      <c r="A87" s="11">
        <v>39600</v>
      </c>
      <c r="B87" s="12">
        <v>38887</v>
      </c>
      <c r="C87" s="12" t="s">
        <v>3</v>
      </c>
      <c r="D87" s="1"/>
      <c r="F87" s="11">
        <v>39022</v>
      </c>
      <c r="G87" s="12">
        <v>1415</v>
      </c>
      <c r="H87" s="12" t="s">
        <v>14</v>
      </c>
      <c r="L87" s="3">
        <v>40817</v>
      </c>
      <c r="M87" s="5"/>
      <c r="N87" s="5">
        <v>16642</v>
      </c>
      <c r="O87" s="5">
        <v>81205</v>
      </c>
      <c r="P87" s="5">
        <v>12046</v>
      </c>
      <c r="Q87" s="5"/>
      <c r="R87" s="5">
        <v>109893</v>
      </c>
      <c r="V87" s="3">
        <v>40817</v>
      </c>
      <c r="W87" s="5">
        <v>13197</v>
      </c>
      <c r="X87" s="5">
        <v>1266</v>
      </c>
      <c r="Y87" s="5">
        <v>31907</v>
      </c>
      <c r="Z87" s="5">
        <v>63523</v>
      </c>
      <c r="AA87" s="5">
        <v>109893</v>
      </c>
      <c r="AD87" s="3">
        <v>40817</v>
      </c>
      <c r="AE87">
        <f t="shared" si="5"/>
        <v>13197</v>
      </c>
      <c r="AF87">
        <f t="shared" si="6"/>
        <v>16642</v>
      </c>
      <c r="AG87">
        <f t="shared" si="7"/>
        <v>1.2610441767068272</v>
      </c>
      <c r="AH87">
        <f t="shared" si="8"/>
        <v>109893</v>
      </c>
      <c r="AI87">
        <f t="shared" si="9"/>
        <v>109893</v>
      </c>
    </row>
    <row r="88" spans="1:35" x14ac:dyDescent="0.25">
      <c r="A88" s="11">
        <v>39600</v>
      </c>
      <c r="B88" s="12">
        <v>131767</v>
      </c>
      <c r="C88" s="12" t="s">
        <v>2</v>
      </c>
      <c r="D88" s="1"/>
      <c r="F88" s="11">
        <v>39022</v>
      </c>
      <c r="G88" s="12">
        <v>2</v>
      </c>
      <c r="H88" s="12" t="s">
        <v>29</v>
      </c>
      <c r="L88" s="3">
        <v>40848</v>
      </c>
      <c r="M88" s="5"/>
      <c r="N88" s="5">
        <v>20053</v>
      </c>
      <c r="O88" s="5">
        <v>98996</v>
      </c>
      <c r="P88" s="5">
        <v>23990</v>
      </c>
      <c r="Q88" s="5"/>
      <c r="R88" s="5">
        <v>143039</v>
      </c>
      <c r="V88" s="3">
        <v>40848</v>
      </c>
      <c r="W88" s="5">
        <v>15246</v>
      </c>
      <c r="X88" s="5">
        <v>1278</v>
      </c>
      <c r="Y88" s="5">
        <v>26269</v>
      </c>
      <c r="Z88" s="5">
        <v>100246</v>
      </c>
      <c r="AA88" s="5">
        <v>143039</v>
      </c>
      <c r="AD88" s="3">
        <v>40848</v>
      </c>
      <c r="AE88">
        <f t="shared" si="5"/>
        <v>15246</v>
      </c>
      <c r="AF88">
        <f t="shared" si="6"/>
        <v>20053</v>
      </c>
      <c r="AG88">
        <f t="shared" si="7"/>
        <v>1.3152958152958152</v>
      </c>
      <c r="AH88">
        <f t="shared" si="8"/>
        <v>143039</v>
      </c>
      <c r="AI88">
        <f t="shared" si="9"/>
        <v>143039</v>
      </c>
    </row>
    <row r="89" spans="1:35" x14ac:dyDescent="0.25">
      <c r="A89" s="11">
        <v>39630</v>
      </c>
      <c r="B89" s="12">
        <v>104867</v>
      </c>
      <c r="C89" s="12" t="s">
        <v>2</v>
      </c>
      <c r="D89" s="1"/>
      <c r="F89" s="11">
        <v>39052</v>
      </c>
      <c r="G89" s="12">
        <v>77873</v>
      </c>
      <c r="H89" s="12" t="s">
        <v>15</v>
      </c>
      <c r="L89" s="3">
        <v>40878</v>
      </c>
      <c r="M89" s="5"/>
      <c r="N89" s="5">
        <v>23033</v>
      </c>
      <c r="O89" s="5">
        <v>102137</v>
      </c>
      <c r="P89" s="5">
        <v>22830</v>
      </c>
      <c r="Q89" s="5"/>
      <c r="R89" s="5">
        <v>148000</v>
      </c>
      <c r="V89" s="3">
        <v>40878</v>
      </c>
      <c r="W89" s="5">
        <v>17511</v>
      </c>
      <c r="X89" s="5">
        <v>1272</v>
      </c>
      <c r="Y89" s="5">
        <v>19185</v>
      </c>
      <c r="Z89" s="5">
        <v>110032</v>
      </c>
      <c r="AA89" s="5">
        <v>148000</v>
      </c>
      <c r="AD89" s="3">
        <v>40878</v>
      </c>
      <c r="AE89">
        <f t="shared" si="5"/>
        <v>17511</v>
      </c>
      <c r="AF89">
        <f t="shared" si="6"/>
        <v>23033</v>
      </c>
      <c r="AG89">
        <f t="shared" si="7"/>
        <v>1.3153446405116784</v>
      </c>
      <c r="AH89">
        <f t="shared" si="8"/>
        <v>148000</v>
      </c>
      <c r="AI89">
        <f t="shared" si="9"/>
        <v>148000</v>
      </c>
    </row>
    <row r="90" spans="1:35" x14ac:dyDescent="0.25">
      <c r="A90" s="11">
        <v>39630</v>
      </c>
      <c r="B90" s="12">
        <v>23755</v>
      </c>
      <c r="C90" s="12" t="s">
        <v>3</v>
      </c>
      <c r="D90" s="1"/>
      <c r="F90" s="11">
        <v>39052</v>
      </c>
      <c r="G90" s="12">
        <v>70005</v>
      </c>
      <c r="H90" s="12" t="s">
        <v>16</v>
      </c>
      <c r="L90" s="3">
        <v>40909</v>
      </c>
      <c r="M90" s="5"/>
      <c r="N90" s="5">
        <v>24747</v>
      </c>
      <c r="O90" s="5">
        <v>92943</v>
      </c>
      <c r="P90" s="5">
        <v>23833</v>
      </c>
      <c r="Q90" s="5"/>
      <c r="R90" s="5">
        <v>141523</v>
      </c>
      <c r="V90" s="3">
        <v>40909</v>
      </c>
      <c r="W90" s="5">
        <v>17965</v>
      </c>
      <c r="X90" s="5">
        <v>1117</v>
      </c>
      <c r="Y90" s="5">
        <v>19041</v>
      </c>
      <c r="Z90" s="5">
        <v>103400</v>
      </c>
      <c r="AA90" s="5">
        <v>141523</v>
      </c>
      <c r="AD90" s="3">
        <v>40909</v>
      </c>
      <c r="AE90">
        <f t="shared" si="5"/>
        <v>17965</v>
      </c>
      <c r="AF90">
        <f t="shared" si="6"/>
        <v>24747</v>
      </c>
      <c r="AG90">
        <f t="shared" si="7"/>
        <v>1.3775118285555246</v>
      </c>
      <c r="AH90">
        <f t="shared" si="8"/>
        <v>141523</v>
      </c>
      <c r="AI90">
        <f t="shared" si="9"/>
        <v>141523</v>
      </c>
    </row>
    <row r="91" spans="1:35" x14ac:dyDescent="0.25">
      <c r="A91" s="11">
        <v>39661</v>
      </c>
      <c r="B91" s="12">
        <v>99389</v>
      </c>
      <c r="C91" s="12" t="s">
        <v>2</v>
      </c>
      <c r="D91" s="1"/>
      <c r="F91" s="11">
        <v>39052</v>
      </c>
      <c r="G91" s="12">
        <v>1652</v>
      </c>
      <c r="H91" s="12" t="s">
        <v>14</v>
      </c>
      <c r="L91" s="3">
        <v>40940</v>
      </c>
      <c r="M91" s="5"/>
      <c r="N91" s="5">
        <v>22030</v>
      </c>
      <c r="O91" s="5">
        <v>93504</v>
      </c>
      <c r="P91" s="5">
        <v>26599</v>
      </c>
      <c r="Q91" s="5"/>
      <c r="R91" s="5">
        <v>142133</v>
      </c>
      <c r="V91" s="3">
        <v>40940</v>
      </c>
      <c r="W91" s="5">
        <v>17000</v>
      </c>
      <c r="X91" s="5">
        <v>1010</v>
      </c>
      <c r="Y91" s="5">
        <v>22374</v>
      </c>
      <c r="Z91" s="5">
        <v>101749</v>
      </c>
      <c r="AA91" s="5">
        <v>142133</v>
      </c>
      <c r="AD91" s="3">
        <v>40940</v>
      </c>
      <c r="AE91">
        <f t="shared" si="5"/>
        <v>17000</v>
      </c>
      <c r="AF91">
        <f t="shared" si="6"/>
        <v>22030</v>
      </c>
      <c r="AG91">
        <f t="shared" si="7"/>
        <v>1.2958823529411765</v>
      </c>
      <c r="AH91">
        <f t="shared" si="8"/>
        <v>142133</v>
      </c>
      <c r="AI91">
        <f t="shared" si="9"/>
        <v>142133</v>
      </c>
    </row>
    <row r="92" spans="1:35" x14ac:dyDescent="0.25">
      <c r="A92" s="11">
        <v>39661</v>
      </c>
      <c r="B92" s="12">
        <v>17704</v>
      </c>
      <c r="C92" s="12" t="s">
        <v>3</v>
      </c>
      <c r="D92" s="1"/>
      <c r="F92" s="11">
        <v>39052</v>
      </c>
      <c r="G92" s="12">
        <v>6</v>
      </c>
      <c r="H92" s="12" t="s">
        <v>29</v>
      </c>
      <c r="L92" s="3">
        <v>40969</v>
      </c>
      <c r="M92" s="5"/>
      <c r="N92" s="5">
        <v>25627</v>
      </c>
      <c r="O92" s="5">
        <v>78802</v>
      </c>
      <c r="P92" s="5">
        <v>23479</v>
      </c>
      <c r="Q92" s="5"/>
      <c r="R92" s="5">
        <v>127908</v>
      </c>
      <c r="V92" s="3">
        <v>40969</v>
      </c>
      <c r="W92" s="5">
        <v>21322</v>
      </c>
      <c r="X92" s="5">
        <v>1024</v>
      </c>
      <c r="Y92" s="5">
        <v>14175</v>
      </c>
      <c r="Z92" s="5">
        <v>91387</v>
      </c>
      <c r="AA92" s="5">
        <v>127908</v>
      </c>
      <c r="AD92" s="3">
        <v>40969</v>
      </c>
      <c r="AE92">
        <f t="shared" si="5"/>
        <v>21322</v>
      </c>
      <c r="AF92">
        <f t="shared" si="6"/>
        <v>25627</v>
      </c>
      <c r="AG92">
        <f t="shared" si="7"/>
        <v>1.2019041365725542</v>
      </c>
      <c r="AH92">
        <f t="shared" si="8"/>
        <v>127908</v>
      </c>
      <c r="AI92">
        <f t="shared" si="9"/>
        <v>127908</v>
      </c>
    </row>
    <row r="93" spans="1:35" x14ac:dyDescent="0.25">
      <c r="A93" s="11">
        <v>39692</v>
      </c>
      <c r="B93" s="12">
        <v>77863</v>
      </c>
      <c r="C93" s="12" t="s">
        <v>2</v>
      </c>
      <c r="D93" s="1"/>
      <c r="F93" s="11">
        <v>39083</v>
      </c>
      <c r="G93" s="12">
        <v>71626</v>
      </c>
      <c r="H93" s="12" t="s">
        <v>15</v>
      </c>
      <c r="L93" s="3">
        <v>41000</v>
      </c>
      <c r="M93" s="5"/>
      <c r="N93" s="5">
        <v>32853</v>
      </c>
      <c r="O93" s="5">
        <v>84914</v>
      </c>
      <c r="P93" s="5">
        <v>23792</v>
      </c>
      <c r="Q93" s="5"/>
      <c r="R93" s="5">
        <v>141559</v>
      </c>
      <c r="V93" s="3">
        <v>41000</v>
      </c>
      <c r="W93" s="5">
        <v>31372</v>
      </c>
      <c r="X93" s="5">
        <v>884</v>
      </c>
      <c r="Y93" s="5">
        <v>14570</v>
      </c>
      <c r="Z93" s="5">
        <v>94733</v>
      </c>
      <c r="AA93" s="5">
        <v>141559</v>
      </c>
      <c r="AD93" s="3">
        <v>41000</v>
      </c>
      <c r="AE93">
        <f t="shared" si="5"/>
        <v>31372</v>
      </c>
      <c r="AF93">
        <f t="shared" si="6"/>
        <v>32853</v>
      </c>
      <c r="AG93">
        <f t="shared" si="7"/>
        <v>1.0472077011347698</v>
      </c>
      <c r="AH93">
        <f t="shared" si="8"/>
        <v>141559</v>
      </c>
      <c r="AI93">
        <f t="shared" si="9"/>
        <v>141559</v>
      </c>
    </row>
    <row r="94" spans="1:35" x14ac:dyDescent="0.25">
      <c r="A94" s="11">
        <v>39692</v>
      </c>
      <c r="B94" s="12">
        <v>11718</v>
      </c>
      <c r="C94" s="12" t="s">
        <v>3</v>
      </c>
      <c r="D94" s="1"/>
      <c r="F94" s="11">
        <v>39083</v>
      </c>
      <c r="G94" s="12">
        <v>64994</v>
      </c>
      <c r="H94" s="12" t="s">
        <v>16</v>
      </c>
      <c r="L94" s="3">
        <v>41030</v>
      </c>
      <c r="M94" s="5"/>
      <c r="N94" s="5">
        <v>35404</v>
      </c>
      <c r="O94" s="5">
        <v>93152</v>
      </c>
      <c r="P94" s="5">
        <v>23075</v>
      </c>
      <c r="Q94" s="5"/>
      <c r="R94" s="5">
        <v>151631</v>
      </c>
      <c r="V94" s="3">
        <v>41030</v>
      </c>
      <c r="W94" s="5">
        <v>36518</v>
      </c>
      <c r="X94" s="5">
        <v>908</v>
      </c>
      <c r="Y94" s="5">
        <v>19251</v>
      </c>
      <c r="Z94" s="5">
        <v>94954</v>
      </c>
      <c r="AA94" s="5">
        <v>151631</v>
      </c>
      <c r="AD94" s="3">
        <v>41030</v>
      </c>
      <c r="AE94">
        <f t="shared" si="5"/>
        <v>36518</v>
      </c>
      <c r="AF94">
        <f t="shared" si="6"/>
        <v>35404</v>
      </c>
      <c r="AG94">
        <f t="shared" si="7"/>
        <v>0.96949449586505287</v>
      </c>
      <c r="AH94">
        <f t="shared" si="8"/>
        <v>151631</v>
      </c>
      <c r="AI94">
        <f t="shared" si="9"/>
        <v>151631</v>
      </c>
    </row>
    <row r="95" spans="1:35" x14ac:dyDescent="0.25">
      <c r="A95" s="11">
        <v>39722</v>
      </c>
      <c r="B95" s="12">
        <v>7319</v>
      </c>
      <c r="C95" s="12" t="s">
        <v>3</v>
      </c>
      <c r="D95" s="1"/>
      <c r="F95" s="11">
        <v>39083</v>
      </c>
      <c r="G95" s="12">
        <v>1465</v>
      </c>
      <c r="H95" s="12" t="s">
        <v>14</v>
      </c>
      <c r="L95" s="3">
        <v>41061</v>
      </c>
      <c r="M95" s="5"/>
      <c r="N95" s="5">
        <v>39938</v>
      </c>
      <c r="O95" s="5">
        <v>94590</v>
      </c>
      <c r="P95" s="5">
        <v>19537</v>
      </c>
      <c r="Q95" s="5"/>
      <c r="R95" s="5">
        <v>154065</v>
      </c>
      <c r="V95" s="3">
        <v>41061</v>
      </c>
      <c r="W95" s="5">
        <v>42915</v>
      </c>
      <c r="X95" s="5">
        <v>1290</v>
      </c>
      <c r="Y95" s="5">
        <v>28239</v>
      </c>
      <c r="Z95" s="5">
        <v>81621</v>
      </c>
      <c r="AA95" s="5">
        <v>154065</v>
      </c>
      <c r="AD95" s="3">
        <v>41061</v>
      </c>
      <c r="AE95">
        <f t="shared" si="5"/>
        <v>42915</v>
      </c>
      <c r="AF95">
        <f t="shared" si="6"/>
        <v>39938</v>
      </c>
      <c r="AG95">
        <f t="shared" si="7"/>
        <v>0.9306303157404171</v>
      </c>
      <c r="AH95">
        <f t="shared" si="8"/>
        <v>154065</v>
      </c>
      <c r="AI95">
        <f t="shared" si="9"/>
        <v>154065</v>
      </c>
    </row>
    <row r="96" spans="1:35" x14ac:dyDescent="0.25">
      <c r="A96" s="11">
        <v>39722</v>
      </c>
      <c r="B96" s="12">
        <v>54547</v>
      </c>
      <c r="C96" s="12" t="s">
        <v>2</v>
      </c>
      <c r="D96" s="1"/>
      <c r="F96" s="11">
        <v>39083</v>
      </c>
      <c r="G96" s="12">
        <v>5</v>
      </c>
      <c r="H96" s="12" t="s">
        <v>29</v>
      </c>
      <c r="L96" s="3">
        <v>41091</v>
      </c>
      <c r="M96" s="5"/>
      <c r="N96" s="5">
        <v>42088</v>
      </c>
      <c r="O96" s="5">
        <v>95097</v>
      </c>
      <c r="P96" s="5">
        <v>21051</v>
      </c>
      <c r="Q96" s="5"/>
      <c r="R96" s="5">
        <v>158236</v>
      </c>
      <c r="V96" s="3">
        <v>41091</v>
      </c>
      <c r="W96" s="5">
        <v>45971</v>
      </c>
      <c r="X96" s="5">
        <v>1483</v>
      </c>
      <c r="Y96" s="5">
        <v>34940</v>
      </c>
      <c r="Z96" s="5">
        <v>75842</v>
      </c>
      <c r="AA96" s="5">
        <v>158236</v>
      </c>
      <c r="AD96" s="3">
        <v>41091</v>
      </c>
      <c r="AE96">
        <f t="shared" si="5"/>
        <v>45971</v>
      </c>
      <c r="AF96">
        <f t="shared" si="6"/>
        <v>42088</v>
      </c>
      <c r="AG96">
        <f t="shared" si="7"/>
        <v>0.91553370603206374</v>
      </c>
      <c r="AH96">
        <f t="shared" si="8"/>
        <v>158236</v>
      </c>
      <c r="AI96">
        <f t="shared" si="9"/>
        <v>158236</v>
      </c>
    </row>
    <row r="97" spans="1:35" x14ac:dyDescent="0.25">
      <c r="A97" s="11">
        <v>39753</v>
      </c>
      <c r="B97" s="12">
        <v>10715</v>
      </c>
      <c r="C97" s="12" t="s">
        <v>3</v>
      </c>
      <c r="D97" s="1"/>
      <c r="F97" s="11">
        <v>39114</v>
      </c>
      <c r="G97" s="12">
        <v>82774</v>
      </c>
      <c r="H97" s="12" t="s">
        <v>15</v>
      </c>
      <c r="L97" s="3">
        <v>41122</v>
      </c>
      <c r="M97" s="5"/>
      <c r="N97" s="5">
        <v>39698</v>
      </c>
      <c r="O97" s="5">
        <v>95500</v>
      </c>
      <c r="P97" s="5">
        <v>21726</v>
      </c>
      <c r="Q97" s="5"/>
      <c r="R97" s="5">
        <v>156924</v>
      </c>
      <c r="V97" s="3">
        <v>41122</v>
      </c>
      <c r="W97" s="5">
        <v>43691</v>
      </c>
      <c r="X97" s="5">
        <v>1340</v>
      </c>
      <c r="Y97" s="5">
        <v>34898</v>
      </c>
      <c r="Z97" s="5">
        <v>76995</v>
      </c>
      <c r="AA97" s="5">
        <v>156924</v>
      </c>
      <c r="AD97" s="3">
        <v>41122</v>
      </c>
      <c r="AE97">
        <f t="shared" si="5"/>
        <v>43691</v>
      </c>
      <c r="AF97">
        <f t="shared" si="6"/>
        <v>39698</v>
      </c>
      <c r="AG97">
        <f t="shared" si="7"/>
        <v>0.90860818017440659</v>
      </c>
      <c r="AH97">
        <f t="shared" si="8"/>
        <v>156924</v>
      </c>
      <c r="AI97">
        <f t="shared" si="9"/>
        <v>156924</v>
      </c>
    </row>
    <row r="98" spans="1:35" x14ac:dyDescent="0.25">
      <c r="A98" s="11">
        <v>39753</v>
      </c>
      <c r="B98" s="12">
        <v>59811</v>
      </c>
      <c r="C98" s="12" t="s">
        <v>2</v>
      </c>
      <c r="D98" s="1"/>
      <c r="F98" s="11">
        <v>39114</v>
      </c>
      <c r="G98" s="12">
        <v>61892</v>
      </c>
      <c r="H98" s="12" t="s">
        <v>16</v>
      </c>
      <c r="L98" s="3">
        <v>41153</v>
      </c>
      <c r="M98" s="5"/>
      <c r="N98" s="5">
        <v>40424</v>
      </c>
      <c r="O98" s="5">
        <v>104000</v>
      </c>
      <c r="P98" s="5">
        <v>26853</v>
      </c>
      <c r="Q98" s="5"/>
      <c r="R98" s="5">
        <v>171277</v>
      </c>
      <c r="V98" s="3">
        <v>41153</v>
      </c>
      <c r="W98" s="5">
        <v>40793</v>
      </c>
      <c r="X98" s="5">
        <v>1549</v>
      </c>
      <c r="Y98" s="5">
        <v>36014</v>
      </c>
      <c r="Z98" s="5">
        <v>92921</v>
      </c>
      <c r="AA98" s="5">
        <v>171277</v>
      </c>
      <c r="AD98" s="3">
        <v>41153</v>
      </c>
      <c r="AE98">
        <f t="shared" si="5"/>
        <v>40793</v>
      </c>
      <c r="AF98">
        <f t="shared" si="6"/>
        <v>40424</v>
      </c>
      <c r="AG98">
        <f t="shared" si="7"/>
        <v>0.9909543303998235</v>
      </c>
      <c r="AH98">
        <f t="shared" si="8"/>
        <v>171277</v>
      </c>
      <c r="AI98">
        <f t="shared" si="9"/>
        <v>171277</v>
      </c>
    </row>
    <row r="99" spans="1:35" x14ac:dyDescent="0.25">
      <c r="A99" s="11">
        <v>39783</v>
      </c>
      <c r="B99" s="12">
        <v>15988</v>
      </c>
      <c r="C99" s="12" t="s">
        <v>3</v>
      </c>
      <c r="D99" s="1"/>
      <c r="F99" s="11">
        <v>39114</v>
      </c>
      <c r="G99" s="12">
        <v>1437</v>
      </c>
      <c r="H99" s="12" t="s">
        <v>14</v>
      </c>
      <c r="L99" s="3">
        <v>41183</v>
      </c>
      <c r="M99" s="5"/>
      <c r="N99" s="5">
        <v>41309</v>
      </c>
      <c r="O99" s="5">
        <v>117389</v>
      </c>
      <c r="P99" s="5">
        <v>35820</v>
      </c>
      <c r="Q99" s="5"/>
      <c r="R99" s="5">
        <v>194518</v>
      </c>
      <c r="V99" s="3">
        <v>41183</v>
      </c>
      <c r="W99" s="5">
        <v>40118</v>
      </c>
      <c r="X99" s="5">
        <v>1312</v>
      </c>
      <c r="Y99" s="5">
        <v>37344</v>
      </c>
      <c r="Z99" s="5">
        <v>115744</v>
      </c>
      <c r="AA99" s="5">
        <v>194518</v>
      </c>
      <c r="AD99" s="3">
        <v>41183</v>
      </c>
      <c r="AE99">
        <f t="shared" si="5"/>
        <v>40118</v>
      </c>
      <c r="AF99">
        <f t="shared" si="6"/>
        <v>41309</v>
      </c>
      <c r="AG99">
        <f t="shared" si="7"/>
        <v>1.0296874221047909</v>
      </c>
      <c r="AH99">
        <f t="shared" si="8"/>
        <v>194518</v>
      </c>
      <c r="AI99">
        <f t="shared" si="9"/>
        <v>194518</v>
      </c>
    </row>
    <row r="100" spans="1:35" x14ac:dyDescent="0.25">
      <c r="A100" s="11">
        <v>39783</v>
      </c>
      <c r="B100" s="12">
        <v>61034</v>
      </c>
      <c r="C100" s="12" t="s">
        <v>2</v>
      </c>
      <c r="D100" s="1"/>
      <c r="F100" s="11">
        <v>39114</v>
      </c>
      <c r="G100" s="12">
        <v>2</v>
      </c>
      <c r="H100" s="12" t="s">
        <v>29</v>
      </c>
      <c r="L100" s="3">
        <v>41214</v>
      </c>
      <c r="M100" s="5"/>
      <c r="N100" s="5">
        <v>40014</v>
      </c>
      <c r="O100" s="5">
        <v>125598</v>
      </c>
      <c r="P100" s="5">
        <v>41650</v>
      </c>
      <c r="Q100" s="5"/>
      <c r="R100" s="5">
        <v>207262</v>
      </c>
      <c r="V100" s="3">
        <v>41214</v>
      </c>
      <c r="W100" s="5">
        <v>35669</v>
      </c>
      <c r="X100" s="5">
        <v>1463</v>
      </c>
      <c r="Y100" s="5">
        <v>37205</v>
      </c>
      <c r="Z100" s="5">
        <v>132925</v>
      </c>
      <c r="AA100" s="5">
        <v>207262</v>
      </c>
      <c r="AD100" s="3">
        <v>41214</v>
      </c>
      <c r="AE100">
        <f t="shared" si="5"/>
        <v>35669</v>
      </c>
      <c r="AF100">
        <f t="shared" si="6"/>
        <v>40014</v>
      </c>
      <c r="AG100">
        <f t="shared" si="7"/>
        <v>1.1218144607362135</v>
      </c>
      <c r="AH100">
        <f t="shared" si="8"/>
        <v>207262</v>
      </c>
      <c r="AI100">
        <f t="shared" si="9"/>
        <v>207262</v>
      </c>
    </row>
    <row r="101" spans="1:35" x14ac:dyDescent="0.25">
      <c r="A101" s="11">
        <v>39814</v>
      </c>
      <c r="B101" s="12">
        <v>7602</v>
      </c>
      <c r="C101" s="12" t="s">
        <v>3</v>
      </c>
      <c r="D101" s="1"/>
      <c r="F101" s="11">
        <v>39142</v>
      </c>
      <c r="G101" s="12">
        <v>79678</v>
      </c>
      <c r="H101" s="12" t="s">
        <v>15</v>
      </c>
      <c r="L101" s="3">
        <v>41244</v>
      </c>
      <c r="M101" s="5"/>
      <c r="N101" s="5">
        <v>44818</v>
      </c>
      <c r="O101" s="5">
        <v>126694</v>
      </c>
      <c r="P101" s="5">
        <v>42712</v>
      </c>
      <c r="Q101" s="5"/>
      <c r="R101" s="5">
        <v>214224</v>
      </c>
      <c r="V101" s="3">
        <v>41244</v>
      </c>
      <c r="W101" s="5">
        <v>41177</v>
      </c>
      <c r="X101" s="5">
        <v>1369</v>
      </c>
      <c r="Y101" s="5">
        <v>36076</v>
      </c>
      <c r="Z101" s="5">
        <v>135602</v>
      </c>
      <c r="AA101" s="5">
        <v>214224</v>
      </c>
      <c r="AD101" s="3">
        <v>41244</v>
      </c>
      <c r="AE101">
        <f t="shared" si="5"/>
        <v>41177</v>
      </c>
      <c r="AF101">
        <f t="shared" si="6"/>
        <v>44818</v>
      </c>
      <c r="AG101">
        <f t="shared" si="7"/>
        <v>1.0884231488452292</v>
      </c>
      <c r="AH101">
        <f t="shared" si="8"/>
        <v>214224</v>
      </c>
      <c r="AI101">
        <f t="shared" si="9"/>
        <v>214224</v>
      </c>
    </row>
    <row r="102" spans="1:35" x14ac:dyDescent="0.25">
      <c r="A102" s="11">
        <v>39814</v>
      </c>
      <c r="B102" s="12">
        <v>38507</v>
      </c>
      <c r="C102" s="12" t="s">
        <v>2</v>
      </c>
      <c r="D102" s="1"/>
      <c r="F102" s="11">
        <v>39142</v>
      </c>
      <c r="G102" s="12">
        <v>51462</v>
      </c>
      <c r="H102" s="12" t="s">
        <v>16</v>
      </c>
      <c r="L102" s="3">
        <v>41275</v>
      </c>
      <c r="M102" s="5"/>
      <c r="N102" s="5">
        <v>38993</v>
      </c>
      <c r="O102" s="5">
        <v>107284</v>
      </c>
      <c r="P102" s="5">
        <v>38258</v>
      </c>
      <c r="Q102" s="5"/>
      <c r="R102" s="5">
        <v>184535</v>
      </c>
      <c r="V102" s="3">
        <v>41275</v>
      </c>
      <c r="W102" s="5">
        <v>34074</v>
      </c>
      <c r="X102" s="5">
        <v>1511</v>
      </c>
      <c r="Y102" s="5">
        <v>28776</v>
      </c>
      <c r="Z102" s="5">
        <v>120174</v>
      </c>
      <c r="AA102" s="5">
        <v>184535</v>
      </c>
      <c r="AD102" s="3">
        <v>41275</v>
      </c>
      <c r="AE102">
        <f t="shared" si="5"/>
        <v>34074</v>
      </c>
      <c r="AF102">
        <f t="shared" si="6"/>
        <v>38993</v>
      </c>
      <c r="AG102">
        <f t="shared" si="7"/>
        <v>1.1443622703527616</v>
      </c>
      <c r="AH102">
        <f t="shared" si="8"/>
        <v>184535</v>
      </c>
      <c r="AI102">
        <f t="shared" si="9"/>
        <v>184535</v>
      </c>
    </row>
    <row r="103" spans="1:35" x14ac:dyDescent="0.25">
      <c r="A103" s="11">
        <v>39845</v>
      </c>
      <c r="B103" s="12">
        <v>32437</v>
      </c>
      <c r="C103" s="12" t="s">
        <v>3</v>
      </c>
      <c r="D103" s="1"/>
      <c r="F103" s="11">
        <v>39142</v>
      </c>
      <c r="G103" s="12">
        <v>1409</v>
      </c>
      <c r="H103" s="12" t="s">
        <v>14</v>
      </c>
      <c r="L103" s="3">
        <v>41306</v>
      </c>
      <c r="M103" s="5"/>
      <c r="N103" s="5">
        <v>39751</v>
      </c>
      <c r="O103" s="5">
        <v>117221</v>
      </c>
      <c r="P103" s="5">
        <v>43005</v>
      </c>
      <c r="Q103" s="5"/>
      <c r="R103" s="5">
        <v>199977</v>
      </c>
      <c r="V103" s="3">
        <v>41306</v>
      </c>
      <c r="W103" s="5">
        <v>34581</v>
      </c>
      <c r="X103" s="5">
        <v>1507</v>
      </c>
      <c r="Y103" s="5">
        <v>31148</v>
      </c>
      <c r="Z103" s="5">
        <v>132741</v>
      </c>
      <c r="AA103" s="5">
        <v>199977</v>
      </c>
      <c r="AD103" s="3">
        <v>41306</v>
      </c>
      <c r="AE103">
        <f t="shared" si="5"/>
        <v>34581</v>
      </c>
      <c r="AF103">
        <f t="shared" si="6"/>
        <v>39751</v>
      </c>
      <c r="AG103">
        <f t="shared" si="7"/>
        <v>1.1495040629247275</v>
      </c>
      <c r="AH103">
        <f t="shared" si="8"/>
        <v>199977</v>
      </c>
      <c r="AI103">
        <f t="shared" si="9"/>
        <v>199977</v>
      </c>
    </row>
    <row r="104" spans="1:35" x14ac:dyDescent="0.25">
      <c r="A104" s="11">
        <v>39845</v>
      </c>
      <c r="B104" s="12">
        <v>62781</v>
      </c>
      <c r="C104" s="12" t="s">
        <v>2</v>
      </c>
      <c r="D104" s="1"/>
      <c r="F104" s="11">
        <v>39142</v>
      </c>
      <c r="G104" s="12">
        <v>6</v>
      </c>
      <c r="H104" s="12" t="s">
        <v>29</v>
      </c>
      <c r="L104" s="3">
        <v>41334</v>
      </c>
      <c r="M104" s="5"/>
      <c r="N104" s="5">
        <v>43204</v>
      </c>
      <c r="O104" s="5">
        <v>119902</v>
      </c>
      <c r="P104" s="5">
        <v>47434</v>
      </c>
      <c r="Q104" s="5"/>
      <c r="R104" s="5">
        <v>210540</v>
      </c>
      <c r="V104" s="3">
        <v>41334</v>
      </c>
      <c r="W104" s="5">
        <v>37309</v>
      </c>
      <c r="X104" s="5">
        <v>1372</v>
      </c>
      <c r="Y104" s="5">
        <v>27996</v>
      </c>
      <c r="Z104" s="5">
        <v>143863</v>
      </c>
      <c r="AA104" s="5">
        <v>210540</v>
      </c>
      <c r="AD104" s="3">
        <v>41334</v>
      </c>
      <c r="AE104">
        <f t="shared" si="5"/>
        <v>37309</v>
      </c>
      <c r="AF104">
        <f t="shared" si="6"/>
        <v>43204</v>
      </c>
      <c r="AG104">
        <f t="shared" si="7"/>
        <v>1.1580047709667909</v>
      </c>
      <c r="AH104">
        <f t="shared" si="8"/>
        <v>210540</v>
      </c>
      <c r="AI104">
        <f t="shared" si="9"/>
        <v>210540</v>
      </c>
    </row>
    <row r="105" spans="1:35" x14ac:dyDescent="0.25">
      <c r="A105" s="11">
        <v>39873</v>
      </c>
      <c r="B105" s="12">
        <v>81682</v>
      </c>
      <c r="C105" s="12" t="s">
        <v>3</v>
      </c>
      <c r="D105" s="1"/>
      <c r="F105" s="11">
        <v>39173</v>
      </c>
      <c r="G105" s="12">
        <v>73942</v>
      </c>
      <c r="H105" s="12" t="s">
        <v>15</v>
      </c>
      <c r="L105" s="3">
        <v>41365</v>
      </c>
      <c r="M105" s="5"/>
      <c r="N105" s="5">
        <v>43907</v>
      </c>
      <c r="O105" s="5">
        <v>122971</v>
      </c>
      <c r="P105" s="5">
        <v>41186</v>
      </c>
      <c r="Q105" s="5"/>
      <c r="R105" s="5">
        <v>208064</v>
      </c>
      <c r="V105" s="3">
        <v>41365</v>
      </c>
      <c r="W105" s="5">
        <v>38148</v>
      </c>
      <c r="X105" s="5">
        <v>1293</v>
      </c>
      <c r="Y105" s="5">
        <v>33128</v>
      </c>
      <c r="Z105" s="5">
        <v>135495</v>
      </c>
      <c r="AA105" s="5">
        <v>208064</v>
      </c>
      <c r="AD105" s="3">
        <v>41365</v>
      </c>
      <c r="AE105">
        <f t="shared" si="5"/>
        <v>38148</v>
      </c>
      <c r="AF105">
        <f t="shared" si="6"/>
        <v>43907</v>
      </c>
      <c r="AG105">
        <f t="shared" si="7"/>
        <v>1.1509646639404425</v>
      </c>
      <c r="AH105">
        <f t="shared" si="8"/>
        <v>208064</v>
      </c>
      <c r="AI105">
        <f t="shared" si="9"/>
        <v>208064</v>
      </c>
    </row>
    <row r="106" spans="1:35" x14ac:dyDescent="0.25">
      <c r="A106" s="11">
        <v>39873</v>
      </c>
      <c r="B106" s="12">
        <v>84698</v>
      </c>
      <c r="C106" s="12" t="s">
        <v>2</v>
      </c>
      <c r="D106" s="1"/>
      <c r="F106" s="11">
        <v>39173</v>
      </c>
      <c r="G106" s="12">
        <v>61679</v>
      </c>
      <c r="H106" s="12" t="s">
        <v>16</v>
      </c>
      <c r="L106" s="3">
        <v>41395</v>
      </c>
      <c r="M106" s="5"/>
      <c r="N106" s="5">
        <v>43909</v>
      </c>
      <c r="O106" s="5">
        <v>126258</v>
      </c>
      <c r="P106" s="5">
        <v>31293</v>
      </c>
      <c r="Q106" s="5"/>
      <c r="R106" s="5">
        <v>201460</v>
      </c>
      <c r="V106" s="3">
        <v>41395</v>
      </c>
      <c r="W106" s="5">
        <v>38694</v>
      </c>
      <c r="X106" s="5">
        <v>1258</v>
      </c>
      <c r="Y106" s="5">
        <v>37230</v>
      </c>
      <c r="Z106" s="5">
        <v>124278</v>
      </c>
      <c r="AA106" s="5">
        <v>201460</v>
      </c>
      <c r="AD106" s="3">
        <v>41395</v>
      </c>
      <c r="AE106">
        <f t="shared" si="5"/>
        <v>38694</v>
      </c>
      <c r="AF106">
        <f t="shared" si="6"/>
        <v>43909</v>
      </c>
      <c r="AG106">
        <f t="shared" si="7"/>
        <v>1.1347754173773712</v>
      </c>
      <c r="AH106">
        <f t="shared" si="8"/>
        <v>201460</v>
      </c>
      <c r="AI106">
        <f t="shared" si="9"/>
        <v>201460</v>
      </c>
    </row>
    <row r="107" spans="1:35" x14ac:dyDescent="0.25">
      <c r="A107" s="11">
        <v>39904</v>
      </c>
      <c r="B107" s="12">
        <v>105008</v>
      </c>
      <c r="C107" s="12" t="s">
        <v>3</v>
      </c>
      <c r="D107" s="1"/>
      <c r="F107" s="11">
        <v>39173</v>
      </c>
      <c r="G107" s="12">
        <v>1286</v>
      </c>
      <c r="H107" s="12" t="s">
        <v>14</v>
      </c>
      <c r="L107" s="3">
        <v>41426</v>
      </c>
      <c r="M107" s="5"/>
      <c r="N107" s="5">
        <v>40410</v>
      </c>
      <c r="O107" s="5">
        <v>124050</v>
      </c>
      <c r="P107" s="5">
        <v>27425</v>
      </c>
      <c r="Q107" s="5"/>
      <c r="R107" s="5">
        <v>191885</v>
      </c>
      <c r="V107" s="3">
        <v>41426</v>
      </c>
      <c r="W107" s="5">
        <v>36066</v>
      </c>
      <c r="X107" s="5">
        <v>1160</v>
      </c>
      <c r="Y107" s="5">
        <v>39661</v>
      </c>
      <c r="Z107" s="5">
        <v>114998</v>
      </c>
      <c r="AA107" s="5">
        <v>191885</v>
      </c>
      <c r="AD107" s="3">
        <v>41426</v>
      </c>
      <c r="AE107">
        <f t="shared" si="5"/>
        <v>36066</v>
      </c>
      <c r="AF107">
        <f t="shared" si="6"/>
        <v>40410</v>
      </c>
      <c r="AG107">
        <f t="shared" si="7"/>
        <v>1.1204458492763267</v>
      </c>
      <c r="AH107">
        <f t="shared" si="8"/>
        <v>191885</v>
      </c>
      <c r="AI107">
        <f t="shared" si="9"/>
        <v>191885</v>
      </c>
    </row>
    <row r="108" spans="1:35" x14ac:dyDescent="0.25">
      <c r="A108" s="11">
        <v>39904</v>
      </c>
      <c r="B108" s="12">
        <v>117107</v>
      </c>
      <c r="C108" s="12" t="s">
        <v>2</v>
      </c>
      <c r="D108" s="1"/>
      <c r="F108" s="11">
        <v>39173</v>
      </c>
      <c r="G108" s="12">
        <v>6</v>
      </c>
      <c r="H108" s="12" t="s">
        <v>29</v>
      </c>
      <c r="L108" s="3">
        <v>41456</v>
      </c>
      <c r="M108" s="5"/>
      <c r="N108" s="5">
        <v>36908</v>
      </c>
      <c r="O108" s="5">
        <v>139014</v>
      </c>
      <c r="P108" s="5">
        <v>33701</v>
      </c>
      <c r="Q108" s="5"/>
      <c r="R108" s="5">
        <v>209623</v>
      </c>
      <c r="V108" s="3">
        <v>41456</v>
      </c>
      <c r="W108" s="5">
        <v>32031</v>
      </c>
      <c r="X108" s="5">
        <v>829</v>
      </c>
      <c r="Y108" s="5">
        <v>53155</v>
      </c>
      <c r="Z108" s="5">
        <v>123608</v>
      </c>
      <c r="AA108" s="5">
        <v>209623</v>
      </c>
      <c r="AD108" s="3">
        <v>41456</v>
      </c>
      <c r="AE108">
        <f t="shared" si="5"/>
        <v>32031</v>
      </c>
      <c r="AF108">
        <f t="shared" si="6"/>
        <v>36908</v>
      </c>
      <c r="AG108">
        <f t="shared" si="7"/>
        <v>1.1522587493365801</v>
      </c>
      <c r="AH108">
        <f t="shared" si="8"/>
        <v>209623</v>
      </c>
      <c r="AI108">
        <f t="shared" si="9"/>
        <v>209623</v>
      </c>
    </row>
    <row r="109" spans="1:35" x14ac:dyDescent="0.25">
      <c r="A109" s="11">
        <v>39934</v>
      </c>
      <c r="B109" s="12">
        <v>109012</v>
      </c>
      <c r="C109" s="12" t="s">
        <v>3</v>
      </c>
      <c r="D109" s="1"/>
      <c r="F109" s="11">
        <v>39203</v>
      </c>
      <c r="G109" s="12">
        <v>93388</v>
      </c>
      <c r="H109" s="12" t="s">
        <v>15</v>
      </c>
      <c r="L109" s="3">
        <v>41487</v>
      </c>
      <c r="M109" s="5"/>
      <c r="N109" s="5">
        <v>31392</v>
      </c>
      <c r="O109" s="5">
        <v>123743</v>
      </c>
      <c r="P109" s="5">
        <v>28315</v>
      </c>
      <c r="Q109" s="5"/>
      <c r="R109" s="5">
        <v>183450</v>
      </c>
      <c r="V109" s="3">
        <v>41487</v>
      </c>
      <c r="W109" s="5">
        <v>28050</v>
      </c>
      <c r="X109" s="5">
        <v>935</v>
      </c>
      <c r="Y109" s="5">
        <v>52023</v>
      </c>
      <c r="Z109" s="5">
        <v>102442</v>
      </c>
      <c r="AA109" s="5">
        <v>183450</v>
      </c>
      <c r="AD109" s="3">
        <v>41487</v>
      </c>
      <c r="AE109">
        <f t="shared" si="5"/>
        <v>28050</v>
      </c>
      <c r="AF109">
        <f t="shared" si="6"/>
        <v>31392</v>
      </c>
      <c r="AG109">
        <f t="shared" si="7"/>
        <v>1.119144385026738</v>
      </c>
      <c r="AH109">
        <f t="shared" si="8"/>
        <v>183450</v>
      </c>
      <c r="AI109">
        <f t="shared" si="9"/>
        <v>183450</v>
      </c>
    </row>
    <row r="110" spans="1:35" x14ac:dyDescent="0.25">
      <c r="A110" s="11">
        <v>39934</v>
      </c>
      <c r="B110" s="12">
        <v>133715</v>
      </c>
      <c r="C110" s="12" t="s">
        <v>2</v>
      </c>
      <c r="D110" s="1"/>
      <c r="F110" s="11">
        <v>39203</v>
      </c>
      <c r="G110" s="12">
        <v>82047</v>
      </c>
      <c r="H110" s="12" t="s">
        <v>16</v>
      </c>
      <c r="L110" s="3">
        <v>41518</v>
      </c>
      <c r="M110" s="5"/>
      <c r="N110" s="5">
        <v>28178</v>
      </c>
      <c r="O110" s="5">
        <v>110555</v>
      </c>
      <c r="P110" s="5">
        <v>19469</v>
      </c>
      <c r="Q110" s="5"/>
      <c r="R110" s="5">
        <v>158202</v>
      </c>
      <c r="V110" s="3">
        <v>41518</v>
      </c>
      <c r="W110" s="5">
        <v>26408</v>
      </c>
      <c r="X110" s="5">
        <v>1156</v>
      </c>
      <c r="Y110" s="5">
        <v>49315</v>
      </c>
      <c r="Z110" s="5">
        <v>81323</v>
      </c>
      <c r="AA110" s="5">
        <v>158202</v>
      </c>
      <c r="AD110" s="3">
        <v>41518</v>
      </c>
      <c r="AE110">
        <f t="shared" si="5"/>
        <v>26408</v>
      </c>
      <c r="AF110">
        <f t="shared" si="6"/>
        <v>28178</v>
      </c>
      <c r="AG110">
        <f t="shared" si="7"/>
        <v>1.0670251438957892</v>
      </c>
      <c r="AH110">
        <f t="shared" si="8"/>
        <v>158202</v>
      </c>
      <c r="AI110">
        <f t="shared" si="9"/>
        <v>158202</v>
      </c>
    </row>
    <row r="111" spans="1:35" x14ac:dyDescent="0.25">
      <c r="A111" s="11">
        <v>39965</v>
      </c>
      <c r="B111" s="12">
        <v>94316</v>
      </c>
      <c r="C111" s="12" t="s">
        <v>4</v>
      </c>
      <c r="D111" s="1"/>
      <c r="F111" s="11">
        <v>39203</v>
      </c>
      <c r="G111" s="12">
        <v>1594</v>
      </c>
      <c r="H111" s="12" t="s">
        <v>14</v>
      </c>
      <c r="L111" s="3">
        <v>41548</v>
      </c>
      <c r="M111" s="5"/>
      <c r="N111" s="5">
        <v>21968</v>
      </c>
      <c r="O111" s="5">
        <v>91905</v>
      </c>
      <c r="P111" s="5">
        <v>11892</v>
      </c>
      <c r="Q111" s="5"/>
      <c r="R111" s="5">
        <v>125765</v>
      </c>
      <c r="V111" s="3">
        <v>41548</v>
      </c>
      <c r="W111" s="5">
        <v>21270</v>
      </c>
      <c r="X111" s="5">
        <v>941</v>
      </c>
      <c r="Y111" s="5">
        <v>45803</v>
      </c>
      <c r="Z111" s="5">
        <v>57751</v>
      </c>
      <c r="AA111" s="5">
        <v>125765</v>
      </c>
      <c r="AD111" s="3">
        <v>41548</v>
      </c>
      <c r="AE111">
        <f t="shared" si="5"/>
        <v>21270</v>
      </c>
      <c r="AF111">
        <f t="shared" si="6"/>
        <v>21968</v>
      </c>
      <c r="AG111">
        <f t="shared" si="7"/>
        <v>1.0328161730136343</v>
      </c>
      <c r="AH111">
        <f t="shared" si="8"/>
        <v>125765</v>
      </c>
      <c r="AI111">
        <f t="shared" si="9"/>
        <v>125765</v>
      </c>
    </row>
    <row r="112" spans="1:35" x14ac:dyDescent="0.25">
      <c r="A112" s="11">
        <v>39965</v>
      </c>
      <c r="B112" s="12">
        <v>10790</v>
      </c>
      <c r="C112" s="12" t="s">
        <v>5</v>
      </c>
      <c r="D112" s="1"/>
      <c r="F112" s="11">
        <v>39203</v>
      </c>
      <c r="G112" s="12">
        <v>5</v>
      </c>
      <c r="H112" s="12" t="s">
        <v>29</v>
      </c>
      <c r="L112" s="3">
        <v>41579</v>
      </c>
      <c r="M112" s="5"/>
      <c r="N112" s="5">
        <v>16212</v>
      </c>
      <c r="O112" s="5">
        <v>74813</v>
      </c>
      <c r="P112" s="5">
        <v>8042</v>
      </c>
      <c r="Q112" s="5"/>
      <c r="R112" s="5">
        <v>99067</v>
      </c>
      <c r="V112" s="3">
        <v>41579</v>
      </c>
      <c r="W112" s="5">
        <v>15568</v>
      </c>
      <c r="X112" s="5">
        <v>1156</v>
      </c>
      <c r="Y112" s="5">
        <v>38553</v>
      </c>
      <c r="Z112" s="5">
        <v>43790</v>
      </c>
      <c r="AA112" s="5">
        <v>99067</v>
      </c>
      <c r="AD112" s="3">
        <v>41579</v>
      </c>
      <c r="AE112">
        <f t="shared" si="5"/>
        <v>15568</v>
      </c>
      <c r="AF112">
        <f t="shared" si="6"/>
        <v>16212</v>
      </c>
      <c r="AG112">
        <f t="shared" si="7"/>
        <v>1.0413669064748201</v>
      </c>
      <c r="AH112">
        <f t="shared" si="8"/>
        <v>99067</v>
      </c>
      <c r="AI112">
        <f t="shared" si="9"/>
        <v>99067</v>
      </c>
    </row>
    <row r="113" spans="1:35" x14ac:dyDescent="0.25">
      <c r="A113" s="11">
        <v>39965</v>
      </c>
      <c r="B113" s="12">
        <v>128137</v>
      </c>
      <c r="C113" s="12" t="s">
        <v>2</v>
      </c>
      <c r="D113" s="1"/>
      <c r="F113" s="11">
        <v>39234</v>
      </c>
      <c r="G113" s="12">
        <v>97722</v>
      </c>
      <c r="H113" s="12" t="s">
        <v>15</v>
      </c>
      <c r="L113" s="3">
        <v>41609</v>
      </c>
      <c r="M113" s="5"/>
      <c r="N113" s="5">
        <v>14456</v>
      </c>
      <c r="O113" s="5">
        <v>76208</v>
      </c>
      <c r="P113" s="5">
        <v>8266</v>
      </c>
      <c r="Q113" s="5"/>
      <c r="R113" s="5">
        <v>98930</v>
      </c>
      <c r="V113" s="3">
        <v>41609</v>
      </c>
      <c r="W113" s="5">
        <v>13435</v>
      </c>
      <c r="X113" s="5">
        <v>1091</v>
      </c>
      <c r="Y113" s="5">
        <v>42185</v>
      </c>
      <c r="Z113" s="5">
        <v>42219</v>
      </c>
      <c r="AA113" s="5">
        <v>98930</v>
      </c>
      <c r="AD113" s="3">
        <v>41609</v>
      </c>
      <c r="AE113">
        <f t="shared" si="5"/>
        <v>13435</v>
      </c>
      <c r="AF113">
        <f t="shared" si="6"/>
        <v>14456</v>
      </c>
      <c r="AG113">
        <f t="shared" si="7"/>
        <v>1.0759955340528471</v>
      </c>
      <c r="AH113">
        <f t="shared" si="8"/>
        <v>98930</v>
      </c>
      <c r="AI113">
        <f t="shared" si="9"/>
        <v>98930</v>
      </c>
    </row>
    <row r="114" spans="1:35" x14ac:dyDescent="0.25">
      <c r="A114" s="11">
        <v>39995</v>
      </c>
      <c r="B114" s="12">
        <v>90532</v>
      </c>
      <c r="C114" s="12" t="s">
        <v>4</v>
      </c>
      <c r="D114" s="1"/>
      <c r="F114" s="11">
        <v>39234</v>
      </c>
      <c r="G114" s="12">
        <v>87754</v>
      </c>
      <c r="H114" s="12" t="s">
        <v>16</v>
      </c>
      <c r="L114" s="3">
        <v>41640</v>
      </c>
      <c r="M114" s="5"/>
      <c r="N114" s="5">
        <v>12652</v>
      </c>
      <c r="O114" s="5">
        <v>74107</v>
      </c>
      <c r="P114" s="5">
        <v>9988</v>
      </c>
      <c r="Q114" s="5"/>
      <c r="R114" s="5">
        <v>96747</v>
      </c>
      <c r="V114" s="3">
        <v>41640</v>
      </c>
      <c r="W114" s="5">
        <v>11391</v>
      </c>
      <c r="X114" s="5">
        <v>790</v>
      </c>
      <c r="Y114" s="5">
        <v>41227</v>
      </c>
      <c r="Z114" s="5">
        <v>43339</v>
      </c>
      <c r="AA114" s="5">
        <v>96747</v>
      </c>
      <c r="AD114" s="3">
        <v>41640</v>
      </c>
      <c r="AE114">
        <f t="shared" si="5"/>
        <v>11391</v>
      </c>
      <c r="AF114">
        <f t="shared" si="6"/>
        <v>12652</v>
      </c>
      <c r="AG114">
        <f t="shared" si="7"/>
        <v>1.1107014309542622</v>
      </c>
      <c r="AH114">
        <f t="shared" si="8"/>
        <v>96747</v>
      </c>
      <c r="AI114">
        <f t="shared" si="9"/>
        <v>96747</v>
      </c>
    </row>
    <row r="115" spans="1:35" x14ac:dyDescent="0.25">
      <c r="A115" s="11">
        <v>39995</v>
      </c>
      <c r="B115" s="12">
        <v>16758</v>
      </c>
      <c r="C115" s="12" t="s">
        <v>5</v>
      </c>
      <c r="D115" s="1"/>
      <c r="F115" s="11">
        <v>39234</v>
      </c>
      <c r="G115" s="12">
        <v>1586</v>
      </c>
      <c r="H115" s="12" t="s">
        <v>14</v>
      </c>
      <c r="L115" s="3">
        <v>41671</v>
      </c>
      <c r="M115" s="5"/>
      <c r="N115" s="5">
        <v>12421</v>
      </c>
      <c r="O115" s="5">
        <v>76683</v>
      </c>
      <c r="P115" s="5">
        <v>9968</v>
      </c>
      <c r="Q115" s="5"/>
      <c r="R115" s="5">
        <v>99072</v>
      </c>
      <c r="V115" s="3">
        <v>41671</v>
      </c>
      <c r="W115" s="5">
        <v>11123</v>
      </c>
      <c r="X115" s="5">
        <v>682</v>
      </c>
      <c r="Y115" s="5">
        <v>43545</v>
      </c>
      <c r="Z115" s="5">
        <v>43722</v>
      </c>
      <c r="AA115" s="5">
        <v>99072</v>
      </c>
      <c r="AD115" s="3">
        <v>41671</v>
      </c>
      <c r="AE115">
        <f t="shared" si="5"/>
        <v>11123</v>
      </c>
      <c r="AF115">
        <f t="shared" si="6"/>
        <v>12421</v>
      </c>
      <c r="AG115">
        <f t="shared" si="7"/>
        <v>1.1166951362042614</v>
      </c>
      <c r="AH115">
        <f t="shared" si="8"/>
        <v>99072</v>
      </c>
      <c r="AI115">
        <f t="shared" si="9"/>
        <v>99072</v>
      </c>
    </row>
    <row r="116" spans="1:35" x14ac:dyDescent="0.25">
      <c r="A116" s="11">
        <v>39995</v>
      </c>
      <c r="B116" s="12">
        <v>139796</v>
      </c>
      <c r="C116" s="12" t="s">
        <v>2</v>
      </c>
      <c r="D116" s="1"/>
      <c r="F116" s="11">
        <v>39234</v>
      </c>
      <c r="G116" s="12">
        <v>8</v>
      </c>
      <c r="H116" s="12" t="s">
        <v>29</v>
      </c>
      <c r="L116" s="3">
        <v>41699</v>
      </c>
      <c r="M116" s="5"/>
      <c r="N116" s="5">
        <v>10411</v>
      </c>
      <c r="O116" s="5">
        <v>53604</v>
      </c>
      <c r="P116" s="5">
        <v>6731</v>
      </c>
      <c r="Q116" s="5">
        <v>6</v>
      </c>
      <c r="R116" s="5">
        <v>70752</v>
      </c>
      <c r="V116" s="3">
        <v>41699</v>
      </c>
      <c r="W116" s="5">
        <v>9232</v>
      </c>
      <c r="X116" s="5">
        <v>803</v>
      </c>
      <c r="Y116" s="5">
        <v>28653</v>
      </c>
      <c r="Z116" s="5">
        <v>32064</v>
      </c>
      <c r="AA116" s="5">
        <v>70752</v>
      </c>
      <c r="AD116" s="3">
        <v>41699</v>
      </c>
      <c r="AE116">
        <f t="shared" si="5"/>
        <v>9232</v>
      </c>
      <c r="AF116">
        <f t="shared" si="6"/>
        <v>10411</v>
      </c>
      <c r="AG116">
        <f t="shared" si="7"/>
        <v>1.127707972270364</v>
      </c>
      <c r="AH116">
        <f t="shared" si="8"/>
        <v>70752</v>
      </c>
      <c r="AI116">
        <f t="shared" si="9"/>
        <v>70752</v>
      </c>
    </row>
    <row r="117" spans="1:35" x14ac:dyDescent="0.25">
      <c r="A117" s="11">
        <v>40026</v>
      </c>
      <c r="B117" s="12">
        <v>71785</v>
      </c>
      <c r="C117" s="12" t="s">
        <v>4</v>
      </c>
      <c r="D117" s="1"/>
      <c r="F117" s="11">
        <v>39264</v>
      </c>
      <c r="G117" s="12">
        <v>88975</v>
      </c>
      <c r="H117" s="12" t="s">
        <v>15</v>
      </c>
      <c r="L117" s="3">
        <v>41730</v>
      </c>
      <c r="M117" s="5"/>
      <c r="N117" s="5"/>
      <c r="O117" s="5">
        <v>53677</v>
      </c>
      <c r="P117" s="5"/>
      <c r="Q117" s="5">
        <v>14732</v>
      </c>
      <c r="R117" s="5">
        <v>68409</v>
      </c>
      <c r="V117" s="3">
        <v>41730</v>
      </c>
      <c r="W117" s="5">
        <v>7551</v>
      </c>
      <c r="X117" s="5">
        <v>764</v>
      </c>
      <c r="Y117" s="5">
        <v>31223</v>
      </c>
      <c r="Z117" s="5">
        <v>28871</v>
      </c>
      <c r="AA117" s="5">
        <v>68409</v>
      </c>
      <c r="AD117" s="3">
        <v>41730</v>
      </c>
      <c r="AE117">
        <f t="shared" si="5"/>
        <v>7551</v>
      </c>
      <c r="AF117">
        <f t="shared" si="6"/>
        <v>0</v>
      </c>
      <c r="AG117">
        <f t="shared" si="7"/>
        <v>0</v>
      </c>
      <c r="AH117">
        <f t="shared" si="8"/>
        <v>68409</v>
      </c>
      <c r="AI117">
        <f t="shared" si="9"/>
        <v>68409</v>
      </c>
    </row>
    <row r="118" spans="1:35" x14ac:dyDescent="0.25">
      <c r="A118" s="11">
        <v>40026</v>
      </c>
      <c r="B118" s="12">
        <v>25620</v>
      </c>
      <c r="C118" s="12" t="s">
        <v>5</v>
      </c>
      <c r="D118" s="1"/>
      <c r="F118" s="11">
        <v>39264</v>
      </c>
      <c r="G118" s="12">
        <v>95582</v>
      </c>
      <c r="H118" s="12" t="s">
        <v>16</v>
      </c>
      <c r="L118" s="3">
        <v>41760</v>
      </c>
      <c r="M118" s="5"/>
      <c r="N118" s="5"/>
      <c r="O118" s="5">
        <v>69517</v>
      </c>
      <c r="P118" s="5"/>
      <c r="Q118" s="5">
        <v>16975</v>
      </c>
      <c r="R118" s="5">
        <v>86492</v>
      </c>
      <c r="V118" s="3">
        <v>41760</v>
      </c>
      <c r="W118" s="5">
        <v>7864</v>
      </c>
      <c r="X118" s="5">
        <v>560</v>
      </c>
      <c r="Y118" s="5">
        <v>41931</v>
      </c>
      <c r="Z118" s="5">
        <v>36137</v>
      </c>
      <c r="AA118" s="5">
        <v>86492</v>
      </c>
      <c r="AD118" s="3">
        <v>41760</v>
      </c>
      <c r="AE118">
        <f t="shared" si="5"/>
        <v>7864</v>
      </c>
      <c r="AF118">
        <f t="shared" si="6"/>
        <v>0</v>
      </c>
      <c r="AG118">
        <f t="shared" si="7"/>
        <v>0</v>
      </c>
      <c r="AH118">
        <f t="shared" si="8"/>
        <v>86492</v>
      </c>
      <c r="AI118">
        <f t="shared" si="9"/>
        <v>86492</v>
      </c>
    </row>
    <row r="119" spans="1:35" x14ac:dyDescent="0.25">
      <c r="A119" s="11">
        <v>40026</v>
      </c>
      <c r="B119" s="12">
        <v>144209</v>
      </c>
      <c r="C119" s="12" t="s">
        <v>2</v>
      </c>
      <c r="D119" s="1"/>
      <c r="F119" s="11">
        <v>39264</v>
      </c>
      <c r="G119" s="12">
        <v>1610</v>
      </c>
      <c r="H119" s="12" t="s">
        <v>14</v>
      </c>
      <c r="L119" s="3">
        <v>41791</v>
      </c>
      <c r="M119" s="5"/>
      <c r="N119" s="5"/>
      <c r="O119" s="5">
        <v>72708</v>
      </c>
      <c r="P119" s="5"/>
      <c r="Q119" s="5">
        <v>16247</v>
      </c>
      <c r="R119" s="5">
        <v>88955</v>
      </c>
      <c r="V119" s="3">
        <v>41791</v>
      </c>
      <c r="W119" s="5">
        <v>7314</v>
      </c>
      <c r="X119" s="5">
        <v>140</v>
      </c>
      <c r="Y119" s="5">
        <v>45803</v>
      </c>
      <c r="Z119" s="5">
        <v>35698</v>
      </c>
      <c r="AA119" s="5">
        <v>88955</v>
      </c>
      <c r="AD119" s="3">
        <v>41791</v>
      </c>
      <c r="AE119">
        <f t="shared" si="5"/>
        <v>7314</v>
      </c>
      <c r="AF119">
        <f t="shared" si="6"/>
        <v>0</v>
      </c>
      <c r="AG119">
        <f t="shared" si="7"/>
        <v>0</v>
      </c>
      <c r="AH119">
        <f t="shared" si="8"/>
        <v>88955</v>
      </c>
      <c r="AI119">
        <f t="shared" si="9"/>
        <v>88955</v>
      </c>
    </row>
    <row r="120" spans="1:35" x14ac:dyDescent="0.25">
      <c r="A120" s="11">
        <v>40057</v>
      </c>
      <c r="B120" s="12">
        <v>45076</v>
      </c>
      <c r="C120" s="12" t="s">
        <v>4</v>
      </c>
      <c r="D120" s="1"/>
      <c r="F120" s="11">
        <v>39264</v>
      </c>
      <c r="G120" s="12">
        <v>2</v>
      </c>
      <c r="H120" s="12" t="s">
        <v>29</v>
      </c>
      <c r="L120" s="3">
        <v>41821</v>
      </c>
      <c r="M120" s="5"/>
      <c r="N120" s="5"/>
      <c r="O120" s="5">
        <v>78474</v>
      </c>
      <c r="P120" s="5"/>
      <c r="Q120" s="5">
        <v>14795</v>
      </c>
      <c r="R120" s="5">
        <v>93269</v>
      </c>
      <c r="V120" s="3">
        <v>41821</v>
      </c>
      <c r="W120" s="5">
        <v>6129</v>
      </c>
      <c r="X120" s="5">
        <v>56</v>
      </c>
      <c r="Y120" s="5">
        <v>52996</v>
      </c>
      <c r="Z120" s="5">
        <v>34088</v>
      </c>
      <c r="AA120" s="5">
        <v>93269</v>
      </c>
      <c r="AD120" s="3">
        <v>41821</v>
      </c>
      <c r="AE120">
        <f t="shared" si="5"/>
        <v>6129</v>
      </c>
      <c r="AF120">
        <f t="shared" si="6"/>
        <v>0</v>
      </c>
      <c r="AG120">
        <f t="shared" si="7"/>
        <v>0</v>
      </c>
      <c r="AH120">
        <f t="shared" si="8"/>
        <v>93269</v>
      </c>
      <c r="AI120">
        <f t="shared" si="9"/>
        <v>93269</v>
      </c>
    </row>
    <row r="121" spans="1:35" x14ac:dyDescent="0.25">
      <c r="A121" s="11">
        <v>40057</v>
      </c>
      <c r="B121" s="12">
        <v>22688</v>
      </c>
      <c r="C121" s="12" t="s">
        <v>5</v>
      </c>
      <c r="D121" s="1"/>
      <c r="F121" s="11">
        <v>39295</v>
      </c>
      <c r="G121" s="12">
        <v>71782</v>
      </c>
      <c r="H121" s="12" t="s">
        <v>15</v>
      </c>
      <c r="L121" s="3">
        <v>41852</v>
      </c>
      <c r="M121" s="5"/>
      <c r="N121" s="5"/>
      <c r="O121" s="5">
        <v>91560</v>
      </c>
      <c r="P121" s="5"/>
      <c r="Q121" s="5">
        <v>17303</v>
      </c>
      <c r="R121" s="5">
        <v>108863</v>
      </c>
      <c r="V121" s="3">
        <v>41852</v>
      </c>
      <c r="W121" s="5">
        <v>5322</v>
      </c>
      <c r="X121" s="5"/>
      <c r="Y121" s="5">
        <v>63277</v>
      </c>
      <c r="Z121" s="5">
        <v>40264</v>
      </c>
      <c r="AA121" s="5">
        <v>108863</v>
      </c>
      <c r="AD121" s="3">
        <v>41852</v>
      </c>
      <c r="AE121">
        <f t="shared" si="5"/>
        <v>5322</v>
      </c>
      <c r="AF121">
        <f t="shared" si="6"/>
        <v>0</v>
      </c>
      <c r="AG121">
        <f t="shared" si="7"/>
        <v>0</v>
      </c>
      <c r="AH121">
        <f t="shared" si="8"/>
        <v>108863</v>
      </c>
      <c r="AI121">
        <f t="shared" si="9"/>
        <v>108863</v>
      </c>
    </row>
    <row r="122" spans="1:35" x14ac:dyDescent="0.25">
      <c r="A122" s="11">
        <v>40057</v>
      </c>
      <c r="B122" s="12">
        <v>127083</v>
      </c>
      <c r="C122" s="12" t="s">
        <v>2</v>
      </c>
      <c r="D122" s="1"/>
      <c r="F122" s="11">
        <v>39295</v>
      </c>
      <c r="G122" s="12">
        <v>96673</v>
      </c>
      <c r="H122" s="12" t="s">
        <v>16</v>
      </c>
      <c r="L122" s="3">
        <v>41883</v>
      </c>
      <c r="M122" s="5"/>
      <c r="N122" s="5"/>
      <c r="O122" s="5">
        <v>93456</v>
      </c>
      <c r="P122" s="5"/>
      <c r="Q122" s="5">
        <v>17845</v>
      </c>
      <c r="R122" s="5">
        <v>111301</v>
      </c>
      <c r="V122" s="3">
        <v>41883</v>
      </c>
      <c r="W122" s="5">
        <v>4924</v>
      </c>
      <c r="X122" s="5"/>
      <c r="Y122" s="5">
        <v>63877</v>
      </c>
      <c r="Z122" s="5">
        <v>42500</v>
      </c>
      <c r="AA122" s="5">
        <v>111301</v>
      </c>
      <c r="AD122" s="3">
        <v>41883</v>
      </c>
      <c r="AE122">
        <f t="shared" si="5"/>
        <v>4924</v>
      </c>
      <c r="AF122">
        <f t="shared" si="6"/>
        <v>0</v>
      </c>
      <c r="AG122">
        <f t="shared" si="7"/>
        <v>0</v>
      </c>
      <c r="AH122">
        <f t="shared" si="8"/>
        <v>111301</v>
      </c>
      <c r="AI122">
        <f t="shared" si="9"/>
        <v>111301</v>
      </c>
    </row>
    <row r="123" spans="1:35" x14ac:dyDescent="0.25">
      <c r="A123" s="11">
        <v>40087</v>
      </c>
      <c r="B123" s="12">
        <v>24616</v>
      </c>
      <c r="C123" s="12" t="s">
        <v>4</v>
      </c>
      <c r="D123" s="1"/>
      <c r="F123" s="11">
        <v>39295</v>
      </c>
      <c r="G123" s="12">
        <v>1480</v>
      </c>
      <c r="H123" s="12" t="s">
        <v>14</v>
      </c>
      <c r="L123" s="3">
        <v>41913</v>
      </c>
      <c r="M123" s="5"/>
      <c r="N123" s="5"/>
      <c r="O123" s="5">
        <v>90124</v>
      </c>
      <c r="P123" s="5"/>
      <c r="Q123" s="5">
        <v>18082</v>
      </c>
      <c r="R123" s="5">
        <v>108206</v>
      </c>
      <c r="V123" s="3">
        <v>41913</v>
      </c>
      <c r="W123" s="5">
        <v>5035</v>
      </c>
      <c r="X123" s="5"/>
      <c r="Y123" s="5">
        <v>59599</v>
      </c>
      <c r="Z123" s="5">
        <v>43572</v>
      </c>
      <c r="AA123" s="5">
        <v>108206</v>
      </c>
      <c r="AD123" s="3">
        <v>41913</v>
      </c>
      <c r="AE123">
        <f t="shared" si="5"/>
        <v>5035</v>
      </c>
      <c r="AF123">
        <f t="shared" si="6"/>
        <v>0</v>
      </c>
      <c r="AG123">
        <f t="shared" si="7"/>
        <v>0</v>
      </c>
      <c r="AH123">
        <f t="shared" si="8"/>
        <v>108206</v>
      </c>
      <c r="AI123">
        <f t="shared" si="9"/>
        <v>108206</v>
      </c>
    </row>
    <row r="124" spans="1:35" x14ac:dyDescent="0.25">
      <c r="A124" s="11">
        <v>40087</v>
      </c>
      <c r="B124" s="12">
        <v>16479</v>
      </c>
      <c r="C124" s="12" t="s">
        <v>5</v>
      </c>
      <c r="D124" s="1"/>
      <c r="F124" s="11">
        <v>39295</v>
      </c>
      <c r="G124" s="12">
        <v>1</v>
      </c>
      <c r="H124" s="12" t="s">
        <v>29</v>
      </c>
      <c r="L124" s="3">
        <v>41944</v>
      </c>
      <c r="M124" s="5"/>
      <c r="N124" s="5"/>
      <c r="O124" s="5">
        <v>85481</v>
      </c>
      <c r="P124" s="5"/>
      <c r="Q124" s="5">
        <v>19144</v>
      </c>
      <c r="R124" s="5">
        <v>104625</v>
      </c>
      <c r="V124" s="3">
        <v>41944</v>
      </c>
      <c r="W124" s="5">
        <v>5143</v>
      </c>
      <c r="X124" s="5"/>
      <c r="Y124" s="5">
        <v>53419</v>
      </c>
      <c r="Z124" s="5">
        <v>46063</v>
      </c>
      <c r="AA124" s="5">
        <v>104625</v>
      </c>
      <c r="AD124" s="3">
        <v>41944</v>
      </c>
      <c r="AE124">
        <f t="shared" si="5"/>
        <v>5143</v>
      </c>
      <c r="AF124">
        <f t="shared" si="6"/>
        <v>0</v>
      </c>
      <c r="AG124">
        <f t="shared" si="7"/>
        <v>0</v>
      </c>
      <c r="AH124">
        <f t="shared" si="8"/>
        <v>104625</v>
      </c>
      <c r="AI124">
        <f t="shared" si="9"/>
        <v>104625</v>
      </c>
    </row>
    <row r="125" spans="1:35" x14ac:dyDescent="0.25">
      <c r="A125" s="11">
        <v>40087</v>
      </c>
      <c r="B125" s="12">
        <v>92713</v>
      </c>
      <c r="C125" s="12" t="s">
        <v>2</v>
      </c>
      <c r="D125" s="1"/>
      <c r="F125" s="11">
        <v>39326</v>
      </c>
      <c r="G125" s="12">
        <v>62713</v>
      </c>
      <c r="H125" s="12" t="s">
        <v>15</v>
      </c>
      <c r="L125" s="3">
        <v>41974</v>
      </c>
      <c r="M125" s="5"/>
      <c r="N125" s="5"/>
      <c r="O125" s="5">
        <v>79805</v>
      </c>
      <c r="P125" s="5"/>
      <c r="Q125" s="5">
        <v>19529</v>
      </c>
      <c r="R125" s="5">
        <v>99334</v>
      </c>
      <c r="V125" s="3">
        <v>41974</v>
      </c>
      <c r="W125" s="5">
        <v>4964</v>
      </c>
      <c r="X125" s="5"/>
      <c r="Y125" s="5">
        <v>48357</v>
      </c>
      <c r="Z125" s="5">
        <v>46013</v>
      </c>
      <c r="AA125" s="5">
        <v>99334</v>
      </c>
      <c r="AD125" s="3">
        <v>41974</v>
      </c>
      <c r="AE125">
        <f t="shared" si="5"/>
        <v>4964</v>
      </c>
      <c r="AF125">
        <f t="shared" si="6"/>
        <v>0</v>
      </c>
      <c r="AG125">
        <f t="shared" si="7"/>
        <v>0</v>
      </c>
      <c r="AH125">
        <f t="shared" si="8"/>
        <v>99334</v>
      </c>
      <c r="AI125">
        <f t="shared" si="9"/>
        <v>99334</v>
      </c>
    </row>
    <row r="126" spans="1:35" x14ac:dyDescent="0.25">
      <c r="A126" s="11">
        <v>40118</v>
      </c>
      <c r="B126" s="12">
        <v>20960</v>
      </c>
      <c r="C126" s="12" t="s">
        <v>4</v>
      </c>
      <c r="D126" s="1"/>
      <c r="F126" s="11">
        <v>39326</v>
      </c>
      <c r="G126" s="12">
        <v>93076</v>
      </c>
      <c r="H126" s="12" t="s">
        <v>16</v>
      </c>
      <c r="L126" s="3">
        <v>42005</v>
      </c>
      <c r="M126" s="5"/>
      <c r="N126" s="5"/>
      <c r="O126" s="5">
        <v>73815</v>
      </c>
      <c r="P126" s="5"/>
      <c r="Q126" s="5">
        <v>22919</v>
      </c>
      <c r="R126" s="5">
        <v>96734</v>
      </c>
      <c r="V126" s="3">
        <v>42005</v>
      </c>
      <c r="W126" s="5">
        <v>4311</v>
      </c>
      <c r="X126" s="5"/>
      <c r="Y126" s="5">
        <v>40697</v>
      </c>
      <c r="Z126" s="5">
        <v>51726</v>
      </c>
      <c r="AA126" s="5">
        <v>96734</v>
      </c>
      <c r="AD126" s="3">
        <v>42005</v>
      </c>
      <c r="AE126">
        <f t="shared" si="5"/>
        <v>4311</v>
      </c>
      <c r="AF126">
        <f t="shared" si="6"/>
        <v>0</v>
      </c>
      <c r="AG126">
        <f t="shared" si="7"/>
        <v>0</v>
      </c>
      <c r="AH126">
        <f t="shared" si="8"/>
        <v>96734</v>
      </c>
      <c r="AI126">
        <f t="shared" si="9"/>
        <v>96734</v>
      </c>
    </row>
    <row r="127" spans="1:35" x14ac:dyDescent="0.25">
      <c r="A127" s="11">
        <v>40118</v>
      </c>
      <c r="B127" s="12">
        <v>13189</v>
      </c>
      <c r="C127" s="12" t="s">
        <v>5</v>
      </c>
      <c r="D127" s="1"/>
      <c r="F127" s="11">
        <v>39326</v>
      </c>
      <c r="G127" s="12">
        <v>1553</v>
      </c>
      <c r="H127" s="12" t="s">
        <v>14</v>
      </c>
      <c r="L127" s="3">
        <v>42036</v>
      </c>
      <c r="M127" s="5"/>
      <c r="N127" s="5"/>
      <c r="O127" s="5">
        <v>77853</v>
      </c>
      <c r="P127" s="5"/>
      <c r="Q127" s="5">
        <v>22297</v>
      </c>
      <c r="R127" s="5">
        <v>100150</v>
      </c>
      <c r="V127" s="3">
        <v>42036</v>
      </c>
      <c r="W127" s="5">
        <v>4514</v>
      </c>
      <c r="X127" s="5"/>
      <c r="Y127" s="5">
        <v>43294</v>
      </c>
      <c r="Z127" s="5">
        <v>52342</v>
      </c>
      <c r="AA127" s="5">
        <v>100150</v>
      </c>
      <c r="AD127" s="3">
        <v>42036</v>
      </c>
      <c r="AE127">
        <f t="shared" si="5"/>
        <v>4514</v>
      </c>
      <c r="AF127">
        <f t="shared" si="6"/>
        <v>0</v>
      </c>
      <c r="AG127">
        <f t="shared" si="7"/>
        <v>0</v>
      </c>
      <c r="AH127">
        <f t="shared" si="8"/>
        <v>100150</v>
      </c>
      <c r="AI127">
        <f t="shared" si="9"/>
        <v>100150</v>
      </c>
    </row>
    <row r="128" spans="1:35" x14ac:dyDescent="0.25">
      <c r="A128" s="11">
        <v>40118</v>
      </c>
      <c r="B128" s="12">
        <v>84925</v>
      </c>
      <c r="C128" s="12" t="s">
        <v>2</v>
      </c>
      <c r="D128" s="1"/>
      <c r="F128" s="11">
        <v>39326</v>
      </c>
      <c r="G128" s="12">
        <v>3</v>
      </c>
      <c r="H128" s="12" t="s">
        <v>29</v>
      </c>
      <c r="L128" s="3">
        <v>42064</v>
      </c>
      <c r="M128" s="5"/>
      <c r="N128" s="5"/>
      <c r="O128" s="5">
        <v>66551</v>
      </c>
      <c r="P128" s="5"/>
      <c r="Q128" s="5">
        <v>25518</v>
      </c>
      <c r="R128" s="5">
        <v>92069</v>
      </c>
      <c r="V128" s="3">
        <v>42064</v>
      </c>
      <c r="W128" s="5">
        <v>4027</v>
      </c>
      <c r="X128" s="5"/>
      <c r="Y128" s="5">
        <v>31801</v>
      </c>
      <c r="Z128" s="5">
        <v>56241</v>
      </c>
      <c r="AA128" s="5">
        <v>92069</v>
      </c>
      <c r="AD128" s="3">
        <v>42064</v>
      </c>
      <c r="AE128">
        <f t="shared" si="5"/>
        <v>4027</v>
      </c>
      <c r="AF128">
        <f t="shared" si="6"/>
        <v>0</v>
      </c>
      <c r="AG128">
        <f t="shared" si="7"/>
        <v>0</v>
      </c>
      <c r="AH128">
        <f t="shared" si="8"/>
        <v>92069</v>
      </c>
      <c r="AI128">
        <f t="shared" si="9"/>
        <v>92069</v>
      </c>
    </row>
    <row r="129" spans="1:35" x14ac:dyDescent="0.25">
      <c r="A129" s="11">
        <v>40148</v>
      </c>
      <c r="B129" s="12">
        <v>26485</v>
      </c>
      <c r="C129" s="12" t="s">
        <v>4</v>
      </c>
      <c r="D129" s="1"/>
      <c r="F129" s="11">
        <v>39356</v>
      </c>
      <c r="G129" s="12">
        <v>58706</v>
      </c>
      <c r="H129" s="12" t="s">
        <v>15</v>
      </c>
      <c r="L129" s="3">
        <v>42095</v>
      </c>
      <c r="M129" s="5"/>
      <c r="N129" s="5"/>
      <c r="O129" s="5">
        <v>79384</v>
      </c>
      <c r="P129" s="5"/>
      <c r="Q129" s="5">
        <v>36949</v>
      </c>
      <c r="R129" s="5">
        <v>116333</v>
      </c>
      <c r="V129" s="3">
        <v>42095</v>
      </c>
      <c r="W129" s="5">
        <v>4313</v>
      </c>
      <c r="X129" s="5"/>
      <c r="Y129" s="5">
        <v>35520</v>
      </c>
      <c r="Z129" s="5">
        <v>76500</v>
      </c>
      <c r="AA129" s="5">
        <v>116333</v>
      </c>
      <c r="AD129" s="3">
        <v>42095</v>
      </c>
      <c r="AE129">
        <f t="shared" si="5"/>
        <v>4313</v>
      </c>
      <c r="AF129">
        <f t="shared" si="6"/>
        <v>0</v>
      </c>
      <c r="AG129">
        <f t="shared" si="7"/>
        <v>0</v>
      </c>
      <c r="AH129">
        <f t="shared" si="8"/>
        <v>116333</v>
      </c>
      <c r="AI129">
        <f t="shared" si="9"/>
        <v>116333</v>
      </c>
    </row>
    <row r="130" spans="1:35" x14ac:dyDescent="0.25">
      <c r="A130" s="11">
        <v>40148</v>
      </c>
      <c r="B130" s="12">
        <v>18596</v>
      </c>
      <c r="C130" s="12" t="s">
        <v>5</v>
      </c>
      <c r="D130" s="1"/>
      <c r="F130" s="11">
        <v>39356</v>
      </c>
      <c r="G130" s="12">
        <v>89900</v>
      </c>
      <c r="H130" s="12" t="s">
        <v>16</v>
      </c>
      <c r="L130" s="3">
        <v>42125</v>
      </c>
      <c r="M130" s="5"/>
      <c r="N130" s="5"/>
      <c r="O130" s="5">
        <v>108047</v>
      </c>
      <c r="P130" s="5"/>
      <c r="Q130" s="5">
        <v>41559</v>
      </c>
      <c r="R130" s="5">
        <v>149606</v>
      </c>
      <c r="V130" s="3">
        <v>42125</v>
      </c>
      <c r="W130" s="5">
        <v>4902</v>
      </c>
      <c r="X130" s="5"/>
      <c r="Y130" s="5">
        <v>50658</v>
      </c>
      <c r="Z130" s="5">
        <v>94046</v>
      </c>
      <c r="AA130" s="5">
        <v>149606</v>
      </c>
      <c r="AD130" s="3">
        <v>42125</v>
      </c>
      <c r="AE130">
        <f t="shared" si="5"/>
        <v>4902</v>
      </c>
      <c r="AF130">
        <f t="shared" si="6"/>
        <v>0</v>
      </c>
      <c r="AG130">
        <f t="shared" si="7"/>
        <v>0</v>
      </c>
      <c r="AH130">
        <f t="shared" si="8"/>
        <v>149606</v>
      </c>
      <c r="AI130">
        <f t="shared" si="9"/>
        <v>149606</v>
      </c>
    </row>
    <row r="131" spans="1:35" x14ac:dyDescent="0.25">
      <c r="A131" s="11">
        <v>40148</v>
      </c>
      <c r="B131" s="12">
        <v>96440</v>
      </c>
      <c r="C131" s="12" t="s">
        <v>2</v>
      </c>
      <c r="D131" s="1"/>
      <c r="F131" s="11">
        <v>39356</v>
      </c>
      <c r="G131" s="12">
        <v>1532</v>
      </c>
      <c r="H131" s="12" t="s">
        <v>14</v>
      </c>
      <c r="L131" s="3">
        <v>42156</v>
      </c>
      <c r="M131" s="5"/>
      <c r="N131" s="5"/>
      <c r="O131" s="5">
        <v>106375</v>
      </c>
      <c r="P131" s="5"/>
      <c r="Q131" s="5">
        <v>32104</v>
      </c>
      <c r="R131" s="5">
        <v>138479</v>
      </c>
      <c r="V131" s="3">
        <v>42156</v>
      </c>
      <c r="W131" s="5">
        <v>4601</v>
      </c>
      <c r="X131" s="5"/>
      <c r="Y131" s="5">
        <v>55517</v>
      </c>
      <c r="Z131" s="5">
        <v>78361</v>
      </c>
      <c r="AA131" s="5">
        <v>138479</v>
      </c>
      <c r="AD131" s="3">
        <v>42156</v>
      </c>
      <c r="AE131">
        <f t="shared" si="5"/>
        <v>4601</v>
      </c>
      <c r="AF131">
        <f t="shared" si="6"/>
        <v>0</v>
      </c>
      <c r="AG131">
        <f t="shared" si="7"/>
        <v>0</v>
      </c>
      <c r="AH131">
        <f t="shared" si="8"/>
        <v>138479</v>
      </c>
      <c r="AI131">
        <f t="shared" si="9"/>
        <v>138479</v>
      </c>
    </row>
    <row r="132" spans="1:35" x14ac:dyDescent="0.25">
      <c r="A132" s="11">
        <v>40179</v>
      </c>
      <c r="B132" s="12">
        <v>27581</v>
      </c>
      <c r="C132" s="12" t="s">
        <v>4</v>
      </c>
      <c r="D132" s="1"/>
      <c r="F132" s="11">
        <v>39356</v>
      </c>
      <c r="G132" s="12">
        <v>4</v>
      </c>
      <c r="H132" s="12" t="s">
        <v>29</v>
      </c>
      <c r="L132" s="3">
        <v>42186</v>
      </c>
      <c r="M132" s="5"/>
      <c r="N132" s="5"/>
      <c r="O132" s="5">
        <v>104371</v>
      </c>
      <c r="P132" s="5"/>
      <c r="Q132" s="5">
        <v>27611</v>
      </c>
      <c r="R132" s="5">
        <v>131982</v>
      </c>
      <c r="V132" s="3">
        <v>42186</v>
      </c>
      <c r="W132" s="5">
        <v>3819</v>
      </c>
      <c r="X132" s="5"/>
      <c r="Y132" s="5">
        <v>60315</v>
      </c>
      <c r="Z132" s="5">
        <v>67848</v>
      </c>
      <c r="AA132" s="5">
        <v>131982</v>
      </c>
      <c r="AD132" s="3">
        <v>42186</v>
      </c>
      <c r="AE132">
        <f t="shared" si="5"/>
        <v>3819</v>
      </c>
      <c r="AF132">
        <f t="shared" si="6"/>
        <v>0</v>
      </c>
      <c r="AG132">
        <f t="shared" si="7"/>
        <v>0</v>
      </c>
      <c r="AH132">
        <f t="shared" si="8"/>
        <v>131982</v>
      </c>
      <c r="AI132">
        <f t="shared" si="9"/>
        <v>131982</v>
      </c>
    </row>
    <row r="133" spans="1:35" x14ac:dyDescent="0.25">
      <c r="A133" s="11">
        <v>40179</v>
      </c>
      <c r="B133" s="12">
        <v>24193</v>
      </c>
      <c r="C133" s="12" t="s">
        <v>5</v>
      </c>
      <c r="D133" s="1"/>
      <c r="F133" s="11">
        <v>39387</v>
      </c>
      <c r="G133" s="12">
        <v>62425</v>
      </c>
      <c r="H133" s="12" t="s">
        <v>15</v>
      </c>
      <c r="L133" s="3">
        <v>42217</v>
      </c>
      <c r="M133" s="5"/>
      <c r="N133" s="5"/>
      <c r="O133" s="5">
        <v>108316</v>
      </c>
      <c r="P133" s="5"/>
      <c r="Q133" s="5">
        <v>22441</v>
      </c>
      <c r="R133" s="5">
        <v>130757</v>
      </c>
      <c r="V133" s="3">
        <v>42217</v>
      </c>
      <c r="W133" s="5">
        <v>3730</v>
      </c>
      <c r="X133" s="5"/>
      <c r="Y133" s="5">
        <v>65562</v>
      </c>
      <c r="Z133" s="5">
        <v>61465</v>
      </c>
      <c r="AA133" s="5">
        <v>130757</v>
      </c>
      <c r="AD133" s="3">
        <v>42217</v>
      </c>
      <c r="AE133">
        <f t="shared" si="5"/>
        <v>3730</v>
      </c>
      <c r="AF133">
        <f t="shared" si="6"/>
        <v>0</v>
      </c>
      <c r="AG133">
        <f t="shared" si="7"/>
        <v>0</v>
      </c>
      <c r="AH133">
        <f t="shared" si="8"/>
        <v>130757</v>
      </c>
      <c r="AI133">
        <f t="shared" si="9"/>
        <v>130757</v>
      </c>
    </row>
    <row r="134" spans="1:35" x14ac:dyDescent="0.25">
      <c r="A134" s="11">
        <v>40179</v>
      </c>
      <c r="B134" s="12">
        <v>98197</v>
      </c>
      <c r="C134" s="12" t="s">
        <v>2</v>
      </c>
      <c r="D134" s="1"/>
      <c r="F134" s="11">
        <v>39387</v>
      </c>
      <c r="G134" s="12">
        <v>75591</v>
      </c>
      <c r="H134" s="12" t="s">
        <v>16</v>
      </c>
      <c r="L134" s="3">
        <v>42248</v>
      </c>
      <c r="M134" s="5"/>
      <c r="N134" s="5"/>
      <c r="O134" s="5">
        <v>103703</v>
      </c>
      <c r="P134" s="5"/>
      <c r="Q134" s="5">
        <v>18079</v>
      </c>
      <c r="R134" s="5">
        <v>121782</v>
      </c>
      <c r="V134" s="3">
        <v>42248</v>
      </c>
      <c r="W134" s="5">
        <v>3246</v>
      </c>
      <c r="X134" s="5"/>
      <c r="Y134" s="5">
        <v>64902</v>
      </c>
      <c r="Z134" s="5">
        <v>53634</v>
      </c>
      <c r="AA134" s="5">
        <v>121782</v>
      </c>
      <c r="AD134" s="3">
        <v>42248</v>
      </c>
      <c r="AE134">
        <f t="shared" si="5"/>
        <v>3246</v>
      </c>
      <c r="AF134">
        <f t="shared" si="6"/>
        <v>0</v>
      </c>
      <c r="AG134">
        <f t="shared" si="7"/>
        <v>0</v>
      </c>
      <c r="AH134">
        <f t="shared" si="8"/>
        <v>121782</v>
      </c>
      <c r="AI134">
        <f t="shared" si="9"/>
        <v>121782</v>
      </c>
    </row>
    <row r="135" spans="1:35" x14ac:dyDescent="0.25">
      <c r="A135" s="11">
        <v>40210</v>
      </c>
      <c r="B135" s="12">
        <v>29818</v>
      </c>
      <c r="C135" s="12" t="s">
        <v>4</v>
      </c>
      <c r="D135" s="1"/>
      <c r="F135" s="11">
        <v>39387</v>
      </c>
      <c r="G135" s="12">
        <v>1645</v>
      </c>
      <c r="H135" s="12" t="s">
        <v>14</v>
      </c>
      <c r="L135" s="3">
        <v>42278</v>
      </c>
      <c r="M135" s="5"/>
      <c r="N135" s="5"/>
      <c r="O135" s="5">
        <v>98950</v>
      </c>
      <c r="P135" s="5"/>
      <c r="Q135" s="5">
        <v>17283</v>
      </c>
      <c r="R135" s="5">
        <v>116233</v>
      </c>
      <c r="V135" s="3">
        <v>42278</v>
      </c>
      <c r="W135" s="5">
        <v>3222</v>
      </c>
      <c r="X135" s="5"/>
      <c r="Y135" s="5">
        <v>61982</v>
      </c>
      <c r="Z135" s="5">
        <v>51029</v>
      </c>
      <c r="AA135" s="5">
        <v>116233</v>
      </c>
      <c r="AD135" s="3">
        <v>42278</v>
      </c>
      <c r="AE135">
        <f t="shared" ref="AE135:AE140" si="10">VLOOKUP(AD135,V:AA,2,0)</f>
        <v>3222</v>
      </c>
      <c r="AF135">
        <f t="shared" ref="AF135:AF140" si="11">VLOOKUP(AD135,L:R,3,0)</f>
        <v>0</v>
      </c>
      <c r="AG135">
        <f t="shared" ref="AG135:AG140" si="12">AF135/AE135</f>
        <v>0</v>
      </c>
      <c r="AH135">
        <f t="shared" ref="AH135:AH140" si="13">VLOOKUP(AD135,V:AA,6,0)</f>
        <v>116233</v>
      </c>
      <c r="AI135">
        <f t="shared" ref="AI135:AI140" si="14">VLOOKUP(AD135,L:R,7,0)</f>
        <v>116233</v>
      </c>
    </row>
    <row r="136" spans="1:35" x14ac:dyDescent="0.25">
      <c r="A136" s="11">
        <v>40210</v>
      </c>
      <c r="B136" s="12">
        <v>27350</v>
      </c>
      <c r="C136" s="12" t="s">
        <v>5</v>
      </c>
      <c r="D136" s="1"/>
      <c r="F136" s="11">
        <v>39387</v>
      </c>
      <c r="G136" s="12">
        <v>3</v>
      </c>
      <c r="H136" s="12" t="s">
        <v>29</v>
      </c>
      <c r="L136" s="3">
        <v>42309</v>
      </c>
      <c r="M136" s="5"/>
      <c r="N136" s="5"/>
      <c r="O136" s="5">
        <v>96289</v>
      </c>
      <c r="P136" s="5"/>
      <c r="Q136" s="5">
        <v>18429</v>
      </c>
      <c r="R136" s="5">
        <v>114718</v>
      </c>
      <c r="V136" s="3">
        <v>42309</v>
      </c>
      <c r="W136" s="5">
        <v>3122</v>
      </c>
      <c r="X136" s="5"/>
      <c r="Y136" s="5">
        <v>57151</v>
      </c>
      <c r="Z136" s="5">
        <v>54445</v>
      </c>
      <c r="AA136" s="5">
        <v>114718</v>
      </c>
      <c r="AD136" s="3">
        <v>42309</v>
      </c>
      <c r="AE136">
        <f t="shared" si="10"/>
        <v>3122</v>
      </c>
      <c r="AF136">
        <f t="shared" si="11"/>
        <v>0</v>
      </c>
      <c r="AG136">
        <f t="shared" si="12"/>
        <v>0</v>
      </c>
      <c r="AH136">
        <f t="shared" si="13"/>
        <v>114718</v>
      </c>
      <c r="AI136">
        <f t="shared" si="14"/>
        <v>114718</v>
      </c>
    </row>
    <row r="137" spans="1:35" x14ac:dyDescent="0.25">
      <c r="A137" s="11">
        <v>40210</v>
      </c>
      <c r="B137" s="12">
        <v>99833</v>
      </c>
      <c r="C137" s="12" t="s">
        <v>2</v>
      </c>
      <c r="D137" s="1"/>
      <c r="F137" s="11">
        <v>39417</v>
      </c>
      <c r="G137" s="12">
        <v>74713</v>
      </c>
      <c r="H137" s="12" t="s">
        <v>15</v>
      </c>
      <c r="L137" s="3">
        <v>42339</v>
      </c>
      <c r="M137" s="5"/>
      <c r="N137" s="5"/>
      <c r="O137" s="5">
        <v>91881</v>
      </c>
      <c r="P137" s="5"/>
      <c r="Q137" s="5">
        <v>19457</v>
      </c>
      <c r="R137" s="5">
        <v>111338</v>
      </c>
      <c r="V137" s="3">
        <v>42339</v>
      </c>
      <c r="W137" s="5">
        <v>2924</v>
      </c>
      <c r="X137" s="5"/>
      <c r="Y137" s="5">
        <v>52121</v>
      </c>
      <c r="Z137" s="5">
        <v>56293</v>
      </c>
      <c r="AA137" s="5">
        <v>111338</v>
      </c>
      <c r="AD137" s="3">
        <v>42339</v>
      </c>
      <c r="AE137">
        <f t="shared" si="10"/>
        <v>2924</v>
      </c>
      <c r="AF137">
        <f t="shared" si="11"/>
        <v>0</v>
      </c>
      <c r="AG137">
        <f t="shared" si="12"/>
        <v>0</v>
      </c>
      <c r="AH137">
        <f t="shared" si="13"/>
        <v>111338</v>
      </c>
      <c r="AI137">
        <f t="shared" si="14"/>
        <v>111338</v>
      </c>
    </row>
    <row r="138" spans="1:35" x14ac:dyDescent="0.25">
      <c r="A138" s="11">
        <v>40238</v>
      </c>
      <c r="B138" s="12">
        <v>25147</v>
      </c>
      <c r="C138" s="12" t="s">
        <v>4</v>
      </c>
      <c r="D138" s="1"/>
      <c r="F138" s="11">
        <v>39417</v>
      </c>
      <c r="G138" s="12">
        <v>71078</v>
      </c>
      <c r="H138" s="12" t="s">
        <v>16</v>
      </c>
      <c r="L138" s="3">
        <v>42370</v>
      </c>
      <c r="M138" s="5"/>
      <c r="N138" s="5"/>
      <c r="O138" s="5">
        <v>72646</v>
      </c>
      <c r="P138" s="5"/>
      <c r="Q138" s="5">
        <v>16961</v>
      </c>
      <c r="R138" s="5">
        <v>89607</v>
      </c>
      <c r="V138" s="3">
        <v>42370</v>
      </c>
      <c r="W138" s="5">
        <v>2083</v>
      </c>
      <c r="X138" s="5"/>
      <c r="Y138" s="5">
        <v>39267</v>
      </c>
      <c r="Z138" s="5">
        <v>48257</v>
      </c>
      <c r="AA138" s="5">
        <v>89607</v>
      </c>
      <c r="AD138" s="3">
        <v>42370</v>
      </c>
      <c r="AE138">
        <f t="shared" si="10"/>
        <v>2083</v>
      </c>
      <c r="AF138">
        <f t="shared" si="11"/>
        <v>0</v>
      </c>
      <c r="AG138">
        <f t="shared" si="12"/>
        <v>0</v>
      </c>
      <c r="AH138">
        <f t="shared" si="13"/>
        <v>89607</v>
      </c>
      <c r="AI138">
        <f t="shared" si="14"/>
        <v>89607</v>
      </c>
    </row>
    <row r="139" spans="1:35" x14ac:dyDescent="0.25">
      <c r="A139" s="11">
        <v>40238</v>
      </c>
      <c r="B139" s="12">
        <v>25447</v>
      </c>
      <c r="C139" s="12" t="s">
        <v>5</v>
      </c>
      <c r="D139" s="1"/>
      <c r="F139" s="11">
        <v>39417</v>
      </c>
      <c r="G139" s="12">
        <v>1747</v>
      </c>
      <c r="H139" s="12" t="s">
        <v>14</v>
      </c>
      <c r="L139" s="3">
        <v>42401</v>
      </c>
      <c r="M139" s="5"/>
      <c r="N139" s="5"/>
      <c r="O139" s="5">
        <v>49433</v>
      </c>
      <c r="P139" s="5"/>
      <c r="Q139" s="5">
        <v>10098</v>
      </c>
      <c r="R139" s="5">
        <v>59531</v>
      </c>
      <c r="V139" s="3">
        <v>42401</v>
      </c>
      <c r="W139" s="5">
        <v>1595</v>
      </c>
      <c r="X139" s="5"/>
      <c r="Y139" s="5">
        <v>26581</v>
      </c>
      <c r="Z139" s="5">
        <v>31355</v>
      </c>
      <c r="AA139" s="5">
        <v>59531</v>
      </c>
      <c r="AD139" s="3">
        <v>42401</v>
      </c>
      <c r="AE139">
        <f t="shared" si="10"/>
        <v>1595</v>
      </c>
      <c r="AF139">
        <f t="shared" si="11"/>
        <v>0</v>
      </c>
      <c r="AG139">
        <f t="shared" si="12"/>
        <v>0</v>
      </c>
      <c r="AH139">
        <f t="shared" si="13"/>
        <v>59531</v>
      </c>
      <c r="AI139">
        <f t="shared" si="14"/>
        <v>59531</v>
      </c>
    </row>
    <row r="140" spans="1:35" x14ac:dyDescent="0.25">
      <c r="A140" s="11">
        <v>40238</v>
      </c>
      <c r="B140" s="12">
        <v>84489</v>
      </c>
      <c r="C140" s="12" t="s">
        <v>2</v>
      </c>
      <c r="D140" s="1"/>
      <c r="F140" s="11">
        <v>39417</v>
      </c>
      <c r="G140" s="12">
        <v>7</v>
      </c>
      <c r="H140" s="12" t="s">
        <v>29</v>
      </c>
      <c r="L140" s="3">
        <v>42430</v>
      </c>
      <c r="M140" s="5"/>
      <c r="N140" s="5"/>
      <c r="O140" s="5">
        <v>2050</v>
      </c>
      <c r="P140" s="5"/>
      <c r="Q140" s="5">
        <v>714</v>
      </c>
      <c r="R140" s="5">
        <v>2764</v>
      </c>
      <c r="V140" s="3">
        <v>42430</v>
      </c>
      <c r="W140" s="5">
        <v>154</v>
      </c>
      <c r="X140" s="5"/>
      <c r="Y140" s="5">
        <v>987</v>
      </c>
      <c r="Z140" s="5">
        <v>1623</v>
      </c>
      <c r="AA140" s="5">
        <v>2764</v>
      </c>
      <c r="AD140" s="3">
        <v>42430</v>
      </c>
      <c r="AE140">
        <f t="shared" si="10"/>
        <v>154</v>
      </c>
      <c r="AF140">
        <f t="shared" si="11"/>
        <v>0</v>
      </c>
      <c r="AG140">
        <f t="shared" si="12"/>
        <v>0</v>
      </c>
      <c r="AH140">
        <f t="shared" si="13"/>
        <v>2764</v>
      </c>
      <c r="AI140">
        <f t="shared" si="14"/>
        <v>2764</v>
      </c>
    </row>
    <row r="141" spans="1:35" x14ac:dyDescent="0.25">
      <c r="A141" s="11">
        <v>40269</v>
      </c>
      <c r="B141" s="12">
        <v>17822</v>
      </c>
      <c r="C141" s="12" t="s">
        <v>4</v>
      </c>
      <c r="D141" s="1"/>
      <c r="F141" s="11">
        <v>39448</v>
      </c>
      <c r="G141" s="12">
        <v>64521</v>
      </c>
      <c r="H141" s="12" t="s">
        <v>15</v>
      </c>
      <c r="L141" s="3" t="s">
        <v>9</v>
      </c>
      <c r="M141" s="5">
        <v>1091640</v>
      </c>
      <c r="N141" s="5">
        <v>1601138</v>
      </c>
      <c r="O141" s="5">
        <v>12508582</v>
      </c>
      <c r="P141" s="5">
        <v>1549427</v>
      </c>
      <c r="Q141" s="5">
        <v>487077</v>
      </c>
      <c r="R141" s="5">
        <v>17237864</v>
      </c>
      <c r="V141" s="3" t="s">
        <v>9</v>
      </c>
      <c r="W141" s="5">
        <v>1441649</v>
      </c>
      <c r="X141" s="5">
        <v>80964</v>
      </c>
      <c r="Y141" s="5">
        <v>5632706</v>
      </c>
      <c r="Z141" s="5">
        <v>10082545</v>
      </c>
      <c r="AA141" s="5">
        <v>17237864</v>
      </c>
    </row>
    <row r="142" spans="1:35" x14ac:dyDescent="0.25">
      <c r="A142" s="11">
        <v>40269</v>
      </c>
      <c r="B142" s="12">
        <v>18219</v>
      </c>
      <c r="C142" s="12" t="s">
        <v>5</v>
      </c>
      <c r="D142" s="1"/>
      <c r="F142" s="11">
        <v>39448</v>
      </c>
      <c r="G142" s="12">
        <v>61423</v>
      </c>
      <c r="H142" s="12" t="s">
        <v>16</v>
      </c>
    </row>
    <row r="143" spans="1:35" x14ac:dyDescent="0.25">
      <c r="A143" s="11">
        <v>40269</v>
      </c>
      <c r="B143" s="12">
        <v>76132</v>
      </c>
      <c r="C143" s="12" t="s">
        <v>2</v>
      </c>
      <c r="D143" s="1"/>
      <c r="F143" s="11">
        <v>39448</v>
      </c>
      <c r="G143" s="12">
        <v>1342</v>
      </c>
      <c r="H143" s="12" t="s">
        <v>14</v>
      </c>
    </row>
    <row r="144" spans="1:35" x14ac:dyDescent="0.25">
      <c r="A144" s="11">
        <v>40299</v>
      </c>
      <c r="B144" s="12">
        <v>16871</v>
      </c>
      <c r="C144" s="12" t="s">
        <v>4</v>
      </c>
      <c r="D144" s="1"/>
      <c r="F144" s="11">
        <v>39448</v>
      </c>
      <c r="G144" s="12">
        <v>7</v>
      </c>
      <c r="H144" s="12" t="s">
        <v>29</v>
      </c>
    </row>
    <row r="145" spans="1:8" x14ac:dyDescent="0.25">
      <c r="A145" s="11">
        <v>40299</v>
      </c>
      <c r="B145" s="12">
        <v>22090</v>
      </c>
      <c r="C145" s="12" t="s">
        <v>5</v>
      </c>
      <c r="D145" s="1"/>
      <c r="F145" s="11">
        <v>39479</v>
      </c>
      <c r="G145" s="12">
        <v>84864</v>
      </c>
      <c r="H145" s="12" t="s">
        <v>15</v>
      </c>
    </row>
    <row r="146" spans="1:8" x14ac:dyDescent="0.25">
      <c r="A146" s="11">
        <v>40299</v>
      </c>
      <c r="B146" s="12">
        <v>89646</v>
      </c>
      <c r="C146" s="12" t="s">
        <v>2</v>
      </c>
      <c r="D146" s="1"/>
      <c r="F146" s="11">
        <v>39479</v>
      </c>
      <c r="G146" s="12">
        <v>60885</v>
      </c>
      <c r="H146" s="12" t="s">
        <v>16</v>
      </c>
    </row>
    <row r="147" spans="1:8" x14ac:dyDescent="0.25">
      <c r="A147" s="11">
        <v>40330</v>
      </c>
      <c r="B147" s="12">
        <v>14743</v>
      </c>
      <c r="C147" s="12" t="s">
        <v>4</v>
      </c>
      <c r="D147" s="1"/>
      <c r="F147" s="11">
        <v>39479</v>
      </c>
      <c r="G147" s="12">
        <v>1534</v>
      </c>
      <c r="H147" s="12" t="s">
        <v>14</v>
      </c>
    </row>
    <row r="148" spans="1:8" x14ac:dyDescent="0.25">
      <c r="A148" s="11">
        <v>40330</v>
      </c>
      <c r="B148" s="12">
        <v>20516</v>
      </c>
      <c r="C148" s="12" t="s">
        <v>5</v>
      </c>
      <c r="D148" s="1"/>
      <c r="F148" s="11">
        <v>39479</v>
      </c>
      <c r="G148" s="12">
        <v>13</v>
      </c>
      <c r="H148" s="12" t="s">
        <v>29</v>
      </c>
    </row>
    <row r="149" spans="1:8" x14ac:dyDescent="0.25">
      <c r="A149" s="11">
        <v>40330</v>
      </c>
      <c r="B149" s="12">
        <v>89391</v>
      </c>
      <c r="C149" s="12" t="s">
        <v>2</v>
      </c>
      <c r="D149" s="1"/>
      <c r="F149" s="11">
        <v>39508</v>
      </c>
      <c r="G149" s="12">
        <v>85516</v>
      </c>
      <c r="H149" s="12" t="s">
        <v>15</v>
      </c>
    </row>
    <row r="150" spans="1:8" x14ac:dyDescent="0.25">
      <c r="A150" s="11">
        <v>40360</v>
      </c>
      <c r="B150" s="12">
        <v>11942</v>
      </c>
      <c r="C150" s="12" t="s">
        <v>4</v>
      </c>
      <c r="D150" s="1"/>
      <c r="F150" s="11">
        <v>39508</v>
      </c>
      <c r="G150" s="12">
        <v>46033</v>
      </c>
      <c r="H150" s="12" t="s">
        <v>16</v>
      </c>
    </row>
    <row r="151" spans="1:8" x14ac:dyDescent="0.25">
      <c r="A151" s="11">
        <v>40360</v>
      </c>
      <c r="B151" s="12">
        <v>16163</v>
      </c>
      <c r="C151" s="12" t="s">
        <v>5</v>
      </c>
      <c r="D151" s="1"/>
      <c r="F151" s="11">
        <v>39508</v>
      </c>
      <c r="G151" s="12">
        <v>1300</v>
      </c>
      <c r="H151" s="12" t="s">
        <v>14</v>
      </c>
    </row>
    <row r="152" spans="1:8" x14ac:dyDescent="0.25">
      <c r="A152" s="11">
        <v>40360</v>
      </c>
      <c r="B152" s="12">
        <v>86326</v>
      </c>
      <c r="C152" s="12" t="s">
        <v>2</v>
      </c>
      <c r="D152" s="1"/>
      <c r="F152" s="11">
        <v>39508</v>
      </c>
      <c r="G152" s="12">
        <v>15</v>
      </c>
      <c r="H152" s="12" t="s">
        <v>29</v>
      </c>
    </row>
    <row r="153" spans="1:8" x14ac:dyDescent="0.25">
      <c r="A153" s="11">
        <v>40391</v>
      </c>
      <c r="B153" s="12">
        <v>16486</v>
      </c>
      <c r="C153" s="12" t="s">
        <v>4</v>
      </c>
      <c r="D153" s="1"/>
      <c r="F153" s="11">
        <v>39539</v>
      </c>
      <c r="G153" s="12">
        <v>149351</v>
      </c>
      <c r="H153" s="12" t="s">
        <v>15</v>
      </c>
    </row>
    <row r="154" spans="1:8" x14ac:dyDescent="0.25">
      <c r="A154" s="11">
        <v>40391</v>
      </c>
      <c r="B154" s="12">
        <v>22576</v>
      </c>
      <c r="C154" s="12" t="s">
        <v>5</v>
      </c>
      <c r="D154" s="1"/>
      <c r="F154" s="11">
        <v>39539</v>
      </c>
      <c r="G154" s="12">
        <v>50715</v>
      </c>
      <c r="H154" s="12" t="s">
        <v>16</v>
      </c>
    </row>
    <row r="155" spans="1:8" x14ac:dyDescent="0.25">
      <c r="A155" s="11">
        <v>40391</v>
      </c>
      <c r="B155" s="12">
        <v>93314</v>
      </c>
      <c r="C155" s="12" t="s">
        <v>2</v>
      </c>
      <c r="D155" s="1"/>
      <c r="F155" s="11">
        <v>39539</v>
      </c>
      <c r="G155" s="12">
        <v>1805</v>
      </c>
      <c r="H155" s="12" t="s">
        <v>14</v>
      </c>
    </row>
    <row r="156" spans="1:8" x14ac:dyDescent="0.25">
      <c r="A156" s="11">
        <v>40422</v>
      </c>
      <c r="B156" s="12">
        <v>22364</v>
      </c>
      <c r="C156" s="12" t="s">
        <v>4</v>
      </c>
      <c r="D156" s="1"/>
      <c r="F156" s="11">
        <v>39539</v>
      </c>
      <c r="G156" s="12">
        <v>10</v>
      </c>
      <c r="H156" s="12" t="s">
        <v>29</v>
      </c>
    </row>
    <row r="157" spans="1:8" x14ac:dyDescent="0.25">
      <c r="A157" s="11">
        <v>40422</v>
      </c>
      <c r="B157" s="12">
        <v>29614</v>
      </c>
      <c r="C157" s="12" t="s">
        <v>5</v>
      </c>
      <c r="D157" s="1"/>
      <c r="F157" s="11">
        <v>39569</v>
      </c>
      <c r="G157" s="12">
        <v>120970</v>
      </c>
      <c r="H157" s="12" t="s">
        <v>15</v>
      </c>
    </row>
    <row r="158" spans="1:8" x14ac:dyDescent="0.25">
      <c r="A158" s="11">
        <v>40422</v>
      </c>
      <c r="B158" s="12">
        <v>88482</v>
      </c>
      <c r="C158" s="12" t="s">
        <v>2</v>
      </c>
      <c r="D158" s="1"/>
      <c r="F158" s="11">
        <v>39569</v>
      </c>
      <c r="G158" s="12">
        <v>59260</v>
      </c>
      <c r="H158" s="12" t="s">
        <v>16</v>
      </c>
    </row>
    <row r="159" spans="1:8" x14ac:dyDescent="0.25">
      <c r="A159" s="11">
        <v>40452</v>
      </c>
      <c r="B159" s="12">
        <v>30080</v>
      </c>
      <c r="C159" s="12" t="s">
        <v>4</v>
      </c>
      <c r="D159" s="1"/>
      <c r="F159" s="11">
        <v>39569</v>
      </c>
      <c r="G159" s="12">
        <v>1564</v>
      </c>
      <c r="H159" s="12" t="s">
        <v>14</v>
      </c>
    </row>
    <row r="160" spans="1:8" x14ac:dyDescent="0.25">
      <c r="A160" s="11">
        <v>40452</v>
      </c>
      <c r="B160" s="12">
        <v>35065</v>
      </c>
      <c r="C160" s="12" t="s">
        <v>5</v>
      </c>
      <c r="D160" s="1"/>
      <c r="F160" s="11">
        <v>39569</v>
      </c>
      <c r="G160" s="12">
        <v>13</v>
      </c>
      <c r="H160" s="12" t="s">
        <v>29</v>
      </c>
    </row>
    <row r="161" spans="1:8" x14ac:dyDescent="0.25">
      <c r="A161" s="11">
        <v>40452</v>
      </c>
      <c r="B161" s="12">
        <v>110193</v>
      </c>
      <c r="C161" s="12" t="s">
        <v>2</v>
      </c>
      <c r="D161" s="1"/>
      <c r="F161" s="11">
        <v>39600</v>
      </c>
      <c r="G161" s="12">
        <v>112349</v>
      </c>
      <c r="H161" s="12" t="s">
        <v>15</v>
      </c>
    </row>
    <row r="162" spans="1:8" x14ac:dyDescent="0.25">
      <c r="A162" s="11">
        <v>40483</v>
      </c>
      <c r="B162" s="12">
        <v>31037</v>
      </c>
      <c r="C162" s="12" t="s">
        <v>4</v>
      </c>
      <c r="D162" s="1"/>
      <c r="F162" s="11">
        <v>39600</v>
      </c>
      <c r="G162" s="12">
        <v>56979</v>
      </c>
      <c r="H162" s="12" t="s">
        <v>16</v>
      </c>
    </row>
    <row r="163" spans="1:8" x14ac:dyDescent="0.25">
      <c r="A163" s="11">
        <v>40483</v>
      </c>
      <c r="B163" s="12">
        <v>39875</v>
      </c>
      <c r="C163" s="12" t="s">
        <v>5</v>
      </c>
      <c r="D163" s="1"/>
      <c r="F163" s="11">
        <v>39600</v>
      </c>
      <c r="G163" s="12">
        <v>1309</v>
      </c>
      <c r="H163" s="12" t="s">
        <v>14</v>
      </c>
    </row>
    <row r="164" spans="1:8" x14ac:dyDescent="0.25">
      <c r="A164" s="11">
        <v>40483</v>
      </c>
      <c r="B164" s="12">
        <v>119822</v>
      </c>
      <c r="C164" s="12" t="s">
        <v>2</v>
      </c>
      <c r="D164" s="1"/>
      <c r="F164" s="11">
        <v>39600</v>
      </c>
      <c r="G164" s="12">
        <v>17</v>
      </c>
      <c r="H164" s="12" t="s">
        <v>29</v>
      </c>
    </row>
    <row r="165" spans="1:8" x14ac:dyDescent="0.25">
      <c r="A165" s="11">
        <v>40513</v>
      </c>
      <c r="B165" s="12">
        <v>35348</v>
      </c>
      <c r="C165" s="12" t="s">
        <v>4</v>
      </c>
      <c r="D165" s="1"/>
      <c r="F165" s="11">
        <v>39630</v>
      </c>
      <c r="G165" s="12">
        <v>71908</v>
      </c>
      <c r="H165" s="12" t="s">
        <v>15</v>
      </c>
    </row>
    <row r="166" spans="1:8" x14ac:dyDescent="0.25">
      <c r="A166" s="11">
        <v>40513</v>
      </c>
      <c r="B166" s="12">
        <v>45297</v>
      </c>
      <c r="C166" s="12" t="s">
        <v>5</v>
      </c>
      <c r="D166" s="1"/>
      <c r="F166" s="11">
        <v>39630</v>
      </c>
      <c r="G166" s="12">
        <v>55862</v>
      </c>
      <c r="H166" s="12" t="s">
        <v>16</v>
      </c>
    </row>
    <row r="167" spans="1:8" x14ac:dyDescent="0.25">
      <c r="A167" s="11">
        <v>40513</v>
      </c>
      <c r="B167" s="12">
        <v>127395</v>
      </c>
      <c r="C167" s="12" t="s">
        <v>2</v>
      </c>
      <c r="D167" s="1"/>
      <c r="F167" s="11">
        <v>39630</v>
      </c>
      <c r="G167" s="12">
        <v>811</v>
      </c>
      <c r="H167" s="12" t="s">
        <v>14</v>
      </c>
    </row>
    <row r="168" spans="1:8" x14ac:dyDescent="0.25">
      <c r="A168" s="11">
        <v>40544</v>
      </c>
      <c r="B168" s="12">
        <v>33931</v>
      </c>
      <c r="C168" s="12" t="s">
        <v>4</v>
      </c>
      <c r="D168" s="1"/>
      <c r="F168" s="11">
        <v>39630</v>
      </c>
      <c r="G168" s="12">
        <v>41</v>
      </c>
      <c r="H168" s="12" t="s">
        <v>29</v>
      </c>
    </row>
    <row r="169" spans="1:8" x14ac:dyDescent="0.25">
      <c r="A169" s="11">
        <v>40544</v>
      </c>
      <c r="B169" s="12">
        <v>47142</v>
      </c>
      <c r="C169" s="12" t="s">
        <v>5</v>
      </c>
      <c r="D169" s="1"/>
      <c r="F169" s="11">
        <v>39661</v>
      </c>
      <c r="G169" s="12">
        <v>55871</v>
      </c>
      <c r="H169" s="12" t="s">
        <v>15</v>
      </c>
    </row>
    <row r="170" spans="1:8" x14ac:dyDescent="0.25">
      <c r="A170" s="11">
        <v>40544</v>
      </c>
      <c r="B170" s="12">
        <v>119820</v>
      </c>
      <c r="C170" s="12" t="s">
        <v>2</v>
      </c>
      <c r="D170" s="1"/>
      <c r="F170" s="11">
        <v>39661</v>
      </c>
      <c r="G170" s="12">
        <v>60469</v>
      </c>
      <c r="H170" s="12" t="s">
        <v>16</v>
      </c>
    </row>
    <row r="171" spans="1:8" x14ac:dyDescent="0.25">
      <c r="A171" s="11">
        <v>40575</v>
      </c>
      <c r="B171" s="12">
        <v>31736</v>
      </c>
      <c r="C171" s="12" t="s">
        <v>4</v>
      </c>
      <c r="D171" s="1"/>
      <c r="F171" s="11">
        <v>39661</v>
      </c>
      <c r="G171" s="12">
        <v>631</v>
      </c>
      <c r="H171" s="12" t="s">
        <v>14</v>
      </c>
    </row>
    <row r="172" spans="1:8" x14ac:dyDescent="0.25">
      <c r="A172" s="11">
        <v>40575</v>
      </c>
      <c r="B172" s="12">
        <v>40362</v>
      </c>
      <c r="C172" s="12" t="s">
        <v>5</v>
      </c>
      <c r="D172" s="1"/>
      <c r="F172" s="11">
        <v>39661</v>
      </c>
      <c r="G172" s="12">
        <v>122</v>
      </c>
      <c r="H172" s="12" t="s">
        <v>29</v>
      </c>
    </row>
    <row r="173" spans="1:8" x14ac:dyDescent="0.25">
      <c r="A173" s="11">
        <v>40575</v>
      </c>
      <c r="B173" s="12">
        <v>113580</v>
      </c>
      <c r="C173" s="12" t="s">
        <v>2</v>
      </c>
      <c r="D173" s="1"/>
      <c r="F173" s="11">
        <v>39692</v>
      </c>
      <c r="G173" s="12">
        <v>37258</v>
      </c>
      <c r="H173" s="12" t="s">
        <v>15</v>
      </c>
    </row>
    <row r="174" spans="1:8" x14ac:dyDescent="0.25">
      <c r="A174" s="11">
        <v>40603</v>
      </c>
      <c r="B174" s="12">
        <v>21057</v>
      </c>
      <c r="C174" s="12" t="s">
        <v>4</v>
      </c>
      <c r="D174" s="1"/>
      <c r="F174" s="11">
        <v>39692</v>
      </c>
      <c r="G174" s="12">
        <v>51835</v>
      </c>
      <c r="H174" s="12" t="s">
        <v>16</v>
      </c>
    </row>
    <row r="175" spans="1:8" x14ac:dyDescent="0.25">
      <c r="A175" s="11">
        <v>40603</v>
      </c>
      <c r="B175" s="12">
        <v>36120</v>
      </c>
      <c r="C175" s="12" t="s">
        <v>5</v>
      </c>
      <c r="D175" s="1"/>
      <c r="F175" s="11">
        <v>39692</v>
      </c>
      <c r="G175" s="12">
        <v>399</v>
      </c>
      <c r="H175" s="12" t="s">
        <v>14</v>
      </c>
    </row>
    <row r="176" spans="1:8" x14ac:dyDescent="0.25">
      <c r="A176" s="11">
        <v>40603</v>
      </c>
      <c r="B176" s="12">
        <v>90126</v>
      </c>
      <c r="C176" s="12" t="s">
        <v>2</v>
      </c>
      <c r="D176" s="1"/>
      <c r="F176" s="11">
        <v>39692</v>
      </c>
      <c r="G176" s="12">
        <v>89</v>
      </c>
      <c r="H176" s="12" t="s">
        <v>29</v>
      </c>
    </row>
    <row r="177" spans="1:8" x14ac:dyDescent="0.25">
      <c r="A177" s="11">
        <v>40634</v>
      </c>
      <c r="B177" s="12">
        <v>11170</v>
      </c>
      <c r="C177" s="12" t="s">
        <v>4</v>
      </c>
      <c r="D177" s="1"/>
      <c r="F177" s="11">
        <v>39722</v>
      </c>
      <c r="G177" s="12">
        <v>25239</v>
      </c>
      <c r="H177" s="12" t="s">
        <v>15</v>
      </c>
    </row>
    <row r="178" spans="1:8" x14ac:dyDescent="0.25">
      <c r="A178" s="11">
        <v>40634</v>
      </c>
      <c r="B178" s="12">
        <v>24843</v>
      </c>
      <c r="C178" s="12" t="s">
        <v>5</v>
      </c>
      <c r="D178" s="1"/>
      <c r="F178" s="11">
        <v>39722</v>
      </c>
      <c r="G178" s="12">
        <v>36240</v>
      </c>
      <c r="H178" s="12" t="s">
        <v>16</v>
      </c>
    </row>
    <row r="179" spans="1:8" x14ac:dyDescent="0.25">
      <c r="A179" s="11">
        <v>40634</v>
      </c>
      <c r="B179" s="12">
        <v>63788</v>
      </c>
      <c r="C179" s="12" t="s">
        <v>2</v>
      </c>
      <c r="D179" s="1"/>
      <c r="F179" s="11">
        <v>39722</v>
      </c>
      <c r="G179" s="12">
        <v>287</v>
      </c>
      <c r="H179" s="12" t="s">
        <v>14</v>
      </c>
    </row>
    <row r="180" spans="1:8" x14ac:dyDescent="0.25">
      <c r="A180" s="11">
        <v>40664</v>
      </c>
      <c r="B180" s="12">
        <v>9996</v>
      </c>
      <c r="C180" s="12" t="s">
        <v>4</v>
      </c>
      <c r="D180" s="1"/>
      <c r="F180" s="11">
        <v>39722</v>
      </c>
      <c r="G180" s="12">
        <v>100</v>
      </c>
      <c r="H180" s="12" t="s">
        <v>29</v>
      </c>
    </row>
    <row r="181" spans="1:8" x14ac:dyDescent="0.25">
      <c r="A181" s="11">
        <v>40664</v>
      </c>
      <c r="B181" s="12">
        <v>17450</v>
      </c>
      <c r="C181" s="12" t="s">
        <v>5</v>
      </c>
      <c r="D181" s="1"/>
      <c r="F181" s="11">
        <v>39753</v>
      </c>
      <c r="G181" s="12">
        <v>31011</v>
      </c>
      <c r="H181" s="12" t="s">
        <v>15</v>
      </c>
    </row>
    <row r="182" spans="1:8" x14ac:dyDescent="0.25">
      <c r="A182" s="11">
        <v>40664</v>
      </c>
      <c r="B182" s="12">
        <v>68123</v>
      </c>
      <c r="C182" s="12" t="s">
        <v>2</v>
      </c>
      <c r="D182" s="1"/>
      <c r="F182" s="11">
        <v>39753</v>
      </c>
      <c r="G182" s="12">
        <v>38876</v>
      </c>
      <c r="H182" s="12" t="s">
        <v>16</v>
      </c>
    </row>
    <row r="183" spans="1:8" x14ac:dyDescent="0.25">
      <c r="A183" s="11">
        <v>40695</v>
      </c>
      <c r="B183" s="12">
        <v>8025</v>
      </c>
      <c r="C183" s="12" t="s">
        <v>4</v>
      </c>
      <c r="D183" s="1"/>
      <c r="F183" s="11">
        <v>39753</v>
      </c>
      <c r="G183" s="12">
        <v>320</v>
      </c>
      <c r="H183" s="12" t="s">
        <v>14</v>
      </c>
    </row>
    <row r="184" spans="1:8" x14ac:dyDescent="0.25">
      <c r="A184" s="11">
        <v>40695</v>
      </c>
      <c r="B184" s="12">
        <v>16099</v>
      </c>
      <c r="C184" s="12" t="s">
        <v>5</v>
      </c>
      <c r="D184" s="1"/>
      <c r="F184" s="11">
        <v>39753</v>
      </c>
      <c r="G184" s="12">
        <v>319</v>
      </c>
      <c r="H184" s="12" t="s">
        <v>29</v>
      </c>
    </row>
    <row r="185" spans="1:8" x14ac:dyDescent="0.25">
      <c r="A185" s="11">
        <v>40695</v>
      </c>
      <c r="B185" s="12">
        <v>64085</v>
      </c>
      <c r="C185" s="12" t="s">
        <v>2</v>
      </c>
      <c r="D185" s="1"/>
      <c r="F185" s="11">
        <v>39783</v>
      </c>
      <c r="G185" s="12">
        <v>40193</v>
      </c>
      <c r="H185" s="12" t="s">
        <v>15</v>
      </c>
    </row>
    <row r="186" spans="1:8" x14ac:dyDescent="0.25">
      <c r="A186" s="11">
        <v>40725</v>
      </c>
      <c r="B186" s="12">
        <v>6765</v>
      </c>
      <c r="C186" s="12" t="s">
        <v>4</v>
      </c>
      <c r="D186" s="1"/>
      <c r="F186" s="11">
        <v>39783</v>
      </c>
      <c r="G186" s="12">
        <v>35887</v>
      </c>
      <c r="H186" s="12" t="s">
        <v>16</v>
      </c>
    </row>
    <row r="187" spans="1:8" x14ac:dyDescent="0.25">
      <c r="A187" s="11">
        <v>40725</v>
      </c>
      <c r="B187" s="12">
        <v>13670</v>
      </c>
      <c r="C187" s="12" t="s">
        <v>5</v>
      </c>
      <c r="D187" s="1"/>
      <c r="F187" s="11">
        <v>39783</v>
      </c>
      <c r="G187" s="12">
        <v>501</v>
      </c>
      <c r="H187" s="12" t="s">
        <v>14</v>
      </c>
    </row>
    <row r="188" spans="1:8" x14ac:dyDescent="0.25">
      <c r="A188" s="11">
        <v>40725</v>
      </c>
      <c r="B188" s="12">
        <v>61083</v>
      </c>
      <c r="C188" s="12" t="s">
        <v>2</v>
      </c>
      <c r="D188" s="1"/>
      <c r="F188" s="11">
        <v>39783</v>
      </c>
      <c r="G188" s="12">
        <v>441</v>
      </c>
      <c r="H188" s="12" t="s">
        <v>29</v>
      </c>
    </row>
    <row r="189" spans="1:8" x14ac:dyDescent="0.25">
      <c r="A189" s="11">
        <v>40756</v>
      </c>
      <c r="B189" s="12">
        <v>9383</v>
      </c>
      <c r="C189" s="12" t="s">
        <v>4</v>
      </c>
      <c r="D189" s="1"/>
      <c r="F189" s="11">
        <v>39814</v>
      </c>
      <c r="G189" s="12">
        <v>20647</v>
      </c>
      <c r="H189" s="12" t="s">
        <v>15</v>
      </c>
    </row>
    <row r="190" spans="1:8" x14ac:dyDescent="0.25">
      <c r="A190" s="11">
        <v>40756</v>
      </c>
      <c r="B190" s="12">
        <v>14894</v>
      </c>
      <c r="C190" s="12" t="s">
        <v>5</v>
      </c>
      <c r="D190" s="1"/>
      <c r="F190" s="11">
        <v>39814</v>
      </c>
      <c r="G190" s="12">
        <v>24614</v>
      </c>
      <c r="H190" s="12" t="s">
        <v>16</v>
      </c>
    </row>
    <row r="191" spans="1:8" x14ac:dyDescent="0.25">
      <c r="A191" s="11">
        <v>40756</v>
      </c>
      <c r="B191" s="12">
        <v>77774</v>
      </c>
      <c r="C191" s="12" t="s">
        <v>2</v>
      </c>
      <c r="D191" s="1"/>
      <c r="F191" s="11">
        <v>39814</v>
      </c>
      <c r="G191" s="12">
        <v>255</v>
      </c>
      <c r="H191" s="12" t="s">
        <v>14</v>
      </c>
    </row>
    <row r="192" spans="1:8" x14ac:dyDescent="0.25">
      <c r="A192" s="11">
        <v>40787</v>
      </c>
      <c r="B192" s="12">
        <v>10389</v>
      </c>
      <c r="C192" s="12" t="s">
        <v>4</v>
      </c>
      <c r="D192" s="1"/>
      <c r="F192" s="11">
        <v>39814</v>
      </c>
      <c r="G192" s="12">
        <v>593</v>
      </c>
      <c r="H192" s="12" t="s">
        <v>29</v>
      </c>
    </row>
    <row r="193" spans="1:8" x14ac:dyDescent="0.25">
      <c r="A193" s="11">
        <v>40787</v>
      </c>
      <c r="B193" s="12">
        <v>16583</v>
      </c>
      <c r="C193" s="12" t="s">
        <v>5</v>
      </c>
      <c r="D193" s="1"/>
      <c r="F193" s="11">
        <v>39845</v>
      </c>
      <c r="G193" s="12">
        <v>60390</v>
      </c>
      <c r="H193" s="12" t="s">
        <v>15</v>
      </c>
    </row>
    <row r="194" spans="1:8" x14ac:dyDescent="0.25">
      <c r="A194" s="11">
        <v>40787</v>
      </c>
      <c r="B194" s="12">
        <v>77050</v>
      </c>
      <c r="C194" s="12" t="s">
        <v>2</v>
      </c>
      <c r="D194" s="1"/>
      <c r="F194" s="11">
        <v>39845</v>
      </c>
      <c r="G194" s="12">
        <v>33352</v>
      </c>
      <c r="H194" s="12" t="s">
        <v>16</v>
      </c>
    </row>
    <row r="195" spans="1:8" x14ac:dyDescent="0.25">
      <c r="A195" s="11">
        <v>40817</v>
      </c>
      <c r="B195" s="12">
        <v>12046</v>
      </c>
      <c r="C195" s="12" t="s">
        <v>4</v>
      </c>
      <c r="D195" s="1"/>
      <c r="F195" s="11">
        <v>39845</v>
      </c>
      <c r="G195" s="12">
        <v>859</v>
      </c>
      <c r="H195" s="12" t="s">
        <v>14</v>
      </c>
    </row>
    <row r="196" spans="1:8" x14ac:dyDescent="0.25">
      <c r="A196" s="11">
        <v>40817</v>
      </c>
      <c r="B196" s="12">
        <v>16642</v>
      </c>
      <c r="C196" s="12" t="s">
        <v>5</v>
      </c>
      <c r="D196" s="1"/>
      <c r="F196" s="11">
        <v>39845</v>
      </c>
      <c r="G196" s="12">
        <v>617</v>
      </c>
      <c r="H196" s="12" t="s">
        <v>29</v>
      </c>
    </row>
    <row r="197" spans="1:8" x14ac:dyDescent="0.25">
      <c r="A197" s="11">
        <v>40817</v>
      </c>
      <c r="B197" s="12">
        <v>81205</v>
      </c>
      <c r="C197" s="12" t="s">
        <v>2</v>
      </c>
      <c r="D197" s="1"/>
      <c r="F197" s="11">
        <v>39873</v>
      </c>
      <c r="G197" s="12">
        <v>142551</v>
      </c>
      <c r="H197" s="12" t="s">
        <v>15</v>
      </c>
    </row>
    <row r="198" spans="1:8" x14ac:dyDescent="0.25">
      <c r="A198" s="11">
        <v>40848</v>
      </c>
      <c r="B198" s="12">
        <v>23990</v>
      </c>
      <c r="C198" s="12" t="s">
        <v>4</v>
      </c>
      <c r="D198" s="1"/>
      <c r="F198" s="11">
        <v>39873</v>
      </c>
      <c r="G198" s="12">
        <v>21058</v>
      </c>
      <c r="H198" s="12" t="s">
        <v>16</v>
      </c>
    </row>
    <row r="199" spans="1:8" x14ac:dyDescent="0.25">
      <c r="A199" s="11">
        <v>40848</v>
      </c>
      <c r="B199" s="12">
        <v>20053</v>
      </c>
      <c r="C199" s="12" t="s">
        <v>5</v>
      </c>
      <c r="D199" s="1"/>
      <c r="F199" s="11">
        <v>39873</v>
      </c>
      <c r="G199" s="12">
        <v>2080</v>
      </c>
      <c r="H199" s="12" t="s">
        <v>14</v>
      </c>
    </row>
    <row r="200" spans="1:8" x14ac:dyDescent="0.25">
      <c r="A200" s="11">
        <v>40848</v>
      </c>
      <c r="B200" s="12">
        <v>98996</v>
      </c>
      <c r="C200" s="12" t="s">
        <v>2</v>
      </c>
      <c r="D200" s="1"/>
      <c r="F200" s="11">
        <v>39873</v>
      </c>
      <c r="G200" s="12">
        <v>691</v>
      </c>
      <c r="H200" s="12" t="s">
        <v>29</v>
      </c>
    </row>
    <row r="201" spans="1:8" x14ac:dyDescent="0.25">
      <c r="A201" s="11">
        <v>40878</v>
      </c>
      <c r="B201" s="12">
        <v>22830</v>
      </c>
      <c r="C201" s="12" t="s">
        <v>4</v>
      </c>
      <c r="D201" s="1"/>
      <c r="F201" s="11">
        <v>39904</v>
      </c>
      <c r="G201" s="12">
        <v>195296</v>
      </c>
      <c r="H201" s="12" t="s">
        <v>15</v>
      </c>
    </row>
    <row r="202" spans="1:8" x14ac:dyDescent="0.25">
      <c r="A202" s="11">
        <v>40878</v>
      </c>
      <c r="B202" s="12">
        <v>23033</v>
      </c>
      <c r="C202" s="12" t="s">
        <v>5</v>
      </c>
      <c r="D202" s="1"/>
      <c r="F202" s="11">
        <v>39904</v>
      </c>
      <c r="G202" s="12">
        <v>23754</v>
      </c>
      <c r="H202" s="12" t="s">
        <v>16</v>
      </c>
    </row>
    <row r="203" spans="1:8" x14ac:dyDescent="0.25">
      <c r="A203" s="11">
        <v>40878</v>
      </c>
      <c r="B203" s="12">
        <v>102137</v>
      </c>
      <c r="C203" s="12" t="s">
        <v>2</v>
      </c>
      <c r="D203" s="1"/>
      <c r="F203" s="11">
        <v>39904</v>
      </c>
      <c r="G203" s="12">
        <v>2392</v>
      </c>
      <c r="H203" s="12" t="s">
        <v>14</v>
      </c>
    </row>
    <row r="204" spans="1:8" x14ac:dyDescent="0.25">
      <c r="A204" s="11">
        <v>40909</v>
      </c>
      <c r="B204" s="12">
        <v>23833</v>
      </c>
      <c r="C204" s="12" t="s">
        <v>4</v>
      </c>
      <c r="D204" s="1"/>
      <c r="F204" s="11">
        <v>39904</v>
      </c>
      <c r="G204" s="12">
        <v>673</v>
      </c>
      <c r="H204" s="12" t="s">
        <v>29</v>
      </c>
    </row>
    <row r="205" spans="1:8" x14ac:dyDescent="0.25">
      <c r="A205" s="11">
        <v>40909</v>
      </c>
      <c r="B205" s="12">
        <v>24747</v>
      </c>
      <c r="C205" s="12" t="s">
        <v>5</v>
      </c>
      <c r="D205" s="1"/>
      <c r="F205" s="11">
        <v>39934</v>
      </c>
      <c r="G205" s="12">
        <v>206057</v>
      </c>
      <c r="H205" s="12" t="s">
        <v>15</v>
      </c>
    </row>
    <row r="206" spans="1:8" x14ac:dyDescent="0.25">
      <c r="A206" s="11">
        <v>40909</v>
      </c>
      <c r="B206" s="12">
        <v>92943</v>
      </c>
      <c r="C206" s="12" t="s">
        <v>2</v>
      </c>
      <c r="D206" s="1"/>
      <c r="F206" s="11">
        <v>39934</v>
      </c>
      <c r="G206" s="12">
        <v>33872</v>
      </c>
      <c r="H206" s="12" t="s">
        <v>16</v>
      </c>
    </row>
    <row r="207" spans="1:8" x14ac:dyDescent="0.25">
      <c r="A207" s="11">
        <v>40940</v>
      </c>
      <c r="B207" s="12">
        <v>26599</v>
      </c>
      <c r="C207" s="12" t="s">
        <v>4</v>
      </c>
      <c r="D207" s="1"/>
      <c r="F207" s="11">
        <v>39934</v>
      </c>
      <c r="G207" s="12">
        <v>2486</v>
      </c>
      <c r="H207" s="12" t="s">
        <v>14</v>
      </c>
    </row>
    <row r="208" spans="1:8" x14ac:dyDescent="0.25">
      <c r="A208" s="11">
        <v>40940</v>
      </c>
      <c r="B208" s="12">
        <v>22030</v>
      </c>
      <c r="C208" s="12" t="s">
        <v>5</v>
      </c>
      <c r="D208" s="1"/>
      <c r="F208" s="11">
        <v>39934</v>
      </c>
      <c r="G208" s="12">
        <v>312</v>
      </c>
      <c r="H208" s="12" t="s">
        <v>29</v>
      </c>
    </row>
    <row r="209" spans="1:8" x14ac:dyDescent="0.25">
      <c r="A209" s="11">
        <v>40940</v>
      </c>
      <c r="B209" s="12">
        <v>93504</v>
      </c>
      <c r="C209" s="12" t="s">
        <v>2</v>
      </c>
      <c r="D209" s="1"/>
      <c r="F209" s="11">
        <v>39965</v>
      </c>
      <c r="G209" s="12">
        <v>195331</v>
      </c>
      <c r="H209" s="12" t="s">
        <v>15</v>
      </c>
    </row>
    <row r="210" spans="1:8" x14ac:dyDescent="0.25">
      <c r="A210" s="11">
        <v>40969</v>
      </c>
      <c r="B210" s="12">
        <v>23479</v>
      </c>
      <c r="C210" s="12" t="s">
        <v>4</v>
      </c>
      <c r="D210" s="1"/>
      <c r="F210" s="11">
        <v>39965</v>
      </c>
      <c r="G210" s="12">
        <v>32396</v>
      </c>
      <c r="H210" s="12" t="s">
        <v>16</v>
      </c>
    </row>
    <row r="211" spans="1:8" x14ac:dyDescent="0.25">
      <c r="A211" s="11">
        <v>40969</v>
      </c>
      <c r="B211" s="12">
        <v>25627</v>
      </c>
      <c r="C211" s="12" t="s">
        <v>5</v>
      </c>
      <c r="D211" s="1"/>
      <c r="F211" s="11">
        <v>39965</v>
      </c>
      <c r="G211" s="12">
        <v>5241</v>
      </c>
      <c r="H211" s="12" t="s">
        <v>14</v>
      </c>
    </row>
    <row r="212" spans="1:8" x14ac:dyDescent="0.25">
      <c r="A212" s="11">
        <v>40969</v>
      </c>
      <c r="B212" s="12">
        <v>78802</v>
      </c>
      <c r="C212" s="12" t="s">
        <v>2</v>
      </c>
      <c r="D212" s="1"/>
      <c r="F212" s="11">
        <v>39965</v>
      </c>
      <c r="G212" s="12">
        <v>275</v>
      </c>
      <c r="H212" s="12" t="s">
        <v>29</v>
      </c>
    </row>
    <row r="213" spans="1:8" x14ac:dyDescent="0.25">
      <c r="A213" s="11">
        <v>41000</v>
      </c>
      <c r="B213" s="12">
        <v>23792</v>
      </c>
      <c r="C213" s="12" t="s">
        <v>4</v>
      </c>
      <c r="D213" s="1"/>
      <c r="F213" s="11">
        <v>39995</v>
      </c>
      <c r="G213" s="12">
        <v>199887</v>
      </c>
      <c r="H213" s="12" t="s">
        <v>15</v>
      </c>
    </row>
    <row r="214" spans="1:8" x14ac:dyDescent="0.25">
      <c r="A214" s="11">
        <v>41000</v>
      </c>
      <c r="B214" s="12">
        <v>32853</v>
      </c>
      <c r="C214" s="12" t="s">
        <v>5</v>
      </c>
      <c r="D214" s="1"/>
      <c r="F214" s="11">
        <v>39995</v>
      </c>
      <c r="G214" s="12">
        <v>36015</v>
      </c>
      <c r="H214" s="12" t="s">
        <v>16</v>
      </c>
    </row>
    <row r="215" spans="1:8" x14ac:dyDescent="0.25">
      <c r="A215" s="11">
        <v>41000</v>
      </c>
      <c r="B215" s="12">
        <v>84914</v>
      </c>
      <c r="C215" s="12" t="s">
        <v>2</v>
      </c>
      <c r="D215" s="1"/>
      <c r="F215" s="11">
        <v>39995</v>
      </c>
      <c r="G215" s="12">
        <v>10999</v>
      </c>
      <c r="H215" s="12" t="s">
        <v>14</v>
      </c>
    </row>
    <row r="216" spans="1:8" x14ac:dyDescent="0.25">
      <c r="A216" s="11">
        <v>41030</v>
      </c>
      <c r="B216" s="12">
        <v>23075</v>
      </c>
      <c r="C216" s="12" t="s">
        <v>4</v>
      </c>
      <c r="D216" s="1"/>
      <c r="F216" s="11">
        <v>39995</v>
      </c>
      <c r="G216" s="12">
        <v>185</v>
      </c>
      <c r="H216" s="12" t="s">
        <v>29</v>
      </c>
    </row>
    <row r="217" spans="1:8" x14ac:dyDescent="0.25">
      <c r="A217" s="11">
        <v>41030</v>
      </c>
      <c r="B217" s="12">
        <v>35404</v>
      </c>
      <c r="C217" s="12" t="s">
        <v>5</v>
      </c>
      <c r="D217" s="1"/>
      <c r="F217" s="11">
        <v>40026</v>
      </c>
      <c r="G217" s="12">
        <v>177436</v>
      </c>
      <c r="H217" s="12" t="s">
        <v>15</v>
      </c>
    </row>
    <row r="218" spans="1:8" x14ac:dyDescent="0.25">
      <c r="A218" s="11">
        <v>41030</v>
      </c>
      <c r="B218" s="12">
        <v>93152</v>
      </c>
      <c r="C218" s="12" t="s">
        <v>2</v>
      </c>
      <c r="D218" s="1"/>
      <c r="F218" s="11">
        <v>40026</v>
      </c>
      <c r="G218" s="12">
        <v>46717</v>
      </c>
      <c r="H218" s="12" t="s">
        <v>16</v>
      </c>
    </row>
    <row r="219" spans="1:8" x14ac:dyDescent="0.25">
      <c r="A219" s="11">
        <v>41061</v>
      </c>
      <c r="B219" s="12">
        <v>19537</v>
      </c>
      <c r="C219" s="12" t="s">
        <v>4</v>
      </c>
      <c r="D219" s="1"/>
      <c r="F219" s="11">
        <v>40026</v>
      </c>
      <c r="G219" s="12">
        <v>17240</v>
      </c>
      <c r="H219" s="12" t="s">
        <v>14</v>
      </c>
    </row>
    <row r="220" spans="1:8" x14ac:dyDescent="0.25">
      <c r="A220" s="11">
        <v>41061</v>
      </c>
      <c r="B220" s="12">
        <v>39938</v>
      </c>
      <c r="C220" s="12" t="s">
        <v>5</v>
      </c>
      <c r="D220" s="1"/>
      <c r="F220" s="11">
        <v>40026</v>
      </c>
      <c r="G220" s="12">
        <v>221</v>
      </c>
      <c r="H220" s="12" t="s">
        <v>29</v>
      </c>
    </row>
    <row r="221" spans="1:8" x14ac:dyDescent="0.25">
      <c r="A221" s="11">
        <v>41061</v>
      </c>
      <c r="B221" s="12">
        <v>94590</v>
      </c>
      <c r="C221" s="12" t="s">
        <v>2</v>
      </c>
      <c r="D221" s="1"/>
      <c r="F221" s="11">
        <v>40057</v>
      </c>
      <c r="G221" s="12">
        <v>126848</v>
      </c>
      <c r="H221" s="12" t="s">
        <v>15</v>
      </c>
    </row>
    <row r="222" spans="1:8" x14ac:dyDescent="0.25">
      <c r="A222" s="11">
        <v>41091</v>
      </c>
      <c r="B222" s="12">
        <v>21051</v>
      </c>
      <c r="C222" s="12" t="s">
        <v>4</v>
      </c>
      <c r="D222" s="1"/>
      <c r="F222" s="11">
        <v>40057</v>
      </c>
      <c r="G222" s="12">
        <v>52113</v>
      </c>
      <c r="H222" s="12" t="s">
        <v>16</v>
      </c>
    </row>
    <row r="223" spans="1:8" x14ac:dyDescent="0.25">
      <c r="A223" s="11">
        <v>41091</v>
      </c>
      <c r="B223" s="12">
        <v>42088</v>
      </c>
      <c r="C223" s="12" t="s">
        <v>5</v>
      </c>
      <c r="D223" s="1"/>
      <c r="F223" s="11">
        <v>40057</v>
      </c>
      <c r="G223" s="12">
        <v>15625</v>
      </c>
      <c r="H223" s="12" t="s">
        <v>14</v>
      </c>
    </row>
    <row r="224" spans="1:8" x14ac:dyDescent="0.25">
      <c r="A224" s="11">
        <v>41091</v>
      </c>
      <c r="B224" s="12">
        <v>95097</v>
      </c>
      <c r="C224" s="12" t="s">
        <v>2</v>
      </c>
      <c r="D224" s="1"/>
      <c r="F224" s="11">
        <v>40057</v>
      </c>
      <c r="G224" s="12">
        <v>261</v>
      </c>
      <c r="H224" s="12" t="s">
        <v>29</v>
      </c>
    </row>
    <row r="225" spans="1:8" x14ac:dyDescent="0.25">
      <c r="A225" s="11">
        <v>41122</v>
      </c>
      <c r="B225" s="12">
        <v>21726</v>
      </c>
      <c r="C225" s="12" t="s">
        <v>4</v>
      </c>
      <c r="D225" s="1"/>
      <c r="F225" s="11">
        <v>40087</v>
      </c>
      <c r="G225" s="12">
        <v>80269</v>
      </c>
      <c r="H225" s="12" t="s">
        <v>15</v>
      </c>
    </row>
    <row r="226" spans="1:8" x14ac:dyDescent="0.25">
      <c r="A226" s="11">
        <v>41122</v>
      </c>
      <c r="B226" s="12">
        <v>39698</v>
      </c>
      <c r="C226" s="12" t="s">
        <v>5</v>
      </c>
      <c r="D226" s="1"/>
      <c r="F226" s="11">
        <v>40087</v>
      </c>
      <c r="G226" s="12">
        <v>42940</v>
      </c>
      <c r="H226" s="12" t="s">
        <v>16</v>
      </c>
    </row>
    <row r="227" spans="1:8" x14ac:dyDescent="0.25">
      <c r="A227" s="11">
        <v>41122</v>
      </c>
      <c r="B227" s="12">
        <v>95500</v>
      </c>
      <c r="C227" s="12" t="s">
        <v>2</v>
      </c>
      <c r="D227" s="1"/>
      <c r="F227" s="11">
        <v>40087</v>
      </c>
      <c r="G227" s="12">
        <v>10307</v>
      </c>
      <c r="H227" s="12" t="s">
        <v>14</v>
      </c>
    </row>
    <row r="228" spans="1:8" x14ac:dyDescent="0.25">
      <c r="A228" s="11">
        <v>41153</v>
      </c>
      <c r="B228" s="12">
        <v>26853</v>
      </c>
      <c r="C228" s="12" t="s">
        <v>4</v>
      </c>
      <c r="D228" s="1"/>
      <c r="F228" s="11">
        <v>40087</v>
      </c>
      <c r="G228" s="12">
        <v>292</v>
      </c>
      <c r="H228" s="12" t="s">
        <v>29</v>
      </c>
    </row>
    <row r="229" spans="1:8" x14ac:dyDescent="0.25">
      <c r="A229" s="11">
        <v>41153</v>
      </c>
      <c r="B229" s="12">
        <v>40424</v>
      </c>
      <c r="C229" s="12" t="s">
        <v>5</v>
      </c>
      <c r="D229" s="1"/>
      <c r="F229" s="11">
        <v>40118</v>
      </c>
      <c r="G229" s="12">
        <v>70553</v>
      </c>
      <c r="H229" s="12" t="s">
        <v>15</v>
      </c>
    </row>
    <row r="230" spans="1:8" x14ac:dyDescent="0.25">
      <c r="A230" s="11">
        <v>41153</v>
      </c>
      <c r="B230" s="12">
        <v>104000</v>
      </c>
      <c r="C230" s="12" t="s">
        <v>2</v>
      </c>
      <c r="D230" s="1"/>
      <c r="F230" s="11">
        <v>40118</v>
      </c>
      <c r="G230" s="12">
        <v>40333</v>
      </c>
      <c r="H230" s="12" t="s">
        <v>16</v>
      </c>
    </row>
    <row r="231" spans="1:8" x14ac:dyDescent="0.25">
      <c r="A231" s="11">
        <v>41183</v>
      </c>
      <c r="B231" s="12">
        <v>35820</v>
      </c>
      <c r="C231" s="12" t="s">
        <v>4</v>
      </c>
      <c r="D231" s="1"/>
      <c r="F231" s="11">
        <v>40118</v>
      </c>
      <c r="G231" s="12">
        <v>7916</v>
      </c>
      <c r="H231" s="12" t="s">
        <v>14</v>
      </c>
    </row>
    <row r="232" spans="1:8" x14ac:dyDescent="0.25">
      <c r="A232" s="11">
        <v>41183</v>
      </c>
      <c r="B232" s="12">
        <v>41309</v>
      </c>
      <c r="C232" s="12" t="s">
        <v>5</v>
      </c>
      <c r="D232" s="1"/>
      <c r="F232" s="11">
        <v>40118</v>
      </c>
      <c r="G232" s="12">
        <v>272</v>
      </c>
      <c r="H232" s="12" t="s">
        <v>29</v>
      </c>
    </row>
    <row r="233" spans="1:8" x14ac:dyDescent="0.25">
      <c r="A233" s="11">
        <v>41183</v>
      </c>
      <c r="B233" s="12">
        <v>117389</v>
      </c>
      <c r="C233" s="12" t="s">
        <v>2</v>
      </c>
      <c r="D233" s="1"/>
      <c r="F233" s="11">
        <v>40148</v>
      </c>
      <c r="G233" s="12">
        <v>87853</v>
      </c>
      <c r="H233" s="12" t="s">
        <v>15</v>
      </c>
    </row>
    <row r="234" spans="1:8" x14ac:dyDescent="0.25">
      <c r="A234" s="11">
        <v>41214</v>
      </c>
      <c r="B234" s="12">
        <v>41650</v>
      </c>
      <c r="C234" s="12" t="s">
        <v>4</v>
      </c>
      <c r="D234" s="1"/>
      <c r="F234" s="11">
        <v>40148</v>
      </c>
      <c r="G234" s="12">
        <v>42529</v>
      </c>
      <c r="H234" s="12" t="s">
        <v>16</v>
      </c>
    </row>
    <row r="235" spans="1:8" x14ac:dyDescent="0.25">
      <c r="A235" s="11">
        <v>41214</v>
      </c>
      <c r="B235" s="12">
        <v>40014</v>
      </c>
      <c r="C235" s="12" t="s">
        <v>5</v>
      </c>
      <c r="D235" s="1"/>
      <c r="F235" s="11">
        <v>40148</v>
      </c>
      <c r="G235" s="12">
        <v>10797</v>
      </c>
      <c r="H235" s="12" t="s">
        <v>14</v>
      </c>
    </row>
    <row r="236" spans="1:8" x14ac:dyDescent="0.25">
      <c r="A236" s="11">
        <v>41214</v>
      </c>
      <c r="B236" s="12">
        <v>125598</v>
      </c>
      <c r="C236" s="12" t="s">
        <v>2</v>
      </c>
      <c r="D236" s="1"/>
      <c r="F236" s="11">
        <v>40148</v>
      </c>
      <c r="G236" s="12">
        <v>342</v>
      </c>
      <c r="H236" s="12" t="s">
        <v>29</v>
      </c>
    </row>
    <row r="237" spans="1:8" x14ac:dyDescent="0.25">
      <c r="A237" s="11">
        <v>41244</v>
      </c>
      <c r="B237" s="12">
        <v>42712</v>
      </c>
      <c r="C237" s="12" t="s">
        <v>4</v>
      </c>
      <c r="D237" s="1"/>
      <c r="F237" s="11">
        <v>40179</v>
      </c>
      <c r="G237" s="12">
        <v>95694</v>
      </c>
      <c r="H237" s="12" t="s">
        <v>15</v>
      </c>
    </row>
    <row r="238" spans="1:8" x14ac:dyDescent="0.25">
      <c r="A238" s="11">
        <v>41244</v>
      </c>
      <c r="B238" s="12">
        <v>44818</v>
      </c>
      <c r="C238" s="12" t="s">
        <v>5</v>
      </c>
      <c r="D238" s="1"/>
      <c r="F238" s="11">
        <v>40179</v>
      </c>
      <c r="G238" s="12">
        <v>39868</v>
      </c>
      <c r="H238" s="12" t="s">
        <v>16</v>
      </c>
    </row>
    <row r="239" spans="1:8" x14ac:dyDescent="0.25">
      <c r="A239" s="11">
        <v>41244</v>
      </c>
      <c r="B239" s="12">
        <v>126694</v>
      </c>
      <c r="C239" s="12" t="s">
        <v>2</v>
      </c>
      <c r="D239" s="1"/>
      <c r="F239" s="11">
        <v>40179</v>
      </c>
      <c r="G239" s="12">
        <v>14023</v>
      </c>
      <c r="H239" s="12" t="s">
        <v>14</v>
      </c>
    </row>
    <row r="240" spans="1:8" x14ac:dyDescent="0.25">
      <c r="A240" s="11">
        <v>41275</v>
      </c>
      <c r="B240" s="12">
        <v>38258</v>
      </c>
      <c r="C240" s="12" t="s">
        <v>4</v>
      </c>
      <c r="D240" s="1"/>
      <c r="F240" s="11">
        <v>40179</v>
      </c>
      <c r="G240" s="12">
        <v>386</v>
      </c>
      <c r="H240" s="12" t="s">
        <v>29</v>
      </c>
    </row>
    <row r="241" spans="1:8" x14ac:dyDescent="0.25">
      <c r="A241" s="11">
        <v>41275</v>
      </c>
      <c r="B241" s="12">
        <v>38993</v>
      </c>
      <c r="C241" s="12" t="s">
        <v>5</v>
      </c>
      <c r="D241" s="1"/>
      <c r="F241" s="11">
        <v>40210</v>
      </c>
      <c r="G241" s="12">
        <v>104090</v>
      </c>
      <c r="H241" s="12" t="s">
        <v>15</v>
      </c>
    </row>
    <row r="242" spans="1:8" x14ac:dyDescent="0.25">
      <c r="A242" s="11">
        <v>41275</v>
      </c>
      <c r="B242" s="12">
        <v>107284</v>
      </c>
      <c r="C242" s="12" t="s">
        <v>2</v>
      </c>
      <c r="D242" s="1"/>
      <c r="F242" s="11">
        <v>40210</v>
      </c>
      <c r="G242" s="12">
        <v>32990</v>
      </c>
      <c r="H242" s="12" t="s">
        <v>16</v>
      </c>
    </row>
    <row r="243" spans="1:8" x14ac:dyDescent="0.25">
      <c r="A243" s="11">
        <v>41306</v>
      </c>
      <c r="B243" s="12">
        <v>43005</v>
      </c>
      <c r="C243" s="12" t="s">
        <v>4</v>
      </c>
      <c r="D243" s="1"/>
      <c r="F243" s="11">
        <v>40210</v>
      </c>
      <c r="G243" s="12">
        <v>16981</v>
      </c>
      <c r="H243" s="12" t="s">
        <v>14</v>
      </c>
    </row>
    <row r="244" spans="1:8" x14ac:dyDescent="0.25">
      <c r="A244" s="11">
        <v>41306</v>
      </c>
      <c r="B244" s="12">
        <v>39751</v>
      </c>
      <c r="C244" s="12" t="s">
        <v>5</v>
      </c>
      <c r="D244" s="1"/>
      <c r="F244" s="11">
        <v>40210</v>
      </c>
      <c r="G244" s="12">
        <v>2940</v>
      </c>
      <c r="H244" s="12" t="s">
        <v>29</v>
      </c>
    </row>
    <row r="245" spans="1:8" x14ac:dyDescent="0.25">
      <c r="A245" s="11">
        <v>41306</v>
      </c>
      <c r="B245" s="12">
        <v>117221</v>
      </c>
      <c r="C245" s="12" t="s">
        <v>2</v>
      </c>
      <c r="D245" s="1"/>
      <c r="F245" s="11">
        <v>40238</v>
      </c>
      <c r="G245" s="12">
        <v>92611</v>
      </c>
      <c r="H245" s="12" t="s">
        <v>15</v>
      </c>
    </row>
    <row r="246" spans="1:8" x14ac:dyDescent="0.25">
      <c r="A246" s="11">
        <v>41334</v>
      </c>
      <c r="B246" s="12">
        <v>47434</v>
      </c>
      <c r="C246" s="12" t="s">
        <v>4</v>
      </c>
      <c r="D246" s="1"/>
      <c r="F246" s="11">
        <v>40238</v>
      </c>
      <c r="G246" s="12">
        <v>24007</v>
      </c>
      <c r="H246" s="12" t="s">
        <v>16</v>
      </c>
    </row>
    <row r="247" spans="1:8" x14ac:dyDescent="0.25">
      <c r="A247" s="11">
        <v>41334</v>
      </c>
      <c r="B247" s="12">
        <v>43204</v>
      </c>
      <c r="C247" s="12" t="s">
        <v>5</v>
      </c>
      <c r="D247" s="1"/>
      <c r="F247" s="11">
        <v>40238</v>
      </c>
      <c r="G247" s="12">
        <v>15865</v>
      </c>
      <c r="H247" s="12" t="s">
        <v>14</v>
      </c>
    </row>
    <row r="248" spans="1:8" x14ac:dyDescent="0.25">
      <c r="A248" s="11">
        <v>41334</v>
      </c>
      <c r="B248" s="12">
        <v>119902</v>
      </c>
      <c r="C248" s="12" t="s">
        <v>2</v>
      </c>
      <c r="D248" s="1"/>
      <c r="F248" s="11">
        <v>40238</v>
      </c>
      <c r="G248" s="12">
        <v>2600</v>
      </c>
      <c r="H248" s="12" t="s">
        <v>29</v>
      </c>
    </row>
    <row r="249" spans="1:8" x14ac:dyDescent="0.25">
      <c r="A249" s="11">
        <v>41365</v>
      </c>
      <c r="B249" s="12">
        <v>41186</v>
      </c>
      <c r="C249" s="12" t="s">
        <v>4</v>
      </c>
      <c r="D249" s="1"/>
      <c r="F249" s="11">
        <v>40269</v>
      </c>
      <c r="G249" s="12">
        <v>70714</v>
      </c>
      <c r="H249" s="12" t="s">
        <v>15</v>
      </c>
    </row>
    <row r="250" spans="1:8" x14ac:dyDescent="0.25">
      <c r="A250" s="11">
        <v>41365</v>
      </c>
      <c r="B250" s="12">
        <v>43907</v>
      </c>
      <c r="C250" s="12" t="s">
        <v>5</v>
      </c>
      <c r="D250" s="1"/>
      <c r="F250" s="11">
        <v>40269</v>
      </c>
      <c r="G250" s="12">
        <v>26517</v>
      </c>
      <c r="H250" s="12" t="s">
        <v>16</v>
      </c>
    </row>
    <row r="251" spans="1:8" x14ac:dyDescent="0.25">
      <c r="A251" s="11">
        <v>41365</v>
      </c>
      <c r="B251" s="12">
        <v>122971</v>
      </c>
      <c r="C251" s="12" t="s">
        <v>2</v>
      </c>
      <c r="D251" s="1"/>
      <c r="F251" s="11">
        <v>40269</v>
      </c>
      <c r="G251" s="12">
        <v>12471</v>
      </c>
      <c r="H251" s="12" t="s">
        <v>14</v>
      </c>
    </row>
    <row r="252" spans="1:8" x14ac:dyDescent="0.25">
      <c r="A252" s="11">
        <v>41395</v>
      </c>
      <c r="B252" s="12">
        <v>31293</v>
      </c>
      <c r="C252" s="12" t="s">
        <v>4</v>
      </c>
      <c r="D252" s="1"/>
      <c r="F252" s="11">
        <v>40269</v>
      </c>
      <c r="G252" s="12">
        <v>2471</v>
      </c>
      <c r="H252" s="12" t="s">
        <v>29</v>
      </c>
    </row>
    <row r="253" spans="1:8" x14ac:dyDescent="0.25">
      <c r="A253" s="11">
        <v>41395</v>
      </c>
      <c r="B253" s="12">
        <v>43909</v>
      </c>
      <c r="C253" s="12" t="s">
        <v>5</v>
      </c>
      <c r="D253" s="1"/>
      <c r="F253" s="11">
        <v>40299</v>
      </c>
      <c r="G253" s="12">
        <v>78056</v>
      </c>
      <c r="H253" s="12" t="s">
        <v>15</v>
      </c>
    </row>
    <row r="254" spans="1:8" x14ac:dyDescent="0.25">
      <c r="A254" s="11">
        <v>41395</v>
      </c>
      <c r="B254" s="12">
        <v>126258</v>
      </c>
      <c r="C254" s="12" t="s">
        <v>2</v>
      </c>
      <c r="D254" s="1"/>
      <c r="F254" s="11">
        <v>40299</v>
      </c>
      <c r="G254" s="12">
        <v>32725</v>
      </c>
      <c r="H254" s="12" t="s">
        <v>16</v>
      </c>
    </row>
    <row r="255" spans="1:8" x14ac:dyDescent="0.25">
      <c r="A255" s="11">
        <v>41426</v>
      </c>
      <c r="B255" s="12">
        <v>27425</v>
      </c>
      <c r="C255" s="12" t="s">
        <v>4</v>
      </c>
      <c r="D255" s="1"/>
      <c r="F255" s="11">
        <v>40299</v>
      </c>
      <c r="G255" s="12">
        <v>15106</v>
      </c>
      <c r="H255" s="12" t="s">
        <v>14</v>
      </c>
    </row>
    <row r="256" spans="1:8" x14ac:dyDescent="0.25">
      <c r="A256" s="11">
        <v>41426</v>
      </c>
      <c r="B256" s="12">
        <v>40410</v>
      </c>
      <c r="C256" s="12" t="s">
        <v>5</v>
      </c>
      <c r="D256" s="1"/>
      <c r="F256" s="11">
        <v>40299</v>
      </c>
      <c r="G256" s="12">
        <v>2720</v>
      </c>
      <c r="H256" s="12" t="s">
        <v>29</v>
      </c>
    </row>
    <row r="257" spans="1:8" x14ac:dyDescent="0.25">
      <c r="A257" s="11">
        <v>41426</v>
      </c>
      <c r="B257" s="12">
        <v>124050</v>
      </c>
      <c r="C257" s="12" t="s">
        <v>2</v>
      </c>
      <c r="D257" s="1"/>
      <c r="F257" s="11">
        <v>40330</v>
      </c>
      <c r="G257" s="12">
        <v>69761</v>
      </c>
      <c r="H257" s="12" t="s">
        <v>15</v>
      </c>
    </row>
    <row r="258" spans="1:8" x14ac:dyDescent="0.25">
      <c r="A258" s="11">
        <v>41456</v>
      </c>
      <c r="B258" s="12">
        <v>33701</v>
      </c>
      <c r="C258" s="12" t="s">
        <v>4</v>
      </c>
      <c r="D258" s="1"/>
      <c r="F258" s="11">
        <v>40330</v>
      </c>
      <c r="G258" s="12">
        <v>38338</v>
      </c>
      <c r="H258" s="12" t="s">
        <v>16</v>
      </c>
    </row>
    <row r="259" spans="1:8" x14ac:dyDescent="0.25">
      <c r="A259" s="11">
        <v>41456</v>
      </c>
      <c r="B259" s="12">
        <v>36908</v>
      </c>
      <c r="C259" s="12" t="s">
        <v>5</v>
      </c>
      <c r="D259" s="1"/>
      <c r="F259" s="11">
        <v>40330</v>
      </c>
      <c r="G259" s="12">
        <v>13999</v>
      </c>
      <c r="H259" s="12" t="s">
        <v>14</v>
      </c>
    </row>
    <row r="260" spans="1:8" x14ac:dyDescent="0.25">
      <c r="A260" s="11">
        <v>41456</v>
      </c>
      <c r="B260" s="12">
        <v>139014</v>
      </c>
      <c r="C260" s="12" t="s">
        <v>2</v>
      </c>
      <c r="D260" s="1"/>
      <c r="F260" s="11">
        <v>40330</v>
      </c>
      <c r="G260" s="12">
        <v>2552</v>
      </c>
      <c r="H260" s="12" t="s">
        <v>29</v>
      </c>
    </row>
    <row r="261" spans="1:8" x14ac:dyDescent="0.25">
      <c r="A261" s="11">
        <v>41487</v>
      </c>
      <c r="B261" s="12">
        <v>28315</v>
      </c>
      <c r="C261" s="12" t="s">
        <v>4</v>
      </c>
      <c r="D261" s="1"/>
      <c r="F261" s="11">
        <v>40360</v>
      </c>
      <c r="G261" s="12">
        <v>59275</v>
      </c>
      <c r="H261" s="12" t="s">
        <v>15</v>
      </c>
    </row>
    <row r="262" spans="1:8" x14ac:dyDescent="0.25">
      <c r="A262" s="11">
        <v>41487</v>
      </c>
      <c r="B262" s="12">
        <v>31392</v>
      </c>
      <c r="C262" s="12" t="s">
        <v>5</v>
      </c>
      <c r="D262" s="1"/>
      <c r="F262" s="11">
        <v>40360</v>
      </c>
      <c r="G262" s="12">
        <v>42298</v>
      </c>
      <c r="H262" s="12" t="s">
        <v>16</v>
      </c>
    </row>
    <row r="263" spans="1:8" x14ac:dyDescent="0.25">
      <c r="A263" s="11">
        <v>41487</v>
      </c>
      <c r="B263" s="12">
        <v>123743</v>
      </c>
      <c r="C263" s="12" t="s">
        <v>2</v>
      </c>
      <c r="D263" s="1"/>
      <c r="F263" s="11">
        <v>40360</v>
      </c>
      <c r="G263" s="12">
        <v>10738</v>
      </c>
      <c r="H263" s="12" t="s">
        <v>14</v>
      </c>
    </row>
    <row r="264" spans="1:8" x14ac:dyDescent="0.25">
      <c r="A264" s="11">
        <v>41518</v>
      </c>
      <c r="B264" s="12">
        <v>19469</v>
      </c>
      <c r="C264" s="12" t="s">
        <v>4</v>
      </c>
      <c r="D264" s="1"/>
      <c r="F264" s="11">
        <v>40360</v>
      </c>
      <c r="G264" s="12">
        <v>2120</v>
      </c>
      <c r="H264" s="12" t="s">
        <v>29</v>
      </c>
    </row>
    <row r="265" spans="1:8" x14ac:dyDescent="0.25">
      <c r="A265" s="11">
        <v>41518</v>
      </c>
      <c r="B265" s="12">
        <v>28178</v>
      </c>
      <c r="C265" s="12" t="s">
        <v>5</v>
      </c>
      <c r="D265" s="1"/>
      <c r="F265" s="11">
        <v>40391</v>
      </c>
      <c r="G265" s="12">
        <v>72502</v>
      </c>
      <c r="H265" s="12" t="s">
        <v>15</v>
      </c>
    </row>
    <row r="266" spans="1:8" x14ac:dyDescent="0.25">
      <c r="A266" s="11">
        <v>41518</v>
      </c>
      <c r="B266" s="12">
        <v>110555</v>
      </c>
      <c r="C266" s="12" t="s">
        <v>2</v>
      </c>
      <c r="D266" s="1"/>
      <c r="F266" s="11">
        <v>40391</v>
      </c>
      <c r="G266" s="12">
        <v>45035</v>
      </c>
      <c r="H266" s="12" t="s">
        <v>16</v>
      </c>
    </row>
    <row r="267" spans="1:8" x14ac:dyDescent="0.25">
      <c r="A267" s="11">
        <v>41548</v>
      </c>
      <c r="B267" s="12">
        <v>11892</v>
      </c>
      <c r="C267" s="12" t="s">
        <v>4</v>
      </c>
      <c r="D267" s="1"/>
      <c r="F267" s="11">
        <v>40391</v>
      </c>
      <c r="G267" s="12">
        <v>13788</v>
      </c>
      <c r="H267" s="12" t="s">
        <v>14</v>
      </c>
    </row>
    <row r="268" spans="1:8" x14ac:dyDescent="0.25">
      <c r="A268" s="11">
        <v>41548</v>
      </c>
      <c r="B268" s="12">
        <v>21968</v>
      </c>
      <c r="C268" s="12" t="s">
        <v>5</v>
      </c>
      <c r="D268" s="1"/>
      <c r="F268" s="11">
        <v>40391</v>
      </c>
      <c r="G268" s="12">
        <v>1051</v>
      </c>
      <c r="H268" s="12" t="s">
        <v>29</v>
      </c>
    </row>
    <row r="269" spans="1:8" x14ac:dyDescent="0.25">
      <c r="A269" s="11">
        <v>41548</v>
      </c>
      <c r="B269" s="12">
        <v>91905</v>
      </c>
      <c r="C269" s="12" t="s">
        <v>2</v>
      </c>
      <c r="D269" s="1"/>
      <c r="F269" s="11">
        <v>40422</v>
      </c>
      <c r="G269" s="12">
        <v>94552</v>
      </c>
      <c r="H269" s="12" t="s">
        <v>15</v>
      </c>
    </row>
    <row r="270" spans="1:8" x14ac:dyDescent="0.25">
      <c r="A270" s="11">
        <v>41579</v>
      </c>
      <c r="B270" s="12">
        <v>8042</v>
      </c>
      <c r="C270" s="12" t="s">
        <v>4</v>
      </c>
      <c r="D270" s="1"/>
      <c r="F270" s="11">
        <v>40422</v>
      </c>
      <c r="G270" s="12">
        <v>27440</v>
      </c>
      <c r="H270" s="12" t="s">
        <v>16</v>
      </c>
    </row>
    <row r="271" spans="1:8" x14ac:dyDescent="0.25">
      <c r="A271" s="11">
        <v>41579</v>
      </c>
      <c r="B271" s="12">
        <v>16212</v>
      </c>
      <c r="C271" s="12" t="s">
        <v>5</v>
      </c>
      <c r="D271" s="1"/>
      <c r="F271" s="11">
        <v>40422</v>
      </c>
      <c r="G271" s="12">
        <v>17097</v>
      </c>
      <c r="H271" s="12" t="s">
        <v>14</v>
      </c>
    </row>
    <row r="272" spans="1:8" x14ac:dyDescent="0.25">
      <c r="A272" s="11">
        <v>41579</v>
      </c>
      <c r="B272" s="12">
        <v>74813</v>
      </c>
      <c r="C272" s="12" t="s">
        <v>2</v>
      </c>
      <c r="D272" s="1"/>
      <c r="F272" s="11">
        <v>40422</v>
      </c>
      <c r="G272" s="12">
        <v>1371</v>
      </c>
      <c r="H272" s="12" t="s">
        <v>29</v>
      </c>
    </row>
    <row r="273" spans="1:8" x14ac:dyDescent="0.25">
      <c r="A273" s="11">
        <v>41609</v>
      </c>
      <c r="B273" s="12">
        <v>8266</v>
      </c>
      <c r="C273" s="12" t="s">
        <v>4</v>
      </c>
      <c r="D273" s="1"/>
      <c r="F273" s="11">
        <v>40452</v>
      </c>
      <c r="G273" s="12">
        <v>127669</v>
      </c>
      <c r="H273" s="12" t="s">
        <v>15</v>
      </c>
    </row>
    <row r="274" spans="1:8" x14ac:dyDescent="0.25">
      <c r="A274" s="11">
        <v>41609</v>
      </c>
      <c r="B274" s="12">
        <v>14456</v>
      </c>
      <c r="C274" s="12" t="s">
        <v>5</v>
      </c>
      <c r="D274" s="1"/>
      <c r="F274" s="11">
        <v>40452</v>
      </c>
      <c r="G274" s="12">
        <v>26600</v>
      </c>
      <c r="H274" s="12" t="s">
        <v>16</v>
      </c>
    </row>
    <row r="275" spans="1:8" x14ac:dyDescent="0.25">
      <c r="A275" s="11">
        <v>41609</v>
      </c>
      <c r="B275" s="12">
        <v>76208</v>
      </c>
      <c r="C275" s="12" t="s">
        <v>2</v>
      </c>
      <c r="D275" s="1"/>
      <c r="F275" s="11">
        <v>40452</v>
      </c>
      <c r="G275" s="12">
        <v>19801</v>
      </c>
      <c r="H275" s="12" t="s">
        <v>14</v>
      </c>
    </row>
    <row r="276" spans="1:8" x14ac:dyDescent="0.25">
      <c r="A276" s="11">
        <v>41640</v>
      </c>
      <c r="B276" s="12">
        <v>9988</v>
      </c>
      <c r="C276" s="12" t="s">
        <v>4</v>
      </c>
      <c r="D276" s="1"/>
      <c r="F276" s="11">
        <v>40452</v>
      </c>
      <c r="G276" s="12">
        <v>1268</v>
      </c>
      <c r="H276" s="12" t="s">
        <v>29</v>
      </c>
    </row>
    <row r="277" spans="1:8" x14ac:dyDescent="0.25">
      <c r="A277" s="11">
        <v>41640</v>
      </c>
      <c r="B277" s="12">
        <v>12652</v>
      </c>
      <c r="C277" s="12" t="s">
        <v>5</v>
      </c>
      <c r="D277" s="1"/>
      <c r="F277" s="11">
        <v>40483</v>
      </c>
      <c r="G277" s="12">
        <v>144682</v>
      </c>
      <c r="H277" s="12" t="s">
        <v>15</v>
      </c>
    </row>
    <row r="278" spans="1:8" x14ac:dyDescent="0.25">
      <c r="A278" s="11">
        <v>41640</v>
      </c>
      <c r="B278" s="12">
        <v>74107</v>
      </c>
      <c r="C278" s="12" t="s">
        <v>2</v>
      </c>
      <c r="D278" s="1"/>
      <c r="F278" s="11">
        <v>40483</v>
      </c>
      <c r="G278" s="12">
        <v>23710</v>
      </c>
      <c r="H278" s="12" t="s">
        <v>16</v>
      </c>
    </row>
    <row r="279" spans="1:8" x14ac:dyDescent="0.25">
      <c r="A279" s="11">
        <v>41671</v>
      </c>
      <c r="B279" s="12">
        <v>9968</v>
      </c>
      <c r="C279" s="12" t="s">
        <v>4</v>
      </c>
      <c r="D279" s="1"/>
      <c r="F279" s="11">
        <v>40483</v>
      </c>
      <c r="G279" s="12">
        <v>21283</v>
      </c>
      <c r="H279" s="12" t="s">
        <v>14</v>
      </c>
    </row>
    <row r="280" spans="1:8" x14ac:dyDescent="0.25">
      <c r="A280" s="11">
        <v>41671</v>
      </c>
      <c r="B280" s="12">
        <v>12421</v>
      </c>
      <c r="C280" s="12" t="s">
        <v>5</v>
      </c>
      <c r="D280" s="1"/>
      <c r="F280" s="11">
        <v>40483</v>
      </c>
      <c r="G280" s="12">
        <v>1059</v>
      </c>
      <c r="H280" s="12" t="s">
        <v>29</v>
      </c>
    </row>
    <row r="281" spans="1:8" x14ac:dyDescent="0.25">
      <c r="A281" s="11">
        <v>41671</v>
      </c>
      <c r="B281" s="12">
        <v>76683</v>
      </c>
      <c r="C281" s="12" t="s">
        <v>2</v>
      </c>
      <c r="D281" s="1"/>
      <c r="F281" s="11">
        <v>40513</v>
      </c>
      <c r="G281" s="12">
        <v>159725</v>
      </c>
      <c r="H281" s="12" t="s">
        <v>15</v>
      </c>
    </row>
    <row r="282" spans="1:8" x14ac:dyDescent="0.25">
      <c r="A282" s="11">
        <v>41699</v>
      </c>
      <c r="B282" s="12">
        <v>6731</v>
      </c>
      <c r="C282" s="12" t="s">
        <v>4</v>
      </c>
      <c r="D282" s="1"/>
      <c r="F282" s="11">
        <v>40513</v>
      </c>
      <c r="G282" s="12">
        <v>23134</v>
      </c>
      <c r="H282" s="12" t="s">
        <v>16</v>
      </c>
    </row>
    <row r="283" spans="1:8" x14ac:dyDescent="0.25">
      <c r="A283" s="11">
        <v>41699</v>
      </c>
      <c r="B283" s="12">
        <v>10411</v>
      </c>
      <c r="C283" s="12" t="s">
        <v>5</v>
      </c>
      <c r="D283" s="1"/>
      <c r="F283" s="11">
        <v>40513</v>
      </c>
      <c r="G283" s="12">
        <v>23970</v>
      </c>
      <c r="H283" s="12" t="s">
        <v>14</v>
      </c>
    </row>
    <row r="284" spans="1:8" x14ac:dyDescent="0.25">
      <c r="A284" s="11">
        <v>41699</v>
      </c>
      <c r="B284" s="12">
        <v>6</v>
      </c>
      <c r="C284" s="12" t="s">
        <v>6</v>
      </c>
      <c r="D284" s="1"/>
      <c r="F284" s="11">
        <v>40513</v>
      </c>
      <c r="G284" s="12">
        <v>1211</v>
      </c>
      <c r="H284" s="12" t="s">
        <v>29</v>
      </c>
    </row>
    <row r="285" spans="1:8" x14ac:dyDescent="0.25">
      <c r="A285" s="11">
        <v>41699</v>
      </c>
      <c r="B285" s="12">
        <v>53604</v>
      </c>
      <c r="C285" s="12" t="s">
        <v>2</v>
      </c>
      <c r="D285" s="1"/>
      <c r="F285" s="11">
        <v>40544</v>
      </c>
      <c r="G285" s="12">
        <v>151110</v>
      </c>
      <c r="H285" s="12" t="s">
        <v>15</v>
      </c>
    </row>
    <row r="286" spans="1:8" x14ac:dyDescent="0.25">
      <c r="A286" s="11">
        <v>41730</v>
      </c>
      <c r="B286" s="12">
        <v>14732</v>
      </c>
      <c r="C286" s="12" t="s">
        <v>6</v>
      </c>
      <c r="D286" s="1"/>
      <c r="F286" s="11">
        <v>40544</v>
      </c>
      <c r="G286" s="12">
        <v>21811</v>
      </c>
      <c r="H286" s="12" t="s">
        <v>16</v>
      </c>
    </row>
    <row r="287" spans="1:8" x14ac:dyDescent="0.25">
      <c r="A287" s="11">
        <v>41730</v>
      </c>
      <c r="B287" s="12">
        <v>53677</v>
      </c>
      <c r="C287" s="12" t="s">
        <v>2</v>
      </c>
      <c r="D287" s="1"/>
      <c r="F287" s="11">
        <v>40544</v>
      </c>
      <c r="G287" s="12">
        <v>26744</v>
      </c>
      <c r="H287" s="12" t="s">
        <v>14</v>
      </c>
    </row>
    <row r="288" spans="1:8" x14ac:dyDescent="0.25">
      <c r="A288" s="11">
        <v>41760</v>
      </c>
      <c r="B288" s="12">
        <v>16975</v>
      </c>
      <c r="C288" s="12" t="s">
        <v>6</v>
      </c>
      <c r="D288" s="1"/>
      <c r="F288" s="11">
        <v>40544</v>
      </c>
      <c r="G288" s="12">
        <v>1228</v>
      </c>
      <c r="H288" s="12" t="s">
        <v>29</v>
      </c>
    </row>
    <row r="289" spans="1:8" x14ac:dyDescent="0.25">
      <c r="A289" s="11">
        <v>41760</v>
      </c>
      <c r="B289" s="12">
        <v>69517</v>
      </c>
      <c r="C289" s="12" t="s">
        <v>2</v>
      </c>
      <c r="D289" s="1"/>
      <c r="F289" s="11">
        <v>40575</v>
      </c>
      <c r="G289" s="12">
        <v>132760</v>
      </c>
      <c r="H289" s="12" t="s">
        <v>15</v>
      </c>
    </row>
    <row r="290" spans="1:8" x14ac:dyDescent="0.25">
      <c r="A290" s="11">
        <v>41791</v>
      </c>
      <c r="B290" s="12">
        <v>16247</v>
      </c>
      <c r="C290" s="12" t="s">
        <v>6</v>
      </c>
      <c r="D290" s="1"/>
      <c r="F290" s="11">
        <v>40575</v>
      </c>
      <c r="G290" s="12">
        <v>25761</v>
      </c>
      <c r="H290" s="12" t="s">
        <v>16</v>
      </c>
    </row>
    <row r="291" spans="1:8" x14ac:dyDescent="0.25">
      <c r="A291" s="11">
        <v>41791</v>
      </c>
      <c r="B291" s="12">
        <v>72708</v>
      </c>
      <c r="C291" s="12" t="s">
        <v>2</v>
      </c>
      <c r="D291" s="1"/>
      <c r="F291" s="11">
        <v>40575</v>
      </c>
      <c r="G291" s="12">
        <v>25576</v>
      </c>
      <c r="H291" s="12" t="s">
        <v>14</v>
      </c>
    </row>
    <row r="292" spans="1:8" x14ac:dyDescent="0.25">
      <c r="A292" s="11">
        <v>41821</v>
      </c>
      <c r="B292" s="12">
        <v>14795</v>
      </c>
      <c r="C292" s="12" t="s">
        <v>6</v>
      </c>
      <c r="D292" s="1"/>
      <c r="F292" s="11">
        <v>40575</v>
      </c>
      <c r="G292" s="12">
        <v>1581</v>
      </c>
      <c r="H292" s="12" t="s">
        <v>29</v>
      </c>
    </row>
    <row r="293" spans="1:8" x14ac:dyDescent="0.25">
      <c r="A293" s="11">
        <v>41821</v>
      </c>
      <c r="B293" s="12">
        <v>78474</v>
      </c>
      <c r="C293" s="12" t="s">
        <v>2</v>
      </c>
      <c r="D293" s="1"/>
      <c r="F293" s="11">
        <v>40603</v>
      </c>
      <c r="G293" s="12">
        <v>102610</v>
      </c>
      <c r="H293" s="12" t="s">
        <v>15</v>
      </c>
    </row>
    <row r="294" spans="1:8" x14ac:dyDescent="0.25">
      <c r="A294" s="11">
        <v>41852</v>
      </c>
      <c r="B294" s="12">
        <v>17303</v>
      </c>
      <c r="C294" s="12" t="s">
        <v>6</v>
      </c>
      <c r="D294" s="1"/>
      <c r="F294" s="11">
        <v>40603</v>
      </c>
      <c r="G294" s="12">
        <v>18886</v>
      </c>
      <c r="H294" s="12" t="s">
        <v>16</v>
      </c>
    </row>
    <row r="295" spans="1:8" x14ac:dyDescent="0.25">
      <c r="A295" s="11">
        <v>41852</v>
      </c>
      <c r="B295" s="12">
        <v>91560</v>
      </c>
      <c r="C295" s="12" t="s">
        <v>2</v>
      </c>
      <c r="D295" s="1"/>
      <c r="F295" s="11">
        <v>40603</v>
      </c>
      <c r="G295" s="12">
        <v>23483</v>
      </c>
      <c r="H295" s="12" t="s">
        <v>14</v>
      </c>
    </row>
    <row r="296" spans="1:8" x14ac:dyDescent="0.25">
      <c r="A296" s="11">
        <v>41883</v>
      </c>
      <c r="B296" s="12">
        <v>17845</v>
      </c>
      <c r="C296" s="12" t="s">
        <v>6</v>
      </c>
      <c r="D296" s="1"/>
      <c r="F296" s="11">
        <v>40603</v>
      </c>
      <c r="G296" s="12">
        <v>2324</v>
      </c>
      <c r="H296" s="12" t="s">
        <v>29</v>
      </c>
    </row>
    <row r="297" spans="1:8" x14ac:dyDescent="0.25">
      <c r="A297" s="11">
        <v>41883</v>
      </c>
      <c r="B297" s="12">
        <v>93456</v>
      </c>
      <c r="C297" s="12" t="s">
        <v>2</v>
      </c>
      <c r="D297" s="1"/>
      <c r="F297" s="11">
        <v>40634</v>
      </c>
      <c r="G297" s="12">
        <v>64624</v>
      </c>
      <c r="H297" s="12" t="s">
        <v>15</v>
      </c>
    </row>
    <row r="298" spans="1:8" x14ac:dyDescent="0.25">
      <c r="A298" s="11">
        <v>41913</v>
      </c>
      <c r="B298" s="12">
        <v>18082</v>
      </c>
      <c r="C298" s="12" t="s">
        <v>6</v>
      </c>
      <c r="D298" s="1"/>
      <c r="F298" s="11">
        <v>40634</v>
      </c>
      <c r="G298" s="12">
        <v>14760</v>
      </c>
      <c r="H298" s="12" t="s">
        <v>16</v>
      </c>
    </row>
    <row r="299" spans="1:8" x14ac:dyDescent="0.25">
      <c r="A299" s="11">
        <v>41913</v>
      </c>
      <c r="B299" s="12">
        <v>90124</v>
      </c>
      <c r="C299" s="12" t="s">
        <v>2</v>
      </c>
      <c r="D299" s="1"/>
      <c r="F299" s="11">
        <v>40634</v>
      </c>
      <c r="G299" s="12">
        <v>17904</v>
      </c>
      <c r="H299" s="12" t="s">
        <v>14</v>
      </c>
    </row>
    <row r="300" spans="1:8" x14ac:dyDescent="0.25">
      <c r="A300" s="11">
        <v>41944</v>
      </c>
      <c r="B300" s="12">
        <v>19144</v>
      </c>
      <c r="C300" s="12" t="s">
        <v>6</v>
      </c>
      <c r="D300" s="1"/>
      <c r="F300" s="11">
        <v>40634</v>
      </c>
      <c r="G300" s="12">
        <v>2513</v>
      </c>
      <c r="H300" s="12" t="s">
        <v>29</v>
      </c>
    </row>
    <row r="301" spans="1:8" x14ac:dyDescent="0.25">
      <c r="A301" s="11">
        <v>41944</v>
      </c>
      <c r="B301" s="12">
        <v>85481</v>
      </c>
      <c r="C301" s="12" t="s">
        <v>2</v>
      </c>
      <c r="D301" s="1"/>
      <c r="F301" s="11">
        <v>40664</v>
      </c>
      <c r="G301" s="12">
        <v>56903</v>
      </c>
      <c r="H301" s="12" t="s">
        <v>15</v>
      </c>
    </row>
    <row r="302" spans="1:8" x14ac:dyDescent="0.25">
      <c r="A302" s="11">
        <v>41974</v>
      </c>
      <c r="B302" s="12">
        <v>19529</v>
      </c>
      <c r="C302" s="12" t="s">
        <v>6</v>
      </c>
      <c r="D302" s="1"/>
      <c r="F302" s="11">
        <v>40664</v>
      </c>
      <c r="G302" s="12">
        <v>23441</v>
      </c>
      <c r="H302" s="12" t="s">
        <v>16</v>
      </c>
    </row>
    <row r="303" spans="1:8" x14ac:dyDescent="0.25">
      <c r="A303" s="11">
        <v>41974</v>
      </c>
      <c r="B303" s="12">
        <v>79805</v>
      </c>
      <c r="C303" s="12" t="s">
        <v>2</v>
      </c>
      <c r="D303" s="1"/>
      <c r="F303" s="11">
        <v>40664</v>
      </c>
      <c r="G303" s="12">
        <v>13374</v>
      </c>
      <c r="H303" s="12" t="s">
        <v>14</v>
      </c>
    </row>
    <row r="304" spans="1:8" x14ac:dyDescent="0.25">
      <c r="A304" s="11">
        <v>42005</v>
      </c>
      <c r="B304" s="12">
        <v>22919</v>
      </c>
      <c r="C304" s="12" t="s">
        <v>6</v>
      </c>
      <c r="D304" s="1"/>
      <c r="F304" s="11">
        <v>40664</v>
      </c>
      <c r="G304" s="12">
        <v>1851</v>
      </c>
      <c r="H304" s="12" t="s">
        <v>29</v>
      </c>
    </row>
    <row r="305" spans="1:8" x14ac:dyDescent="0.25">
      <c r="A305" s="11">
        <v>42005</v>
      </c>
      <c r="B305" s="12">
        <v>73815</v>
      </c>
      <c r="C305" s="12" t="s">
        <v>2</v>
      </c>
      <c r="D305" s="1"/>
      <c r="F305" s="11">
        <v>40695</v>
      </c>
      <c r="G305" s="12">
        <v>48075</v>
      </c>
      <c r="H305" s="12" t="s">
        <v>15</v>
      </c>
    </row>
    <row r="306" spans="1:8" x14ac:dyDescent="0.25">
      <c r="A306" s="11">
        <v>42036</v>
      </c>
      <c r="B306" s="12">
        <v>22297</v>
      </c>
      <c r="C306" s="12" t="s">
        <v>6</v>
      </c>
      <c r="D306" s="1"/>
      <c r="F306" s="11">
        <v>40695</v>
      </c>
      <c r="G306" s="12">
        <v>25937</v>
      </c>
      <c r="H306" s="12" t="s">
        <v>16</v>
      </c>
    </row>
    <row r="307" spans="1:8" x14ac:dyDescent="0.25">
      <c r="A307" s="11">
        <v>42036</v>
      </c>
      <c r="B307" s="12">
        <v>77853</v>
      </c>
      <c r="C307" s="12" t="s">
        <v>2</v>
      </c>
      <c r="D307" s="1"/>
      <c r="F307" s="11">
        <v>40695</v>
      </c>
      <c r="G307" s="12">
        <v>12054</v>
      </c>
      <c r="H307" s="12" t="s">
        <v>14</v>
      </c>
    </row>
    <row r="308" spans="1:8" x14ac:dyDescent="0.25">
      <c r="A308" s="11">
        <v>42064</v>
      </c>
      <c r="B308" s="12">
        <v>25518</v>
      </c>
      <c r="C308" s="12" t="s">
        <v>6</v>
      </c>
      <c r="D308" s="1"/>
      <c r="F308" s="11">
        <v>40695</v>
      </c>
      <c r="G308" s="12">
        <v>2143</v>
      </c>
      <c r="H308" s="12" t="s">
        <v>29</v>
      </c>
    </row>
    <row r="309" spans="1:8" x14ac:dyDescent="0.25">
      <c r="A309" s="11">
        <v>42064</v>
      </c>
      <c r="B309" s="12">
        <v>66551</v>
      </c>
      <c r="C309" s="12" t="s">
        <v>2</v>
      </c>
      <c r="D309" s="1"/>
      <c r="F309" s="11">
        <v>40725</v>
      </c>
      <c r="G309" s="12">
        <v>40851</v>
      </c>
      <c r="H309" s="12" t="s">
        <v>15</v>
      </c>
    </row>
    <row r="310" spans="1:8" x14ac:dyDescent="0.25">
      <c r="A310" s="11">
        <v>42095</v>
      </c>
      <c r="B310" s="12">
        <v>79384</v>
      </c>
      <c r="C310" s="12" t="s">
        <v>2</v>
      </c>
      <c r="D310" s="1"/>
      <c r="F310" s="11">
        <v>40725</v>
      </c>
      <c r="G310" s="12">
        <v>28385</v>
      </c>
      <c r="H310" s="12" t="s">
        <v>16</v>
      </c>
    </row>
    <row r="311" spans="1:8" x14ac:dyDescent="0.25">
      <c r="A311" s="11">
        <v>42095</v>
      </c>
      <c r="B311" s="12">
        <v>36949</v>
      </c>
      <c r="C311" s="12" t="s">
        <v>6</v>
      </c>
      <c r="D311" s="1"/>
      <c r="F311" s="11">
        <v>40725</v>
      </c>
      <c r="G311" s="12">
        <v>10483</v>
      </c>
      <c r="H311" s="12" t="s">
        <v>14</v>
      </c>
    </row>
    <row r="312" spans="1:8" x14ac:dyDescent="0.25">
      <c r="A312" s="11">
        <v>42125</v>
      </c>
      <c r="B312" s="12">
        <v>108047</v>
      </c>
      <c r="C312" s="12" t="s">
        <v>2</v>
      </c>
      <c r="D312" s="1"/>
      <c r="F312" s="11">
        <v>40725</v>
      </c>
      <c r="G312" s="12">
        <v>1799</v>
      </c>
      <c r="H312" s="12" t="s">
        <v>29</v>
      </c>
    </row>
    <row r="313" spans="1:8" x14ac:dyDescent="0.25">
      <c r="A313" s="11">
        <v>42125</v>
      </c>
      <c r="B313" s="12">
        <v>41559</v>
      </c>
      <c r="C313" s="12" t="s">
        <v>6</v>
      </c>
      <c r="D313" s="1"/>
      <c r="F313" s="11">
        <v>40756</v>
      </c>
      <c r="G313" s="12">
        <v>51337</v>
      </c>
      <c r="H313" s="12" t="s">
        <v>15</v>
      </c>
    </row>
    <row r="314" spans="1:8" x14ac:dyDescent="0.25">
      <c r="A314" s="11">
        <v>42156</v>
      </c>
      <c r="B314" s="12">
        <v>32104</v>
      </c>
      <c r="C314" s="12" t="s">
        <v>6</v>
      </c>
      <c r="D314" s="1"/>
      <c r="F314" s="11">
        <v>40756</v>
      </c>
      <c r="G314" s="12">
        <v>37390</v>
      </c>
      <c r="H314" s="12" t="s">
        <v>16</v>
      </c>
    </row>
    <row r="315" spans="1:8" x14ac:dyDescent="0.25">
      <c r="A315" s="11">
        <v>42156</v>
      </c>
      <c r="B315" s="12">
        <v>106375</v>
      </c>
      <c r="C315" s="12" t="s">
        <v>2</v>
      </c>
      <c r="D315" s="1"/>
      <c r="F315" s="11">
        <v>40756</v>
      </c>
      <c r="G315" s="12">
        <v>11570</v>
      </c>
      <c r="H315" s="12" t="s">
        <v>14</v>
      </c>
    </row>
    <row r="316" spans="1:8" x14ac:dyDescent="0.25">
      <c r="A316" s="11">
        <v>42186</v>
      </c>
      <c r="B316" s="12">
        <v>104371</v>
      </c>
      <c r="C316" s="12" t="s">
        <v>2</v>
      </c>
      <c r="D316" s="1"/>
      <c r="F316" s="11">
        <v>40756</v>
      </c>
      <c r="G316" s="12">
        <v>1754</v>
      </c>
      <c r="H316" s="12" t="s">
        <v>29</v>
      </c>
    </row>
    <row r="317" spans="1:8" x14ac:dyDescent="0.25">
      <c r="A317" s="11">
        <v>42186</v>
      </c>
      <c r="B317" s="12">
        <v>27611</v>
      </c>
      <c r="C317" s="12" t="s">
        <v>6</v>
      </c>
      <c r="D317" s="1"/>
      <c r="F317" s="11">
        <v>40787</v>
      </c>
      <c r="G317" s="12">
        <v>57314</v>
      </c>
      <c r="H317" s="12" t="s">
        <v>15</v>
      </c>
    </row>
    <row r="318" spans="1:8" x14ac:dyDescent="0.25">
      <c r="A318" s="11">
        <v>42217</v>
      </c>
      <c r="B318" s="12">
        <v>108316</v>
      </c>
      <c r="C318" s="12" t="s">
        <v>2</v>
      </c>
      <c r="D318" s="1"/>
      <c r="F318" s="11">
        <v>40787</v>
      </c>
      <c r="G318" s="12">
        <v>32968</v>
      </c>
      <c r="H318" s="12" t="s">
        <v>16</v>
      </c>
    </row>
    <row r="319" spans="1:8" x14ac:dyDescent="0.25">
      <c r="A319" s="11">
        <v>42217</v>
      </c>
      <c r="B319" s="12">
        <v>22441</v>
      </c>
      <c r="C319" s="12" t="s">
        <v>6</v>
      </c>
      <c r="D319" s="1"/>
      <c r="F319" s="11">
        <v>40787</v>
      </c>
      <c r="G319" s="12">
        <v>12293</v>
      </c>
      <c r="H319" s="12" t="s">
        <v>14</v>
      </c>
    </row>
    <row r="320" spans="1:8" x14ac:dyDescent="0.25">
      <c r="A320" s="11">
        <v>42248</v>
      </c>
      <c r="B320" s="12">
        <v>103703</v>
      </c>
      <c r="C320" s="12" t="s">
        <v>2</v>
      </c>
      <c r="D320" s="1"/>
      <c r="F320" s="11">
        <v>40787</v>
      </c>
      <c r="G320" s="12">
        <v>1447</v>
      </c>
      <c r="H320" s="12" t="s">
        <v>29</v>
      </c>
    </row>
    <row r="321" spans="1:8" x14ac:dyDescent="0.25">
      <c r="A321" s="11">
        <v>42248</v>
      </c>
      <c r="B321" s="12">
        <v>18079</v>
      </c>
      <c r="C321" s="12" t="s">
        <v>6</v>
      </c>
      <c r="D321" s="1"/>
      <c r="F321" s="11">
        <v>40817</v>
      </c>
      <c r="G321" s="12">
        <v>63523</v>
      </c>
      <c r="H321" s="12" t="s">
        <v>15</v>
      </c>
    </row>
    <row r="322" spans="1:8" x14ac:dyDescent="0.25">
      <c r="A322" s="11">
        <v>42278</v>
      </c>
      <c r="B322" s="12">
        <v>17283</v>
      </c>
      <c r="C322" s="12" t="s">
        <v>6</v>
      </c>
      <c r="D322" s="1"/>
      <c r="F322" s="11">
        <v>40817</v>
      </c>
      <c r="G322" s="12">
        <v>31907</v>
      </c>
      <c r="H322" s="12" t="s">
        <v>16</v>
      </c>
    </row>
    <row r="323" spans="1:8" x14ac:dyDescent="0.25">
      <c r="A323" s="11">
        <v>42278</v>
      </c>
      <c r="B323" s="12">
        <v>98950</v>
      </c>
      <c r="C323" s="12" t="s">
        <v>2</v>
      </c>
      <c r="D323" s="1"/>
      <c r="F323" s="11">
        <v>40817</v>
      </c>
      <c r="G323" s="12">
        <v>13197</v>
      </c>
      <c r="H323" s="12" t="s">
        <v>14</v>
      </c>
    </row>
    <row r="324" spans="1:8" x14ac:dyDescent="0.25">
      <c r="A324" s="11">
        <v>42309</v>
      </c>
      <c r="B324" s="12">
        <v>96289</v>
      </c>
      <c r="C324" s="12" t="s">
        <v>2</v>
      </c>
      <c r="D324" s="1"/>
      <c r="F324" s="11">
        <v>40817</v>
      </c>
      <c r="G324" s="12">
        <v>1266</v>
      </c>
      <c r="H324" s="12" t="s">
        <v>29</v>
      </c>
    </row>
    <row r="325" spans="1:8" x14ac:dyDescent="0.25">
      <c r="A325" s="11">
        <v>42309</v>
      </c>
      <c r="B325" s="12">
        <v>18429</v>
      </c>
      <c r="C325" s="12" t="s">
        <v>6</v>
      </c>
      <c r="D325" s="1"/>
      <c r="F325" s="11">
        <v>40848</v>
      </c>
      <c r="G325" s="12">
        <v>100246</v>
      </c>
      <c r="H325" s="12" t="s">
        <v>15</v>
      </c>
    </row>
    <row r="326" spans="1:8" x14ac:dyDescent="0.25">
      <c r="A326" s="11">
        <v>42339</v>
      </c>
      <c r="B326" s="12">
        <v>19457</v>
      </c>
      <c r="C326" s="12" t="s">
        <v>6</v>
      </c>
      <c r="D326" s="1"/>
      <c r="F326" s="11">
        <v>40848</v>
      </c>
      <c r="G326" s="12">
        <v>26269</v>
      </c>
      <c r="H326" s="12" t="s">
        <v>16</v>
      </c>
    </row>
    <row r="327" spans="1:8" x14ac:dyDescent="0.25">
      <c r="A327" s="11">
        <v>42339</v>
      </c>
      <c r="B327" s="12">
        <v>91881</v>
      </c>
      <c r="C327" s="12" t="s">
        <v>2</v>
      </c>
      <c r="D327" s="1"/>
      <c r="F327" s="11">
        <v>40848</v>
      </c>
      <c r="G327" s="12">
        <v>15246</v>
      </c>
      <c r="H327" s="12" t="s">
        <v>14</v>
      </c>
    </row>
    <row r="328" spans="1:8" x14ac:dyDescent="0.25">
      <c r="A328" s="11">
        <v>42370</v>
      </c>
      <c r="B328" s="12">
        <v>72646</v>
      </c>
      <c r="C328" s="12" t="s">
        <v>2</v>
      </c>
      <c r="D328" s="1"/>
      <c r="F328" s="11">
        <v>40848</v>
      </c>
      <c r="G328" s="12">
        <v>1278</v>
      </c>
      <c r="H328" s="12" t="s">
        <v>29</v>
      </c>
    </row>
    <row r="329" spans="1:8" x14ac:dyDescent="0.25">
      <c r="A329" s="11">
        <v>42370</v>
      </c>
      <c r="B329" s="12">
        <v>16961</v>
      </c>
      <c r="C329" s="12" t="s">
        <v>6</v>
      </c>
      <c r="D329" s="1"/>
      <c r="F329" s="11">
        <v>40878</v>
      </c>
      <c r="G329" s="12">
        <v>110032</v>
      </c>
      <c r="H329" s="12" t="s">
        <v>15</v>
      </c>
    </row>
    <row r="330" spans="1:8" x14ac:dyDescent="0.25">
      <c r="A330" s="11">
        <v>42401</v>
      </c>
      <c r="B330" s="12">
        <v>10098</v>
      </c>
      <c r="C330" s="12" t="s">
        <v>6</v>
      </c>
      <c r="D330" s="1"/>
      <c r="F330" s="11">
        <v>40878</v>
      </c>
      <c r="G330" s="12">
        <v>19185</v>
      </c>
      <c r="H330" s="12" t="s">
        <v>16</v>
      </c>
    </row>
    <row r="331" spans="1:8" x14ac:dyDescent="0.25">
      <c r="A331" s="11">
        <v>42401</v>
      </c>
      <c r="B331" s="12">
        <v>49433</v>
      </c>
      <c r="C331" s="12" t="s">
        <v>2</v>
      </c>
      <c r="D331" s="1"/>
      <c r="F331" s="11">
        <v>40878</v>
      </c>
      <c r="G331" s="12">
        <v>17511</v>
      </c>
      <c r="H331" s="12" t="s">
        <v>14</v>
      </c>
    </row>
    <row r="332" spans="1:8" x14ac:dyDescent="0.25">
      <c r="A332" s="11">
        <v>42430</v>
      </c>
      <c r="B332" s="12">
        <v>2050</v>
      </c>
      <c r="C332" s="12" t="s">
        <v>2</v>
      </c>
      <c r="D332" s="1"/>
      <c r="F332" s="11">
        <v>40878</v>
      </c>
      <c r="G332" s="12">
        <v>1272</v>
      </c>
      <c r="H332" s="12" t="s">
        <v>29</v>
      </c>
    </row>
    <row r="333" spans="1:8" x14ac:dyDescent="0.25">
      <c r="A333" s="11">
        <v>42430</v>
      </c>
      <c r="B333" s="12">
        <v>714</v>
      </c>
      <c r="C333" s="12" t="s">
        <v>6</v>
      </c>
      <c r="D333" s="1"/>
      <c r="F333" s="11">
        <v>40909</v>
      </c>
      <c r="G333" s="12">
        <v>103400</v>
      </c>
      <c r="H333" s="12" t="s">
        <v>15</v>
      </c>
    </row>
    <row r="334" spans="1:8" x14ac:dyDescent="0.25">
      <c r="D334" s="1"/>
      <c r="F334" s="11">
        <v>40909</v>
      </c>
      <c r="G334" s="12">
        <v>19041</v>
      </c>
      <c r="H334" s="12" t="s">
        <v>16</v>
      </c>
    </row>
    <row r="335" spans="1:8" x14ac:dyDescent="0.25">
      <c r="D335" s="1"/>
      <c r="F335" s="11">
        <v>40909</v>
      </c>
      <c r="G335" s="12">
        <v>17965</v>
      </c>
      <c r="H335" s="12" t="s">
        <v>14</v>
      </c>
    </row>
    <row r="336" spans="1:8" x14ac:dyDescent="0.25">
      <c r="D336" s="1"/>
      <c r="F336" s="11">
        <v>40909</v>
      </c>
      <c r="G336" s="12">
        <v>1117</v>
      </c>
      <c r="H336" s="12" t="s">
        <v>29</v>
      </c>
    </row>
    <row r="337" spans="4:8" x14ac:dyDescent="0.25">
      <c r="D337" s="1"/>
      <c r="F337" s="11">
        <v>40940</v>
      </c>
      <c r="G337" s="12">
        <v>101749</v>
      </c>
      <c r="H337" s="12" t="s">
        <v>15</v>
      </c>
    </row>
    <row r="338" spans="4:8" x14ac:dyDescent="0.25">
      <c r="D338" s="1"/>
      <c r="F338" s="11">
        <v>40940</v>
      </c>
      <c r="G338" s="12">
        <v>22374</v>
      </c>
      <c r="H338" s="12" t="s">
        <v>16</v>
      </c>
    </row>
    <row r="339" spans="4:8" x14ac:dyDescent="0.25">
      <c r="D339" s="1"/>
      <c r="F339" s="11">
        <v>40940</v>
      </c>
      <c r="G339" s="12">
        <v>17000</v>
      </c>
      <c r="H339" s="12" t="s">
        <v>14</v>
      </c>
    </row>
    <row r="340" spans="4:8" x14ac:dyDescent="0.25">
      <c r="D340" s="1"/>
      <c r="F340" s="11">
        <v>40940</v>
      </c>
      <c r="G340" s="12">
        <v>1010</v>
      </c>
      <c r="H340" s="12" t="s">
        <v>29</v>
      </c>
    </row>
    <row r="341" spans="4:8" x14ac:dyDescent="0.25">
      <c r="D341" s="1"/>
      <c r="F341" s="11">
        <v>40969</v>
      </c>
      <c r="G341" s="12">
        <v>91387</v>
      </c>
      <c r="H341" s="12" t="s">
        <v>15</v>
      </c>
    </row>
    <row r="342" spans="4:8" x14ac:dyDescent="0.25">
      <c r="D342" s="1"/>
      <c r="F342" s="11">
        <v>40969</v>
      </c>
      <c r="G342" s="12">
        <v>14175</v>
      </c>
      <c r="H342" s="12" t="s">
        <v>16</v>
      </c>
    </row>
    <row r="343" spans="4:8" x14ac:dyDescent="0.25">
      <c r="D343" s="1"/>
      <c r="F343" s="11">
        <v>40969</v>
      </c>
      <c r="G343" s="12">
        <v>21322</v>
      </c>
      <c r="H343" s="12" t="s">
        <v>14</v>
      </c>
    </row>
    <row r="344" spans="4:8" x14ac:dyDescent="0.25">
      <c r="D344" s="1"/>
      <c r="F344" s="11">
        <v>40969</v>
      </c>
      <c r="G344" s="12">
        <v>1024</v>
      </c>
      <c r="H344" s="12" t="s">
        <v>29</v>
      </c>
    </row>
    <row r="345" spans="4:8" x14ac:dyDescent="0.25">
      <c r="D345" s="1"/>
      <c r="F345" s="11">
        <v>41000</v>
      </c>
      <c r="G345" s="12">
        <v>94733</v>
      </c>
      <c r="H345" s="12" t="s">
        <v>15</v>
      </c>
    </row>
    <row r="346" spans="4:8" x14ac:dyDescent="0.25">
      <c r="D346" s="1"/>
      <c r="F346" s="11">
        <v>41000</v>
      </c>
      <c r="G346" s="12">
        <v>14570</v>
      </c>
      <c r="H346" s="12" t="s">
        <v>16</v>
      </c>
    </row>
    <row r="347" spans="4:8" x14ac:dyDescent="0.25">
      <c r="D347" s="1"/>
      <c r="F347" s="11">
        <v>41000</v>
      </c>
      <c r="G347" s="12">
        <v>31372</v>
      </c>
      <c r="H347" s="12" t="s">
        <v>14</v>
      </c>
    </row>
    <row r="348" spans="4:8" x14ac:dyDescent="0.25">
      <c r="D348" s="1"/>
      <c r="F348" s="11">
        <v>41000</v>
      </c>
      <c r="G348" s="12">
        <v>884</v>
      </c>
      <c r="H348" s="12" t="s">
        <v>29</v>
      </c>
    </row>
    <row r="349" spans="4:8" x14ac:dyDescent="0.25">
      <c r="D349" s="1"/>
      <c r="F349" s="11">
        <v>41030</v>
      </c>
      <c r="G349" s="12">
        <v>94954</v>
      </c>
      <c r="H349" s="12" t="s">
        <v>15</v>
      </c>
    </row>
    <row r="350" spans="4:8" x14ac:dyDescent="0.25">
      <c r="D350" s="1"/>
      <c r="F350" s="11">
        <v>41030</v>
      </c>
      <c r="G350" s="12">
        <v>19251</v>
      </c>
      <c r="H350" s="12" t="s">
        <v>16</v>
      </c>
    </row>
    <row r="351" spans="4:8" x14ac:dyDescent="0.25">
      <c r="D351" s="1"/>
      <c r="F351" s="11">
        <v>41030</v>
      </c>
      <c r="G351" s="12">
        <v>36518</v>
      </c>
      <c r="H351" s="12" t="s">
        <v>14</v>
      </c>
    </row>
    <row r="352" spans="4:8" x14ac:dyDescent="0.25">
      <c r="D352" s="1"/>
      <c r="F352" s="11">
        <v>41030</v>
      </c>
      <c r="G352" s="12">
        <v>908</v>
      </c>
      <c r="H352" s="12" t="s">
        <v>29</v>
      </c>
    </row>
    <row r="353" spans="4:8" x14ac:dyDescent="0.25">
      <c r="D353" s="1"/>
      <c r="F353" s="11">
        <v>41061</v>
      </c>
      <c r="G353" s="12">
        <v>81621</v>
      </c>
      <c r="H353" s="12" t="s">
        <v>15</v>
      </c>
    </row>
    <row r="354" spans="4:8" x14ac:dyDescent="0.25">
      <c r="D354" s="1"/>
      <c r="F354" s="11">
        <v>41061</v>
      </c>
      <c r="G354" s="12">
        <v>28239</v>
      </c>
      <c r="H354" s="12" t="s">
        <v>16</v>
      </c>
    </row>
    <row r="355" spans="4:8" x14ac:dyDescent="0.25">
      <c r="D355" s="1"/>
      <c r="F355" s="11">
        <v>41061</v>
      </c>
      <c r="G355" s="12">
        <v>42915</v>
      </c>
      <c r="H355" s="12" t="s">
        <v>14</v>
      </c>
    </row>
    <row r="356" spans="4:8" x14ac:dyDescent="0.25">
      <c r="D356" s="1"/>
      <c r="F356" s="11">
        <v>41061</v>
      </c>
      <c r="G356" s="12">
        <v>1290</v>
      </c>
      <c r="H356" s="12" t="s">
        <v>29</v>
      </c>
    </row>
    <row r="357" spans="4:8" x14ac:dyDescent="0.25">
      <c r="D357" s="1"/>
      <c r="F357" s="11">
        <v>41091</v>
      </c>
      <c r="G357" s="12">
        <v>75842</v>
      </c>
      <c r="H357" s="12" t="s">
        <v>15</v>
      </c>
    </row>
    <row r="358" spans="4:8" x14ac:dyDescent="0.25">
      <c r="D358" s="1"/>
      <c r="F358" s="11">
        <v>41091</v>
      </c>
      <c r="G358" s="12">
        <v>34940</v>
      </c>
      <c r="H358" s="12" t="s">
        <v>16</v>
      </c>
    </row>
    <row r="359" spans="4:8" x14ac:dyDescent="0.25">
      <c r="D359" s="1"/>
      <c r="F359" s="11">
        <v>41091</v>
      </c>
      <c r="G359" s="12">
        <v>45971</v>
      </c>
      <c r="H359" s="12" t="s">
        <v>14</v>
      </c>
    </row>
    <row r="360" spans="4:8" x14ac:dyDescent="0.25">
      <c r="D360" s="1"/>
      <c r="F360" s="11">
        <v>41091</v>
      </c>
      <c r="G360" s="12">
        <v>1483</v>
      </c>
      <c r="H360" s="12" t="s">
        <v>29</v>
      </c>
    </row>
    <row r="361" spans="4:8" x14ac:dyDescent="0.25">
      <c r="D361" s="1"/>
      <c r="F361" s="11">
        <v>41122</v>
      </c>
      <c r="G361" s="12">
        <v>76995</v>
      </c>
      <c r="H361" s="12" t="s">
        <v>15</v>
      </c>
    </row>
    <row r="362" spans="4:8" x14ac:dyDescent="0.25">
      <c r="D362" s="1"/>
      <c r="F362" s="11">
        <v>41122</v>
      </c>
      <c r="G362" s="12">
        <v>34898</v>
      </c>
      <c r="H362" s="12" t="s">
        <v>16</v>
      </c>
    </row>
    <row r="363" spans="4:8" x14ac:dyDescent="0.25">
      <c r="D363" s="1"/>
      <c r="F363" s="11">
        <v>41122</v>
      </c>
      <c r="G363" s="12">
        <v>43691</v>
      </c>
      <c r="H363" s="12" t="s">
        <v>14</v>
      </c>
    </row>
    <row r="364" spans="4:8" x14ac:dyDescent="0.25">
      <c r="D364" s="1"/>
      <c r="F364" s="11">
        <v>41122</v>
      </c>
      <c r="G364" s="12">
        <v>1340</v>
      </c>
      <c r="H364" s="12" t="s">
        <v>29</v>
      </c>
    </row>
    <row r="365" spans="4:8" x14ac:dyDescent="0.25">
      <c r="D365" s="1"/>
      <c r="F365" s="11">
        <v>41153</v>
      </c>
      <c r="G365" s="12">
        <v>92921</v>
      </c>
      <c r="H365" s="12" t="s">
        <v>15</v>
      </c>
    </row>
    <row r="366" spans="4:8" x14ac:dyDescent="0.25">
      <c r="D366" s="1"/>
      <c r="F366" s="11">
        <v>41153</v>
      </c>
      <c r="G366" s="12">
        <v>36014</v>
      </c>
      <c r="H366" s="12" t="s">
        <v>16</v>
      </c>
    </row>
    <row r="367" spans="4:8" x14ac:dyDescent="0.25">
      <c r="D367" s="1"/>
      <c r="F367" s="11">
        <v>41153</v>
      </c>
      <c r="G367" s="12">
        <v>40793</v>
      </c>
      <c r="H367" s="12" t="s">
        <v>14</v>
      </c>
    </row>
    <row r="368" spans="4:8" x14ac:dyDescent="0.25">
      <c r="D368" s="1"/>
      <c r="F368" s="11">
        <v>41153</v>
      </c>
      <c r="G368" s="12">
        <v>1549</v>
      </c>
      <c r="H368" s="12" t="s">
        <v>29</v>
      </c>
    </row>
    <row r="369" spans="4:8" x14ac:dyDescent="0.25">
      <c r="D369" s="1"/>
      <c r="F369" s="11">
        <v>41183</v>
      </c>
      <c r="G369" s="12">
        <v>115744</v>
      </c>
      <c r="H369" s="12" t="s">
        <v>15</v>
      </c>
    </row>
    <row r="370" spans="4:8" x14ac:dyDescent="0.25">
      <c r="D370" s="1"/>
      <c r="F370" s="11">
        <v>41183</v>
      </c>
      <c r="G370" s="12">
        <v>37344</v>
      </c>
      <c r="H370" s="12" t="s">
        <v>16</v>
      </c>
    </row>
    <row r="371" spans="4:8" x14ac:dyDescent="0.25">
      <c r="D371" s="1"/>
      <c r="F371" s="11">
        <v>41183</v>
      </c>
      <c r="G371" s="12">
        <v>40118</v>
      </c>
      <c r="H371" s="12" t="s">
        <v>14</v>
      </c>
    </row>
    <row r="372" spans="4:8" x14ac:dyDescent="0.25">
      <c r="D372" s="1"/>
      <c r="F372" s="11">
        <v>41183</v>
      </c>
      <c r="G372" s="12">
        <v>1312</v>
      </c>
      <c r="H372" s="12" t="s">
        <v>29</v>
      </c>
    </row>
    <row r="373" spans="4:8" x14ac:dyDescent="0.25">
      <c r="D373" s="1"/>
      <c r="F373" s="11">
        <v>41214</v>
      </c>
      <c r="G373" s="12">
        <v>132925</v>
      </c>
      <c r="H373" s="12" t="s">
        <v>15</v>
      </c>
    </row>
    <row r="374" spans="4:8" x14ac:dyDescent="0.25">
      <c r="D374" s="1"/>
      <c r="F374" s="11">
        <v>41214</v>
      </c>
      <c r="G374" s="12">
        <v>37205</v>
      </c>
      <c r="H374" s="12" t="s">
        <v>16</v>
      </c>
    </row>
    <row r="375" spans="4:8" x14ac:dyDescent="0.25">
      <c r="D375" s="1"/>
      <c r="F375" s="11">
        <v>41214</v>
      </c>
      <c r="G375" s="12">
        <v>35669</v>
      </c>
      <c r="H375" s="12" t="s">
        <v>14</v>
      </c>
    </row>
    <row r="376" spans="4:8" x14ac:dyDescent="0.25">
      <c r="D376" s="1"/>
      <c r="F376" s="11">
        <v>41214</v>
      </c>
      <c r="G376" s="12">
        <v>1463</v>
      </c>
      <c r="H376" s="12" t="s">
        <v>29</v>
      </c>
    </row>
    <row r="377" spans="4:8" x14ac:dyDescent="0.25">
      <c r="D377" s="1"/>
      <c r="F377" s="11">
        <v>41244</v>
      </c>
      <c r="G377" s="12">
        <v>135602</v>
      </c>
      <c r="H377" s="12" t="s">
        <v>15</v>
      </c>
    </row>
    <row r="378" spans="4:8" x14ac:dyDescent="0.25">
      <c r="D378" s="1"/>
      <c r="F378" s="11">
        <v>41244</v>
      </c>
      <c r="G378" s="12">
        <v>36076</v>
      </c>
      <c r="H378" s="12" t="s">
        <v>16</v>
      </c>
    </row>
    <row r="379" spans="4:8" x14ac:dyDescent="0.25">
      <c r="D379" s="1"/>
      <c r="F379" s="11">
        <v>41244</v>
      </c>
      <c r="G379" s="12">
        <v>41177</v>
      </c>
      <c r="H379" s="12" t="s">
        <v>14</v>
      </c>
    </row>
    <row r="380" spans="4:8" x14ac:dyDescent="0.25">
      <c r="D380" s="1"/>
      <c r="F380" s="11">
        <v>41244</v>
      </c>
      <c r="G380" s="12">
        <v>1369</v>
      </c>
      <c r="H380" s="12" t="s">
        <v>29</v>
      </c>
    </row>
    <row r="381" spans="4:8" x14ac:dyDescent="0.25">
      <c r="D381" s="1"/>
      <c r="F381" s="11">
        <v>41275</v>
      </c>
      <c r="G381" s="12">
        <v>120174</v>
      </c>
      <c r="H381" s="12" t="s">
        <v>15</v>
      </c>
    </row>
    <row r="382" spans="4:8" x14ac:dyDescent="0.25">
      <c r="D382" s="1"/>
      <c r="F382" s="11">
        <v>41275</v>
      </c>
      <c r="G382" s="12">
        <v>28776</v>
      </c>
      <c r="H382" s="12" t="s">
        <v>16</v>
      </c>
    </row>
    <row r="383" spans="4:8" x14ac:dyDescent="0.25">
      <c r="D383" s="1"/>
      <c r="F383" s="11">
        <v>41275</v>
      </c>
      <c r="G383" s="12">
        <v>34074</v>
      </c>
      <c r="H383" s="12" t="s">
        <v>14</v>
      </c>
    </row>
    <row r="384" spans="4:8" x14ac:dyDescent="0.25">
      <c r="D384" s="1"/>
      <c r="F384" s="11">
        <v>41275</v>
      </c>
      <c r="G384" s="12">
        <v>1511</v>
      </c>
      <c r="H384" s="12" t="s">
        <v>29</v>
      </c>
    </row>
    <row r="385" spans="4:8" x14ac:dyDescent="0.25">
      <c r="D385" s="1"/>
      <c r="F385" s="11">
        <v>41306</v>
      </c>
      <c r="G385" s="12">
        <v>132741</v>
      </c>
      <c r="H385" s="12" t="s">
        <v>15</v>
      </c>
    </row>
    <row r="386" spans="4:8" x14ac:dyDescent="0.25">
      <c r="D386" s="1"/>
      <c r="F386" s="11">
        <v>41306</v>
      </c>
      <c r="G386" s="12">
        <v>31148</v>
      </c>
      <c r="H386" s="12" t="s">
        <v>16</v>
      </c>
    </row>
    <row r="387" spans="4:8" x14ac:dyDescent="0.25">
      <c r="D387" s="1"/>
      <c r="F387" s="11">
        <v>41306</v>
      </c>
      <c r="G387" s="12">
        <v>34581</v>
      </c>
      <c r="H387" s="12" t="s">
        <v>14</v>
      </c>
    </row>
    <row r="388" spans="4:8" x14ac:dyDescent="0.25">
      <c r="D388" s="1"/>
      <c r="F388" s="11">
        <v>41306</v>
      </c>
      <c r="G388" s="12">
        <v>1507</v>
      </c>
      <c r="H388" s="12" t="s">
        <v>29</v>
      </c>
    </row>
    <row r="389" spans="4:8" x14ac:dyDescent="0.25">
      <c r="D389" s="1"/>
      <c r="F389" s="11">
        <v>41334</v>
      </c>
      <c r="G389" s="12">
        <v>143863</v>
      </c>
      <c r="H389" s="12" t="s">
        <v>15</v>
      </c>
    </row>
    <row r="390" spans="4:8" x14ac:dyDescent="0.25">
      <c r="D390" s="1"/>
      <c r="F390" s="11">
        <v>41334</v>
      </c>
      <c r="G390" s="12">
        <v>27996</v>
      </c>
      <c r="H390" s="12" t="s">
        <v>16</v>
      </c>
    </row>
    <row r="391" spans="4:8" x14ac:dyDescent="0.25">
      <c r="D391" s="1"/>
      <c r="F391" s="11">
        <v>41334</v>
      </c>
      <c r="G391" s="12">
        <v>37309</v>
      </c>
      <c r="H391" s="12" t="s">
        <v>14</v>
      </c>
    </row>
    <row r="392" spans="4:8" x14ac:dyDescent="0.25">
      <c r="D392" s="1"/>
      <c r="F392" s="11">
        <v>41334</v>
      </c>
      <c r="G392" s="12">
        <v>1372</v>
      </c>
      <c r="H392" s="12" t="s">
        <v>29</v>
      </c>
    </row>
    <row r="393" spans="4:8" x14ac:dyDescent="0.25">
      <c r="D393" s="1"/>
      <c r="F393" s="11">
        <v>41365</v>
      </c>
      <c r="G393" s="12">
        <v>135495</v>
      </c>
      <c r="H393" s="12" t="s">
        <v>15</v>
      </c>
    </row>
    <row r="394" spans="4:8" x14ac:dyDescent="0.25">
      <c r="D394" s="1"/>
      <c r="F394" s="11">
        <v>41365</v>
      </c>
      <c r="G394" s="12">
        <v>33128</v>
      </c>
      <c r="H394" s="12" t="s">
        <v>16</v>
      </c>
    </row>
    <row r="395" spans="4:8" x14ac:dyDescent="0.25">
      <c r="D395" s="1"/>
      <c r="F395" s="11">
        <v>41365</v>
      </c>
      <c r="G395" s="12">
        <v>38148</v>
      </c>
      <c r="H395" s="12" t="s">
        <v>14</v>
      </c>
    </row>
    <row r="396" spans="4:8" x14ac:dyDescent="0.25">
      <c r="D396" s="1"/>
      <c r="F396" s="11">
        <v>41365</v>
      </c>
      <c r="G396" s="12">
        <v>1293</v>
      </c>
      <c r="H396" s="12" t="s">
        <v>29</v>
      </c>
    </row>
    <row r="397" spans="4:8" x14ac:dyDescent="0.25">
      <c r="D397" s="1"/>
      <c r="F397" s="11">
        <v>41395</v>
      </c>
      <c r="G397" s="12">
        <v>124278</v>
      </c>
      <c r="H397" s="12" t="s">
        <v>15</v>
      </c>
    </row>
    <row r="398" spans="4:8" x14ac:dyDescent="0.25">
      <c r="D398" s="1"/>
      <c r="F398" s="11">
        <v>41395</v>
      </c>
      <c r="G398" s="12">
        <v>37230</v>
      </c>
      <c r="H398" s="12" t="s">
        <v>16</v>
      </c>
    </row>
    <row r="399" spans="4:8" x14ac:dyDescent="0.25">
      <c r="D399" s="1"/>
      <c r="F399" s="11">
        <v>41395</v>
      </c>
      <c r="G399" s="12">
        <v>38694</v>
      </c>
      <c r="H399" s="12" t="s">
        <v>14</v>
      </c>
    </row>
    <row r="400" spans="4:8" x14ac:dyDescent="0.25">
      <c r="D400" s="1"/>
      <c r="F400" s="11">
        <v>41395</v>
      </c>
      <c r="G400" s="12">
        <v>1258</v>
      </c>
      <c r="H400" s="12" t="s">
        <v>29</v>
      </c>
    </row>
    <row r="401" spans="4:8" x14ac:dyDescent="0.25">
      <c r="D401" s="1"/>
      <c r="F401" s="11">
        <v>41426</v>
      </c>
      <c r="G401" s="12">
        <v>114998</v>
      </c>
      <c r="H401" s="12" t="s">
        <v>15</v>
      </c>
    </row>
    <row r="402" spans="4:8" x14ac:dyDescent="0.25">
      <c r="D402" s="1"/>
      <c r="F402" s="11">
        <v>41426</v>
      </c>
      <c r="G402" s="12">
        <v>39661</v>
      </c>
      <c r="H402" s="12" t="s">
        <v>16</v>
      </c>
    </row>
    <row r="403" spans="4:8" x14ac:dyDescent="0.25">
      <c r="D403" s="1"/>
      <c r="F403" s="11">
        <v>41426</v>
      </c>
      <c r="G403" s="12">
        <v>36066</v>
      </c>
      <c r="H403" s="12" t="s">
        <v>14</v>
      </c>
    </row>
    <row r="404" spans="4:8" x14ac:dyDescent="0.25">
      <c r="D404" s="1"/>
      <c r="F404" s="11">
        <v>41426</v>
      </c>
      <c r="G404" s="12">
        <v>1160</v>
      </c>
      <c r="H404" s="12" t="s">
        <v>29</v>
      </c>
    </row>
    <row r="405" spans="4:8" x14ac:dyDescent="0.25">
      <c r="D405" s="1"/>
      <c r="F405" s="11">
        <v>41456</v>
      </c>
      <c r="G405" s="12">
        <v>123608</v>
      </c>
      <c r="H405" s="12" t="s">
        <v>15</v>
      </c>
    </row>
    <row r="406" spans="4:8" x14ac:dyDescent="0.25">
      <c r="D406" s="1"/>
      <c r="F406" s="11">
        <v>41456</v>
      </c>
      <c r="G406" s="12">
        <v>53155</v>
      </c>
      <c r="H406" s="12" t="s">
        <v>16</v>
      </c>
    </row>
    <row r="407" spans="4:8" x14ac:dyDescent="0.25">
      <c r="D407" s="1"/>
      <c r="F407" s="11">
        <v>41456</v>
      </c>
      <c r="G407" s="12">
        <v>32031</v>
      </c>
      <c r="H407" s="12" t="s">
        <v>14</v>
      </c>
    </row>
    <row r="408" spans="4:8" x14ac:dyDescent="0.25">
      <c r="D408" s="1"/>
      <c r="F408" s="11">
        <v>41456</v>
      </c>
      <c r="G408" s="12">
        <v>829</v>
      </c>
      <c r="H408" s="12" t="s">
        <v>29</v>
      </c>
    </row>
    <row r="409" spans="4:8" x14ac:dyDescent="0.25">
      <c r="D409" s="1"/>
      <c r="F409" s="11">
        <v>41487</v>
      </c>
      <c r="G409" s="12">
        <v>102442</v>
      </c>
      <c r="H409" s="12" t="s">
        <v>15</v>
      </c>
    </row>
    <row r="410" spans="4:8" x14ac:dyDescent="0.25">
      <c r="D410" s="1"/>
      <c r="F410" s="11">
        <v>41487</v>
      </c>
      <c r="G410" s="12">
        <v>52023</v>
      </c>
      <c r="H410" s="12" t="s">
        <v>16</v>
      </c>
    </row>
    <row r="411" spans="4:8" x14ac:dyDescent="0.25">
      <c r="D411" s="1"/>
      <c r="F411" s="11">
        <v>41487</v>
      </c>
      <c r="G411" s="12">
        <v>28050</v>
      </c>
      <c r="H411" s="12" t="s">
        <v>14</v>
      </c>
    </row>
    <row r="412" spans="4:8" x14ac:dyDescent="0.25">
      <c r="D412" s="1"/>
      <c r="F412" s="11">
        <v>41487</v>
      </c>
      <c r="G412" s="12">
        <v>935</v>
      </c>
      <c r="H412" s="12" t="s">
        <v>29</v>
      </c>
    </row>
    <row r="413" spans="4:8" x14ac:dyDescent="0.25">
      <c r="D413" s="1"/>
      <c r="F413" s="11">
        <v>41518</v>
      </c>
      <c r="G413" s="12">
        <v>81323</v>
      </c>
      <c r="H413" s="12" t="s">
        <v>15</v>
      </c>
    </row>
    <row r="414" spans="4:8" x14ac:dyDescent="0.25">
      <c r="D414" s="1"/>
      <c r="F414" s="11">
        <v>41518</v>
      </c>
      <c r="G414" s="12">
        <v>49315</v>
      </c>
      <c r="H414" s="12" t="s">
        <v>16</v>
      </c>
    </row>
    <row r="415" spans="4:8" x14ac:dyDescent="0.25">
      <c r="D415" s="1"/>
      <c r="F415" s="11">
        <v>41518</v>
      </c>
      <c r="G415" s="12">
        <v>26408</v>
      </c>
      <c r="H415" s="12" t="s">
        <v>14</v>
      </c>
    </row>
    <row r="416" spans="4:8" x14ac:dyDescent="0.25">
      <c r="D416" s="1"/>
      <c r="F416" s="11">
        <v>41518</v>
      </c>
      <c r="G416" s="12">
        <v>1156</v>
      </c>
      <c r="H416" s="12" t="s">
        <v>29</v>
      </c>
    </row>
    <row r="417" spans="4:8" x14ac:dyDescent="0.25">
      <c r="D417" s="1"/>
      <c r="F417" s="11">
        <v>41548</v>
      </c>
      <c r="G417" s="12">
        <v>57751</v>
      </c>
      <c r="H417" s="12" t="s">
        <v>15</v>
      </c>
    </row>
    <row r="418" spans="4:8" x14ac:dyDescent="0.25">
      <c r="D418" s="1"/>
      <c r="F418" s="11">
        <v>41548</v>
      </c>
      <c r="G418" s="12">
        <v>45803</v>
      </c>
      <c r="H418" s="12" t="s">
        <v>16</v>
      </c>
    </row>
    <row r="419" spans="4:8" x14ac:dyDescent="0.25">
      <c r="D419" s="1"/>
      <c r="F419" s="11">
        <v>41548</v>
      </c>
      <c r="G419" s="12">
        <v>21270</v>
      </c>
      <c r="H419" s="12" t="s">
        <v>14</v>
      </c>
    </row>
    <row r="420" spans="4:8" x14ac:dyDescent="0.25">
      <c r="D420" s="1"/>
      <c r="F420" s="11">
        <v>41548</v>
      </c>
      <c r="G420" s="12">
        <v>941</v>
      </c>
      <c r="H420" s="12" t="s">
        <v>29</v>
      </c>
    </row>
    <row r="421" spans="4:8" x14ac:dyDescent="0.25">
      <c r="D421" s="1"/>
      <c r="F421" s="11">
        <v>41579</v>
      </c>
      <c r="G421" s="12">
        <v>43790</v>
      </c>
      <c r="H421" s="12" t="s">
        <v>15</v>
      </c>
    </row>
    <row r="422" spans="4:8" x14ac:dyDescent="0.25">
      <c r="D422" s="1"/>
      <c r="F422" s="11">
        <v>41579</v>
      </c>
      <c r="G422" s="12">
        <v>38553</v>
      </c>
      <c r="H422" s="12" t="s">
        <v>16</v>
      </c>
    </row>
    <row r="423" spans="4:8" x14ac:dyDescent="0.25">
      <c r="D423" s="1"/>
      <c r="F423" s="11">
        <v>41579</v>
      </c>
      <c r="G423" s="12">
        <v>15568</v>
      </c>
      <c r="H423" s="12" t="s">
        <v>14</v>
      </c>
    </row>
    <row r="424" spans="4:8" x14ac:dyDescent="0.25">
      <c r="D424" s="1"/>
      <c r="F424" s="11">
        <v>41579</v>
      </c>
      <c r="G424" s="12">
        <v>1156</v>
      </c>
      <c r="H424" s="12" t="s">
        <v>29</v>
      </c>
    </row>
    <row r="425" spans="4:8" x14ac:dyDescent="0.25">
      <c r="D425" s="1"/>
      <c r="F425" s="11">
        <v>41609</v>
      </c>
      <c r="G425" s="12">
        <v>42219</v>
      </c>
      <c r="H425" s="12" t="s">
        <v>15</v>
      </c>
    </row>
    <row r="426" spans="4:8" x14ac:dyDescent="0.25">
      <c r="D426" s="1"/>
      <c r="F426" s="11">
        <v>41609</v>
      </c>
      <c r="G426" s="12">
        <v>42185</v>
      </c>
      <c r="H426" s="12" t="s">
        <v>16</v>
      </c>
    </row>
    <row r="427" spans="4:8" x14ac:dyDescent="0.25">
      <c r="D427" s="1"/>
      <c r="F427" s="11">
        <v>41609</v>
      </c>
      <c r="G427" s="12">
        <v>13435</v>
      </c>
      <c r="H427" s="12" t="s">
        <v>14</v>
      </c>
    </row>
    <row r="428" spans="4:8" x14ac:dyDescent="0.25">
      <c r="D428" s="1"/>
      <c r="F428" s="11">
        <v>41609</v>
      </c>
      <c r="G428" s="12">
        <v>1091</v>
      </c>
      <c r="H428" s="12" t="s">
        <v>29</v>
      </c>
    </row>
    <row r="429" spans="4:8" x14ac:dyDescent="0.25">
      <c r="D429" s="1"/>
      <c r="F429" s="11">
        <v>41640</v>
      </c>
      <c r="G429" s="12">
        <v>43339</v>
      </c>
      <c r="H429" s="12" t="s">
        <v>15</v>
      </c>
    </row>
    <row r="430" spans="4:8" x14ac:dyDescent="0.25">
      <c r="D430" s="1"/>
      <c r="F430" s="11">
        <v>41640</v>
      </c>
      <c r="G430" s="12">
        <v>41227</v>
      </c>
      <c r="H430" s="12" t="s">
        <v>16</v>
      </c>
    </row>
    <row r="431" spans="4:8" x14ac:dyDescent="0.25">
      <c r="D431" s="1"/>
      <c r="F431" s="11">
        <v>41640</v>
      </c>
      <c r="G431" s="12">
        <v>11391</v>
      </c>
      <c r="H431" s="12" t="s">
        <v>14</v>
      </c>
    </row>
    <row r="432" spans="4:8" x14ac:dyDescent="0.25">
      <c r="D432" s="1"/>
      <c r="F432" s="11">
        <v>41640</v>
      </c>
      <c r="G432" s="12">
        <v>790</v>
      </c>
      <c r="H432" s="12" t="s">
        <v>29</v>
      </c>
    </row>
    <row r="433" spans="4:8" x14ac:dyDescent="0.25">
      <c r="D433" s="1"/>
      <c r="F433" s="11">
        <v>41671</v>
      </c>
      <c r="G433" s="12">
        <v>43722</v>
      </c>
      <c r="H433" s="12" t="s">
        <v>15</v>
      </c>
    </row>
    <row r="434" spans="4:8" x14ac:dyDescent="0.25">
      <c r="D434" s="1"/>
      <c r="F434" s="11">
        <v>41671</v>
      </c>
      <c r="G434" s="12">
        <v>43545</v>
      </c>
      <c r="H434" s="12" t="s">
        <v>16</v>
      </c>
    </row>
    <row r="435" spans="4:8" x14ac:dyDescent="0.25">
      <c r="D435" s="1"/>
      <c r="F435" s="11">
        <v>41671</v>
      </c>
      <c r="G435" s="12">
        <v>11123</v>
      </c>
      <c r="H435" s="12" t="s">
        <v>14</v>
      </c>
    </row>
    <row r="436" spans="4:8" x14ac:dyDescent="0.25">
      <c r="D436" s="1"/>
      <c r="F436" s="11">
        <v>41671</v>
      </c>
      <c r="G436" s="12">
        <v>682</v>
      </c>
      <c r="H436" s="12" t="s">
        <v>29</v>
      </c>
    </row>
    <row r="437" spans="4:8" x14ac:dyDescent="0.25">
      <c r="D437" s="1"/>
      <c r="F437" s="11">
        <v>41699</v>
      </c>
      <c r="G437" s="12">
        <v>32064</v>
      </c>
      <c r="H437" s="12" t="s">
        <v>15</v>
      </c>
    </row>
    <row r="438" spans="4:8" x14ac:dyDescent="0.25">
      <c r="D438" s="1"/>
      <c r="F438" s="11">
        <v>41699</v>
      </c>
      <c r="G438" s="12">
        <v>28653</v>
      </c>
      <c r="H438" s="12" t="s">
        <v>16</v>
      </c>
    </row>
    <row r="439" spans="4:8" x14ac:dyDescent="0.25">
      <c r="D439" s="1"/>
      <c r="F439" s="11">
        <v>41699</v>
      </c>
      <c r="G439" s="12">
        <v>9232</v>
      </c>
      <c r="H439" s="12" t="s">
        <v>14</v>
      </c>
    </row>
    <row r="440" spans="4:8" x14ac:dyDescent="0.25">
      <c r="D440" s="1"/>
      <c r="F440" s="11">
        <v>41699</v>
      </c>
      <c r="G440" s="12">
        <v>803</v>
      </c>
      <c r="H440" s="12" t="s">
        <v>29</v>
      </c>
    </row>
    <row r="441" spans="4:8" x14ac:dyDescent="0.25">
      <c r="D441" s="1"/>
      <c r="F441" s="11">
        <v>41730</v>
      </c>
      <c r="G441" s="12">
        <v>28871</v>
      </c>
      <c r="H441" s="12" t="s">
        <v>15</v>
      </c>
    </row>
    <row r="442" spans="4:8" x14ac:dyDescent="0.25">
      <c r="D442" s="1"/>
      <c r="F442" s="11">
        <v>41730</v>
      </c>
      <c r="G442" s="12">
        <v>31223</v>
      </c>
      <c r="H442" s="12" t="s">
        <v>16</v>
      </c>
    </row>
    <row r="443" spans="4:8" x14ac:dyDescent="0.25">
      <c r="D443" s="1"/>
      <c r="F443" s="11">
        <v>41730</v>
      </c>
      <c r="G443" s="12">
        <v>7551</v>
      </c>
      <c r="H443" s="12" t="s">
        <v>14</v>
      </c>
    </row>
    <row r="444" spans="4:8" x14ac:dyDescent="0.25">
      <c r="D444" s="1"/>
      <c r="F444" s="11">
        <v>41730</v>
      </c>
      <c r="G444" s="12">
        <v>764</v>
      </c>
      <c r="H444" s="12" t="s">
        <v>29</v>
      </c>
    </row>
    <row r="445" spans="4:8" x14ac:dyDescent="0.25">
      <c r="D445" s="1"/>
      <c r="F445" s="11">
        <v>41760</v>
      </c>
      <c r="G445" s="12">
        <v>36137</v>
      </c>
      <c r="H445" s="12" t="s">
        <v>15</v>
      </c>
    </row>
    <row r="446" spans="4:8" x14ac:dyDescent="0.25">
      <c r="D446" s="1"/>
      <c r="F446" s="11">
        <v>41760</v>
      </c>
      <c r="G446" s="12">
        <v>41931</v>
      </c>
      <c r="H446" s="12" t="s">
        <v>16</v>
      </c>
    </row>
    <row r="447" spans="4:8" x14ac:dyDescent="0.25">
      <c r="D447" s="1"/>
      <c r="F447" s="11">
        <v>41760</v>
      </c>
      <c r="G447" s="12">
        <v>7864</v>
      </c>
      <c r="H447" s="12" t="s">
        <v>14</v>
      </c>
    </row>
    <row r="448" spans="4:8" x14ac:dyDescent="0.25">
      <c r="D448" s="1"/>
      <c r="F448" s="11">
        <v>41760</v>
      </c>
      <c r="G448" s="12">
        <v>560</v>
      </c>
      <c r="H448" s="12" t="s">
        <v>29</v>
      </c>
    </row>
    <row r="449" spans="4:8" x14ac:dyDescent="0.25">
      <c r="D449" s="1"/>
      <c r="F449" s="11">
        <v>41791</v>
      </c>
      <c r="G449" s="12">
        <v>35698</v>
      </c>
      <c r="H449" s="12" t="s">
        <v>15</v>
      </c>
    </row>
    <row r="450" spans="4:8" x14ac:dyDescent="0.25">
      <c r="D450" s="1"/>
      <c r="F450" s="11">
        <v>41791</v>
      </c>
      <c r="G450" s="12">
        <v>45803</v>
      </c>
      <c r="H450" s="12" t="s">
        <v>16</v>
      </c>
    </row>
    <row r="451" spans="4:8" x14ac:dyDescent="0.25">
      <c r="D451" s="1"/>
      <c r="F451" s="11">
        <v>41791</v>
      </c>
      <c r="G451" s="12">
        <v>7314</v>
      </c>
      <c r="H451" s="12" t="s">
        <v>14</v>
      </c>
    </row>
    <row r="452" spans="4:8" x14ac:dyDescent="0.25">
      <c r="D452" s="1"/>
      <c r="F452" s="11">
        <v>41791</v>
      </c>
      <c r="G452" s="12">
        <v>140</v>
      </c>
      <c r="H452" s="12" t="s">
        <v>29</v>
      </c>
    </row>
    <row r="453" spans="4:8" x14ac:dyDescent="0.25">
      <c r="D453" s="1"/>
      <c r="F453" s="11">
        <v>41821</v>
      </c>
      <c r="G453" s="12">
        <v>34088</v>
      </c>
      <c r="H453" s="12" t="s">
        <v>15</v>
      </c>
    </row>
    <row r="454" spans="4:8" x14ac:dyDescent="0.25">
      <c r="D454" s="1"/>
      <c r="F454" s="11">
        <v>41821</v>
      </c>
      <c r="G454" s="12">
        <v>52996</v>
      </c>
      <c r="H454" s="12" t="s">
        <v>16</v>
      </c>
    </row>
    <row r="455" spans="4:8" x14ac:dyDescent="0.25">
      <c r="D455" s="1"/>
      <c r="F455" s="11">
        <v>41821</v>
      </c>
      <c r="G455" s="12">
        <v>6129</v>
      </c>
      <c r="H455" s="12" t="s">
        <v>14</v>
      </c>
    </row>
    <row r="456" spans="4:8" x14ac:dyDescent="0.25">
      <c r="D456" s="1"/>
      <c r="F456" s="11">
        <v>41821</v>
      </c>
      <c r="G456" s="12">
        <v>56</v>
      </c>
      <c r="H456" s="12" t="s">
        <v>29</v>
      </c>
    </row>
    <row r="457" spans="4:8" x14ac:dyDescent="0.25">
      <c r="D457" s="1"/>
      <c r="F457" s="11">
        <v>41852</v>
      </c>
      <c r="G457" s="12">
        <v>40264</v>
      </c>
      <c r="H457" s="12" t="s">
        <v>15</v>
      </c>
    </row>
    <row r="458" spans="4:8" x14ac:dyDescent="0.25">
      <c r="D458" s="1"/>
      <c r="F458" s="11">
        <v>41852</v>
      </c>
      <c r="G458" s="12">
        <v>63277</v>
      </c>
      <c r="H458" s="12" t="s">
        <v>16</v>
      </c>
    </row>
    <row r="459" spans="4:8" x14ac:dyDescent="0.25">
      <c r="D459" s="1"/>
      <c r="F459" s="11">
        <v>41852</v>
      </c>
      <c r="G459" s="12">
        <v>5322</v>
      </c>
      <c r="H459" s="12" t="s">
        <v>14</v>
      </c>
    </row>
    <row r="460" spans="4:8" x14ac:dyDescent="0.25">
      <c r="D460" s="1"/>
      <c r="F460" s="11">
        <v>41883</v>
      </c>
      <c r="G460" s="12">
        <v>42500</v>
      </c>
      <c r="H460" s="12" t="s">
        <v>15</v>
      </c>
    </row>
    <row r="461" spans="4:8" x14ac:dyDescent="0.25">
      <c r="D461" s="1"/>
      <c r="F461" s="11">
        <v>41883</v>
      </c>
      <c r="G461" s="12">
        <v>63877</v>
      </c>
      <c r="H461" s="12" t="s">
        <v>16</v>
      </c>
    </row>
    <row r="462" spans="4:8" x14ac:dyDescent="0.25">
      <c r="D462" s="1"/>
      <c r="F462" s="11">
        <v>41883</v>
      </c>
      <c r="G462" s="12">
        <v>4924</v>
      </c>
      <c r="H462" s="12" t="s">
        <v>14</v>
      </c>
    </row>
    <row r="463" spans="4:8" x14ac:dyDescent="0.25">
      <c r="D463" s="1"/>
      <c r="F463" s="11">
        <v>41913</v>
      </c>
      <c r="G463" s="12">
        <v>43572</v>
      </c>
      <c r="H463" s="12" t="s">
        <v>15</v>
      </c>
    </row>
    <row r="464" spans="4:8" x14ac:dyDescent="0.25">
      <c r="D464" s="1"/>
      <c r="F464" s="11">
        <v>41913</v>
      </c>
      <c r="G464" s="12">
        <v>59599</v>
      </c>
      <c r="H464" s="12" t="s">
        <v>16</v>
      </c>
    </row>
    <row r="465" spans="4:8" x14ac:dyDescent="0.25">
      <c r="D465" s="1"/>
      <c r="F465" s="11">
        <v>41913</v>
      </c>
      <c r="G465" s="12">
        <v>5035</v>
      </c>
      <c r="H465" s="12" t="s">
        <v>14</v>
      </c>
    </row>
    <row r="466" spans="4:8" x14ac:dyDescent="0.25">
      <c r="D466" s="1"/>
      <c r="F466" s="11">
        <v>41944</v>
      </c>
      <c r="G466" s="12">
        <v>46063</v>
      </c>
      <c r="H466" s="12" t="s">
        <v>15</v>
      </c>
    </row>
    <row r="467" spans="4:8" x14ac:dyDescent="0.25">
      <c r="D467" s="1"/>
      <c r="F467" s="11">
        <v>41944</v>
      </c>
      <c r="G467" s="12">
        <v>53419</v>
      </c>
      <c r="H467" s="12" t="s">
        <v>16</v>
      </c>
    </row>
    <row r="468" spans="4:8" x14ac:dyDescent="0.25">
      <c r="D468" s="1"/>
      <c r="F468" s="11">
        <v>41944</v>
      </c>
      <c r="G468" s="12">
        <v>5143</v>
      </c>
      <c r="H468" s="12" t="s">
        <v>14</v>
      </c>
    </row>
    <row r="469" spans="4:8" x14ac:dyDescent="0.25">
      <c r="D469" s="1"/>
      <c r="F469" s="11">
        <v>41974</v>
      </c>
      <c r="G469" s="12">
        <v>46013</v>
      </c>
      <c r="H469" s="12" t="s">
        <v>15</v>
      </c>
    </row>
    <row r="470" spans="4:8" x14ac:dyDescent="0.25">
      <c r="D470" s="1"/>
      <c r="F470" s="11">
        <v>41974</v>
      </c>
      <c r="G470" s="12">
        <v>48357</v>
      </c>
      <c r="H470" s="12" t="s">
        <v>16</v>
      </c>
    </row>
    <row r="471" spans="4:8" x14ac:dyDescent="0.25">
      <c r="D471" s="1"/>
      <c r="F471" s="11">
        <v>41974</v>
      </c>
      <c r="G471" s="12">
        <v>4964</v>
      </c>
      <c r="H471" s="12" t="s">
        <v>14</v>
      </c>
    </row>
    <row r="472" spans="4:8" x14ac:dyDescent="0.25">
      <c r="D472" s="1"/>
      <c r="F472" s="11">
        <v>42005</v>
      </c>
      <c r="G472" s="12">
        <v>51726</v>
      </c>
      <c r="H472" s="12" t="s">
        <v>15</v>
      </c>
    </row>
    <row r="473" spans="4:8" x14ac:dyDescent="0.25">
      <c r="D473" s="1"/>
      <c r="F473" s="11">
        <v>42005</v>
      </c>
      <c r="G473" s="12">
        <v>40697</v>
      </c>
      <c r="H473" s="12" t="s">
        <v>16</v>
      </c>
    </row>
    <row r="474" spans="4:8" x14ac:dyDescent="0.25">
      <c r="D474" s="1"/>
      <c r="F474" s="11">
        <v>42005</v>
      </c>
      <c r="G474" s="12">
        <v>4311</v>
      </c>
      <c r="H474" s="12" t="s">
        <v>14</v>
      </c>
    </row>
    <row r="475" spans="4:8" x14ac:dyDescent="0.25">
      <c r="D475" s="1"/>
      <c r="F475" s="11">
        <v>42036</v>
      </c>
      <c r="G475" s="12">
        <v>52342</v>
      </c>
      <c r="H475" s="12" t="s">
        <v>15</v>
      </c>
    </row>
    <row r="476" spans="4:8" x14ac:dyDescent="0.25">
      <c r="D476" s="1"/>
      <c r="F476" s="11">
        <v>42036</v>
      </c>
      <c r="G476" s="12">
        <v>43294</v>
      </c>
      <c r="H476" s="12" t="s">
        <v>16</v>
      </c>
    </row>
    <row r="477" spans="4:8" x14ac:dyDescent="0.25">
      <c r="D477" s="1"/>
      <c r="F477" s="11">
        <v>42036</v>
      </c>
      <c r="G477" s="12">
        <v>4514</v>
      </c>
      <c r="H477" s="12" t="s">
        <v>14</v>
      </c>
    </row>
    <row r="478" spans="4:8" x14ac:dyDescent="0.25">
      <c r="D478" s="1"/>
      <c r="F478" s="11">
        <v>42064</v>
      </c>
      <c r="G478" s="12">
        <v>56241</v>
      </c>
      <c r="H478" s="12" t="s">
        <v>15</v>
      </c>
    </row>
    <row r="479" spans="4:8" x14ac:dyDescent="0.25">
      <c r="D479" s="1"/>
      <c r="F479" s="11">
        <v>42064</v>
      </c>
      <c r="G479" s="12">
        <v>31801</v>
      </c>
      <c r="H479" s="12" t="s">
        <v>16</v>
      </c>
    </row>
    <row r="480" spans="4:8" x14ac:dyDescent="0.25">
      <c r="D480" s="1"/>
      <c r="F480" s="11">
        <v>42064</v>
      </c>
      <c r="G480" s="12">
        <v>4027</v>
      </c>
      <c r="H480" s="12" t="s">
        <v>14</v>
      </c>
    </row>
    <row r="481" spans="4:8" x14ac:dyDescent="0.25">
      <c r="D481" s="1"/>
      <c r="F481" s="11">
        <v>42095</v>
      </c>
      <c r="G481" s="12">
        <v>76500</v>
      </c>
      <c r="H481" s="12" t="s">
        <v>15</v>
      </c>
    </row>
    <row r="482" spans="4:8" x14ac:dyDescent="0.25">
      <c r="D482" s="1"/>
      <c r="F482" s="11">
        <v>42095</v>
      </c>
      <c r="G482" s="12">
        <v>35520</v>
      </c>
      <c r="H482" s="12" t="s">
        <v>16</v>
      </c>
    </row>
    <row r="483" spans="4:8" x14ac:dyDescent="0.25">
      <c r="D483" s="1"/>
      <c r="F483" s="11">
        <v>42095</v>
      </c>
      <c r="G483" s="12">
        <v>4313</v>
      </c>
      <c r="H483" s="12" t="s">
        <v>14</v>
      </c>
    </row>
    <row r="484" spans="4:8" x14ac:dyDescent="0.25">
      <c r="D484" s="1"/>
      <c r="F484" s="11">
        <v>42125</v>
      </c>
      <c r="G484" s="12">
        <v>94046</v>
      </c>
      <c r="H484" s="12" t="s">
        <v>15</v>
      </c>
    </row>
    <row r="485" spans="4:8" x14ac:dyDescent="0.25">
      <c r="D485" s="1"/>
      <c r="F485" s="11">
        <v>42125</v>
      </c>
      <c r="G485" s="12">
        <v>50658</v>
      </c>
      <c r="H485" s="12" t="s">
        <v>16</v>
      </c>
    </row>
    <row r="486" spans="4:8" x14ac:dyDescent="0.25">
      <c r="D486" s="1"/>
      <c r="F486" s="11">
        <v>42125</v>
      </c>
      <c r="G486" s="12">
        <v>4902</v>
      </c>
      <c r="H486" s="12" t="s">
        <v>14</v>
      </c>
    </row>
    <row r="487" spans="4:8" x14ac:dyDescent="0.25">
      <c r="D487" s="1"/>
      <c r="F487" s="11">
        <v>42156</v>
      </c>
      <c r="G487" s="12">
        <v>78361</v>
      </c>
      <c r="H487" s="12" t="s">
        <v>15</v>
      </c>
    </row>
    <row r="488" spans="4:8" x14ac:dyDescent="0.25">
      <c r="D488" s="1"/>
      <c r="F488" s="11">
        <v>42156</v>
      </c>
      <c r="G488" s="12">
        <v>55517</v>
      </c>
      <c r="H488" s="12" t="s">
        <v>16</v>
      </c>
    </row>
    <row r="489" spans="4:8" x14ac:dyDescent="0.25">
      <c r="D489" s="1"/>
      <c r="F489" s="11">
        <v>42156</v>
      </c>
      <c r="G489" s="12">
        <v>4601</v>
      </c>
      <c r="H489" s="12" t="s">
        <v>14</v>
      </c>
    </row>
    <row r="490" spans="4:8" x14ac:dyDescent="0.25">
      <c r="D490" s="1"/>
      <c r="F490" s="11">
        <v>42186</v>
      </c>
      <c r="G490" s="12">
        <v>67848</v>
      </c>
      <c r="H490" s="12" t="s">
        <v>15</v>
      </c>
    </row>
    <row r="491" spans="4:8" x14ac:dyDescent="0.25">
      <c r="D491" s="1"/>
      <c r="F491" s="11">
        <v>42186</v>
      </c>
      <c r="G491" s="12">
        <v>60315</v>
      </c>
      <c r="H491" s="12" t="s">
        <v>16</v>
      </c>
    </row>
    <row r="492" spans="4:8" x14ac:dyDescent="0.25">
      <c r="D492" s="1"/>
      <c r="F492" s="11">
        <v>42186</v>
      </c>
      <c r="G492" s="12">
        <v>3819</v>
      </c>
      <c r="H492" s="12" t="s">
        <v>14</v>
      </c>
    </row>
    <row r="493" spans="4:8" x14ac:dyDescent="0.25">
      <c r="D493" s="1"/>
      <c r="F493" s="11">
        <v>42217</v>
      </c>
      <c r="G493" s="12">
        <v>61465</v>
      </c>
      <c r="H493" s="12" t="s">
        <v>15</v>
      </c>
    </row>
    <row r="494" spans="4:8" x14ac:dyDescent="0.25">
      <c r="D494" s="1"/>
      <c r="F494" s="11">
        <v>42217</v>
      </c>
      <c r="G494" s="12">
        <v>65562</v>
      </c>
      <c r="H494" s="12" t="s">
        <v>16</v>
      </c>
    </row>
    <row r="495" spans="4:8" x14ac:dyDescent="0.25">
      <c r="D495" s="1"/>
      <c r="F495" s="11">
        <v>42217</v>
      </c>
      <c r="G495" s="12">
        <v>3730</v>
      </c>
      <c r="H495" s="12" t="s">
        <v>14</v>
      </c>
    </row>
    <row r="496" spans="4:8" x14ac:dyDescent="0.25">
      <c r="D496" s="1"/>
      <c r="F496" s="11">
        <v>42248</v>
      </c>
      <c r="G496" s="12">
        <v>53634</v>
      </c>
      <c r="H496" s="12" t="s">
        <v>15</v>
      </c>
    </row>
    <row r="497" spans="4:8" x14ac:dyDescent="0.25">
      <c r="D497" s="1"/>
      <c r="F497" s="11">
        <v>42248</v>
      </c>
      <c r="G497" s="12">
        <v>64902</v>
      </c>
      <c r="H497" s="12" t="s">
        <v>16</v>
      </c>
    </row>
    <row r="498" spans="4:8" x14ac:dyDescent="0.25">
      <c r="D498" s="1"/>
      <c r="F498" s="11">
        <v>42248</v>
      </c>
      <c r="G498" s="12">
        <v>3246</v>
      </c>
      <c r="H498" s="12" t="s">
        <v>14</v>
      </c>
    </row>
    <row r="499" spans="4:8" x14ac:dyDescent="0.25">
      <c r="D499" s="1"/>
      <c r="F499" s="11">
        <v>42278</v>
      </c>
      <c r="G499" s="12">
        <v>51029</v>
      </c>
      <c r="H499" s="12" t="s">
        <v>15</v>
      </c>
    </row>
    <row r="500" spans="4:8" x14ac:dyDescent="0.25">
      <c r="D500" s="1"/>
      <c r="F500" s="11">
        <v>42278</v>
      </c>
      <c r="G500" s="12">
        <v>61982</v>
      </c>
      <c r="H500" s="12" t="s">
        <v>16</v>
      </c>
    </row>
    <row r="501" spans="4:8" x14ac:dyDescent="0.25">
      <c r="D501" s="1"/>
      <c r="F501" s="11">
        <v>42278</v>
      </c>
      <c r="G501" s="12">
        <v>3222</v>
      </c>
      <c r="H501" s="12" t="s">
        <v>14</v>
      </c>
    </row>
    <row r="502" spans="4:8" x14ac:dyDescent="0.25">
      <c r="D502" s="1"/>
      <c r="F502" s="11">
        <v>42309</v>
      </c>
      <c r="G502" s="12">
        <v>57151</v>
      </c>
      <c r="H502" s="12" t="s">
        <v>16</v>
      </c>
    </row>
    <row r="503" spans="4:8" x14ac:dyDescent="0.25">
      <c r="D503" s="1"/>
      <c r="F503" s="11">
        <v>42309</v>
      </c>
      <c r="G503" s="12">
        <v>3122</v>
      </c>
      <c r="H503" s="12" t="s">
        <v>14</v>
      </c>
    </row>
    <row r="504" spans="4:8" x14ac:dyDescent="0.25">
      <c r="D504" s="1"/>
      <c r="F504" s="11">
        <v>42309</v>
      </c>
      <c r="G504" s="12">
        <v>54445</v>
      </c>
      <c r="H504" s="12" t="s">
        <v>15</v>
      </c>
    </row>
    <row r="505" spans="4:8" x14ac:dyDescent="0.25">
      <c r="D505" s="1"/>
      <c r="F505" s="11">
        <v>42339</v>
      </c>
      <c r="G505" s="12">
        <v>2924</v>
      </c>
      <c r="H505" s="12" t="s">
        <v>14</v>
      </c>
    </row>
    <row r="506" spans="4:8" x14ac:dyDescent="0.25">
      <c r="D506" s="1"/>
      <c r="F506" s="11">
        <v>42339</v>
      </c>
      <c r="G506" s="12">
        <v>52121</v>
      </c>
      <c r="H506" s="12" t="s">
        <v>16</v>
      </c>
    </row>
    <row r="507" spans="4:8" x14ac:dyDescent="0.25">
      <c r="D507" s="1"/>
      <c r="F507" s="11">
        <v>42339</v>
      </c>
      <c r="G507" s="12">
        <v>56293</v>
      </c>
      <c r="H507" s="12" t="s">
        <v>15</v>
      </c>
    </row>
    <row r="508" spans="4:8" x14ac:dyDescent="0.25">
      <c r="D508" s="1"/>
      <c r="F508" s="11">
        <v>42370</v>
      </c>
      <c r="G508" s="12">
        <v>48257</v>
      </c>
      <c r="H508" s="12" t="s">
        <v>15</v>
      </c>
    </row>
    <row r="509" spans="4:8" x14ac:dyDescent="0.25">
      <c r="D509" s="1"/>
      <c r="F509" s="11">
        <v>42370</v>
      </c>
      <c r="G509" s="12">
        <v>2083</v>
      </c>
      <c r="H509" s="12" t="s">
        <v>14</v>
      </c>
    </row>
    <row r="510" spans="4:8" x14ac:dyDescent="0.25">
      <c r="D510" s="1"/>
      <c r="F510" s="11">
        <v>42370</v>
      </c>
      <c r="G510" s="12">
        <v>39267</v>
      </c>
      <c r="H510" s="12" t="s">
        <v>16</v>
      </c>
    </row>
    <row r="511" spans="4:8" x14ac:dyDescent="0.25">
      <c r="D511" s="1"/>
      <c r="F511" s="11">
        <v>42401</v>
      </c>
      <c r="G511" s="12">
        <v>1595</v>
      </c>
      <c r="H511" s="12" t="s">
        <v>14</v>
      </c>
    </row>
    <row r="512" spans="4:8" x14ac:dyDescent="0.25">
      <c r="D512" s="1"/>
      <c r="F512" s="11">
        <v>42401</v>
      </c>
      <c r="G512" s="12">
        <v>26581</v>
      </c>
      <c r="H512" s="12" t="s">
        <v>16</v>
      </c>
    </row>
    <row r="513" spans="4:8" x14ac:dyDescent="0.25">
      <c r="D513" s="1"/>
      <c r="F513" s="11">
        <v>42401</v>
      </c>
      <c r="G513" s="12">
        <v>31355</v>
      </c>
      <c r="H513" s="12" t="s">
        <v>15</v>
      </c>
    </row>
    <row r="514" spans="4:8" x14ac:dyDescent="0.25">
      <c r="D514" s="1"/>
      <c r="F514" s="11">
        <v>42430</v>
      </c>
      <c r="G514" s="12">
        <v>154</v>
      </c>
      <c r="H514" s="12" t="s">
        <v>14</v>
      </c>
    </row>
    <row r="515" spans="4:8" x14ac:dyDescent="0.25">
      <c r="D515" s="1"/>
      <c r="F515" s="11">
        <v>42430</v>
      </c>
      <c r="G515" s="12">
        <v>987</v>
      </c>
      <c r="H515" s="12" t="s">
        <v>16</v>
      </c>
    </row>
    <row r="516" spans="4:8" x14ac:dyDescent="0.25">
      <c r="D516" s="1"/>
      <c r="F516" s="11">
        <v>42430</v>
      </c>
      <c r="G516" s="12">
        <v>1623</v>
      </c>
      <c r="H516" s="12" t="s">
        <v>15</v>
      </c>
    </row>
    <row r="517" spans="4:8" x14ac:dyDescent="0.25">
      <c r="D517" s="1"/>
    </row>
    <row r="518" spans="4:8" x14ac:dyDescent="0.25">
      <c r="D518" s="1"/>
    </row>
    <row r="519" spans="4:8" x14ac:dyDescent="0.25">
      <c r="D519" s="1"/>
    </row>
    <row r="520" spans="4:8" x14ac:dyDescent="0.25">
      <c r="D520" s="1"/>
    </row>
    <row r="521" spans="4:8" x14ac:dyDescent="0.25">
      <c r="D521" s="1"/>
    </row>
    <row r="522" spans="4:8" x14ac:dyDescent="0.25">
      <c r="D522" s="1"/>
    </row>
    <row r="523" spans="4:8" x14ac:dyDescent="0.25">
      <c r="D523" s="1"/>
    </row>
    <row r="524" spans="4:8" x14ac:dyDescent="0.25">
      <c r="D524" s="1"/>
    </row>
    <row r="525" spans="4:8" x14ac:dyDescent="0.25">
      <c r="D525" s="1"/>
    </row>
    <row r="526" spans="4:8" x14ac:dyDescent="0.25">
      <c r="D526" s="1"/>
    </row>
    <row r="527" spans="4:8" x14ac:dyDescent="0.25">
      <c r="D527" s="1"/>
    </row>
    <row r="528" spans="4:8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</sheetData>
  <pageMargins left="0.7" right="0.7" top="0.75" bottom="0.75" header="0.3" footer="0.3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Sheet2</vt:lpstr>
      <vt:lpstr>Sheet3</vt:lpstr>
      <vt:lpstr>Sheet5</vt:lpstr>
      <vt:lpstr>&gt;80 LTV</vt:lpstr>
      <vt:lpstr>&lt;80 LTV</vt:lpstr>
      <vt:lpstr>no LTV filter</vt:lpstr>
      <vt:lpstr>Sheet1!temp_1</vt:lpstr>
      <vt:lpstr>Sheet1!temp_2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2016-01-20T20:47:27Z</cp:lastPrinted>
  <dcterms:created xsi:type="dcterms:W3CDTF">2016-01-15T15:24:03Z</dcterms:created>
  <dcterms:modified xsi:type="dcterms:W3CDTF">2016-01-29T21:20:43Z</dcterms:modified>
</cp:coreProperties>
</file>