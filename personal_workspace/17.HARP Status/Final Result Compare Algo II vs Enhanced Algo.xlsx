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0435" windowHeight="18420"/>
  </bookViews>
  <sheets>
    <sheet name="Algo II" sheetId="1" r:id="rId1"/>
    <sheet name="Enhence Algo" sheetId="4" r:id="rId2"/>
  </sheets>
  <definedNames>
    <definedName name="Query_from_Agency_13" localSheetId="0" hidden="1">'Algo II'!$A$1:$C$330</definedName>
    <definedName name="Query_from_Agency_13" localSheetId="1" hidden="1">'Enhence Algo'!$A$1:$C$378</definedName>
  </definedNames>
  <calcPr calcId="145621"/>
  <pivotCaches>
    <pivotCache cacheId="35" r:id="rId3"/>
    <pivotCache cacheId="38" r:id="rId4"/>
  </pivotCaches>
</workbook>
</file>

<file path=xl/calcChain.xml><?xml version="1.0" encoding="utf-8"?>
<calcChain xmlns="http://schemas.openxmlformats.org/spreadsheetml/2006/main">
  <c r="Y6" i="4" l="1"/>
  <c r="Z6" i="4"/>
  <c r="Y7" i="4"/>
  <c r="Z7" i="4"/>
  <c r="Y8" i="4"/>
  <c r="Z8" i="4"/>
  <c r="Y9" i="4"/>
  <c r="Z9" i="4"/>
  <c r="Y10" i="4"/>
  <c r="Z10" i="4"/>
  <c r="Y11" i="4"/>
  <c r="Z11" i="4"/>
  <c r="Y12" i="4"/>
  <c r="Z12" i="4"/>
  <c r="Y13" i="4"/>
  <c r="Z13" i="4"/>
  <c r="Y14" i="4"/>
  <c r="Z14" i="4"/>
  <c r="Y15" i="4"/>
  <c r="Z15" i="4"/>
  <c r="Y16" i="4"/>
  <c r="Z16" i="4"/>
  <c r="Y17" i="4"/>
  <c r="Z17" i="4"/>
  <c r="Y18" i="4"/>
  <c r="Z18" i="4"/>
  <c r="Y19" i="4"/>
  <c r="Z19" i="4"/>
  <c r="Y20" i="4"/>
  <c r="Z20" i="4"/>
  <c r="Y21" i="4"/>
  <c r="Z21" i="4"/>
  <c r="Y22" i="4"/>
  <c r="Z22" i="4"/>
  <c r="Y23" i="4"/>
  <c r="Z23" i="4"/>
  <c r="Y24" i="4"/>
  <c r="Z24" i="4"/>
  <c r="Y25" i="4"/>
  <c r="Z25" i="4"/>
  <c r="Y26" i="4"/>
  <c r="Z26" i="4"/>
  <c r="Y27" i="4"/>
  <c r="Z27" i="4"/>
  <c r="Y28" i="4"/>
  <c r="Z28" i="4"/>
  <c r="Y29" i="4"/>
  <c r="Z29" i="4"/>
  <c r="Y30" i="4"/>
  <c r="Z30" i="4"/>
  <c r="Y31" i="4"/>
  <c r="Z31" i="4"/>
  <c r="Y32" i="4"/>
  <c r="Z32" i="4"/>
  <c r="Y33" i="4"/>
  <c r="Z33" i="4"/>
  <c r="Y34" i="4"/>
  <c r="Z34" i="4"/>
  <c r="Y35" i="4"/>
  <c r="Z35" i="4"/>
  <c r="Y36" i="4"/>
  <c r="Z36" i="4"/>
  <c r="Y37" i="4"/>
  <c r="Z37" i="4"/>
  <c r="Y38" i="4"/>
  <c r="Z38" i="4"/>
  <c r="Y39" i="4"/>
  <c r="Z39" i="4"/>
  <c r="Y40" i="4"/>
  <c r="Z40" i="4"/>
  <c r="Y41" i="4"/>
  <c r="Z41" i="4"/>
  <c r="Y42" i="4"/>
  <c r="Z42" i="4"/>
  <c r="Y43" i="4"/>
  <c r="Z43" i="4"/>
  <c r="Y44" i="4"/>
  <c r="Z44" i="4"/>
  <c r="Y45" i="4"/>
  <c r="Z45" i="4"/>
  <c r="Y46" i="4"/>
  <c r="Z46" i="4"/>
  <c r="Y47" i="4"/>
  <c r="Z47" i="4"/>
  <c r="Y48" i="4"/>
  <c r="Z48" i="4"/>
  <c r="Y49" i="4"/>
  <c r="Z49" i="4"/>
  <c r="Y50" i="4"/>
  <c r="Z50" i="4"/>
  <c r="Y51" i="4"/>
  <c r="Z51" i="4"/>
  <c r="Y52" i="4"/>
  <c r="Z52" i="4"/>
  <c r="Y53" i="4"/>
  <c r="Z53" i="4"/>
  <c r="Y54" i="4"/>
  <c r="Z54" i="4"/>
  <c r="Y55" i="4"/>
  <c r="Z55" i="4"/>
  <c r="Y56" i="4"/>
  <c r="Z56" i="4"/>
  <c r="Y57" i="4"/>
  <c r="Z57" i="4"/>
  <c r="Y58" i="4"/>
  <c r="Z58" i="4"/>
  <c r="Y59" i="4"/>
  <c r="Z59" i="4"/>
  <c r="Y60" i="4"/>
  <c r="Z60" i="4"/>
  <c r="Y61" i="4"/>
  <c r="Z61" i="4"/>
  <c r="Y62" i="4"/>
  <c r="Z62" i="4"/>
  <c r="Y63" i="4"/>
  <c r="Z63" i="4"/>
  <c r="Y64" i="4"/>
  <c r="Z64" i="4"/>
  <c r="Y65" i="4"/>
  <c r="Z65" i="4"/>
  <c r="Y66" i="4"/>
  <c r="Z66" i="4"/>
  <c r="Y67" i="4"/>
  <c r="Z67" i="4"/>
  <c r="Y68" i="4"/>
  <c r="Z68" i="4"/>
  <c r="Y69" i="4"/>
  <c r="Z69" i="4"/>
  <c r="Y70" i="4"/>
  <c r="Z70" i="4"/>
  <c r="Y71" i="4"/>
  <c r="Z71" i="4"/>
  <c r="Y72" i="4"/>
  <c r="Z72" i="4"/>
  <c r="Y73" i="4"/>
  <c r="Z73" i="4"/>
  <c r="Y74" i="4"/>
  <c r="Z74" i="4"/>
  <c r="Y75" i="4"/>
  <c r="Z75" i="4"/>
  <c r="Y76" i="4"/>
  <c r="Z76" i="4"/>
  <c r="Y77" i="4"/>
  <c r="Z77" i="4"/>
  <c r="Y78" i="4"/>
  <c r="Z78" i="4"/>
  <c r="Y79" i="4"/>
  <c r="Z79" i="4"/>
  <c r="Y80" i="4"/>
  <c r="Z80" i="4"/>
  <c r="Y81" i="4"/>
  <c r="Z81" i="4"/>
  <c r="Y82" i="4"/>
  <c r="Z82" i="4"/>
  <c r="Y83" i="4"/>
  <c r="Z83" i="4"/>
  <c r="Y84" i="4"/>
  <c r="Z84" i="4"/>
  <c r="Y85" i="4"/>
  <c r="Z85" i="4"/>
  <c r="Y86" i="4"/>
  <c r="Z86" i="4"/>
  <c r="Y87" i="4"/>
  <c r="Z87" i="4"/>
  <c r="Y88" i="4"/>
  <c r="Z88" i="4"/>
  <c r="Y89" i="4"/>
  <c r="Z89" i="4"/>
  <c r="Y90" i="4"/>
  <c r="Z90" i="4"/>
  <c r="Y91" i="4"/>
  <c r="Z91" i="4"/>
  <c r="Y92" i="4"/>
  <c r="Z92" i="4"/>
  <c r="Y93" i="4"/>
  <c r="Z93" i="4"/>
  <c r="Y94" i="4"/>
  <c r="Z94" i="4"/>
  <c r="Y95" i="4"/>
  <c r="Z95" i="4"/>
  <c r="Y96" i="4"/>
  <c r="Z96" i="4"/>
  <c r="Y97" i="4"/>
  <c r="Z97" i="4"/>
  <c r="Y98" i="4"/>
  <c r="Z98" i="4"/>
  <c r="Y99" i="4"/>
  <c r="Z99" i="4"/>
  <c r="Y100" i="4"/>
  <c r="Z100" i="4"/>
  <c r="Y101" i="4"/>
  <c r="Z101" i="4"/>
  <c r="Y102" i="4"/>
  <c r="Z102" i="4"/>
  <c r="Y103" i="4"/>
  <c r="Z103" i="4"/>
  <c r="Y104" i="4"/>
  <c r="Z104" i="4"/>
  <c r="Y105" i="4"/>
  <c r="Z105" i="4"/>
  <c r="Y106" i="4"/>
  <c r="Z106" i="4"/>
  <c r="Y107" i="4"/>
  <c r="Z107" i="4"/>
  <c r="Y108" i="4"/>
  <c r="Z108" i="4"/>
  <c r="Y109" i="4"/>
  <c r="Z109" i="4"/>
  <c r="Y110" i="4"/>
  <c r="Z110" i="4"/>
  <c r="Y111" i="4"/>
  <c r="Z111" i="4"/>
  <c r="Y112" i="4"/>
  <c r="Z112" i="4"/>
  <c r="Y113" i="4"/>
  <c r="Z113" i="4"/>
  <c r="Y114" i="4"/>
  <c r="Z114" i="4"/>
  <c r="Y115" i="4"/>
  <c r="Z115" i="4"/>
  <c r="Y116" i="4"/>
  <c r="Z116" i="4"/>
  <c r="Y117" i="4"/>
  <c r="Z117" i="4"/>
  <c r="Y118" i="4"/>
  <c r="Z118" i="4"/>
  <c r="Y119" i="4"/>
  <c r="Z119" i="4"/>
  <c r="Y120" i="4"/>
  <c r="Z120" i="4"/>
  <c r="Y121" i="4"/>
  <c r="Z121" i="4"/>
  <c r="Y122" i="4"/>
  <c r="Z122" i="4"/>
  <c r="Y123" i="4"/>
  <c r="Z123" i="4"/>
  <c r="Y124" i="4"/>
  <c r="Z124" i="4"/>
  <c r="Y125" i="4"/>
  <c r="Z125" i="4"/>
  <c r="Y126" i="4"/>
  <c r="Z126" i="4"/>
  <c r="Y127" i="4"/>
  <c r="Z127" i="4"/>
  <c r="Y128" i="4"/>
  <c r="Z128" i="4"/>
  <c r="Y129" i="4"/>
  <c r="Z129" i="4"/>
  <c r="Y130" i="4"/>
  <c r="Z130" i="4"/>
  <c r="Y131" i="4"/>
  <c r="Z131" i="4"/>
  <c r="Y132" i="4"/>
  <c r="Z132" i="4"/>
  <c r="Y133" i="4"/>
  <c r="Z133" i="4"/>
  <c r="Y134" i="4"/>
  <c r="Z134" i="4"/>
  <c r="Y135" i="4"/>
  <c r="Z135" i="4"/>
  <c r="Y136" i="4"/>
  <c r="Z136" i="4"/>
  <c r="Y137" i="4"/>
  <c r="Z137" i="4"/>
  <c r="Z5" i="4"/>
  <c r="Y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5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</calcChain>
</file>

<file path=xl/connections.xml><?xml version="1.0" encoding="utf-8"?>
<connections xmlns="http://schemas.openxmlformats.org/spreadsheetml/2006/main">
  <connection id="1" name="AlgoII" type="1" refreshedVersion="4" savePassword="1" saveData="1">
    <dbPr connection="DSN=Agency" command="-- Update status for each loan_x000d__x000a_DROP TABLE IF EXISTS #HARPed;_x000d__x000a_select secId, loanSeqNum, firstPaymtDt, MHAStatus, HARPStatus,_x000d__x000a_    CASE WHEN HARPStatus = 'HARP' THEN 'HARPed'_x000d__x000a_         WHEN HARPStatus = 'NON-HARP' THEN 'NON-HARPed'_x000d__x000a_         WHEN HARPStatus = 'N/A' THEN 'NON-Eligible'_x000d__x000a_         WHEN HARPStatus = '&lt; 2009-06' THEN 'Pre-HARP'_x000d__x000a_         WHEN HARPStatus = 'Unknown' THEN (_x000d__x000a__x0009__x0009__x0009_CASE WHEN origLTV &gt; 80 THEN (_x0009__x0009__x000d__x000a__x0009__x0009__x0009__x0009__x0009_CASE WHEN MHAStatus = 'MHA-ELIGIBLE' THEN 'HARPed'_x000d__x000a__x0009__x0009__x0009__x0009__x0009__x0009_ WHEN MHAStatus = 'NOMHA-PURCHASE' THEN 'NON-Eligible'_x000d__x000a__x0009__x0009__x0009__x0009__x0009__x0009_ WHEN MHAStatus = 'NOMHA-REFI' THEN 'NON-HARPed'_x000d__x000a__x0009__x0009__x0009__x0009__x0009_END)_x000d__x000a__x0009__x0009__x0009__x0009_ELSE 'HARP%'_x000d__x000a__x0009__x0009__x0009_END)_x000d__x000a_    END AS CombinedHARPStatus_x000d__x000a_INTO #HARPed_x000d__x000a_from fhl.Cello_Loan_x000d__x000a_where marketticker = 'FGLMC';_x000d__x000a_--and firstPaymtDt &gt; '2014-02-01'_x000d__x000a_Commit;_x000d__x000a_-- Algorithm II: Credit mapping _x000d__x000a_select (firstPaymtDt - day(firstPaymtDt) + 1) as pmtdate, HARPStatus, count(*) as LoanCount_x000d__x000a_from #HARPed_x000d__x000a_where pmtdate &gt;= '2005-01-01'_x000d__x000a_group by pmtdate, HARPStatus_x000d__x000a_order by pmtdate"/>
  </connection>
  <connection id="2" name="EnhanceAlgo" type="1" refreshedVersion="4" savePassword="1" saveData="1">
    <dbPr connection="DSN=Agency" command="-- Update status for each loan_x000d__x000a_DROP TABLE IF EXISTS #HARPed;_x000d__x000a_select secId, loanSeqNum, firstPaymtDt, MHAStatus, HARPStatus,_x000d__x000a_    CASE WHEN HARPStatus = 'HARP' THEN 'HARPed'_x000d__x000a_         WHEN HARPStatus = 'NON-HARP' THEN 'NON-HARPed'_x000d__x000a_         WHEN HARPStatus = 'N/A' THEN 'NON-Eligible'_x000d__x000a_         WHEN HARPStatus = '&lt; 2009-06' THEN 'Pre-HARP'_x000d__x000a_         WHEN HARPStatus = 'Unknown' THEN (_x000d__x000a__x0009__x0009__x0009_CASE WHEN origLTV &gt; 80 THEN (_x0009__x0009__x000d__x000a__x0009__x0009__x0009__x0009__x0009_CASE WHEN MHAStatus = 'MHA-ELIGIBLE' THEN 'HARPed'_x000d__x000a__x0009__x0009__x0009__x0009__x0009__x0009_ WHEN MHAStatus = 'NOMHA-PURCHASE' THEN 'NON-Eligible'_x000d__x000a__x0009__x0009__x0009__x0009__x0009__x0009_ WHEN MHAStatus = 'NOMHA-REFI' THEN 'NON-HARPed'_x000d__x000a__x0009__x0009__x0009__x0009__x0009_END)_x000d__x000a__x0009__x0009__x0009__x0009_ELSE 'HARP%'_x000d__x000a__x0009__x0009__x0009_END)_x000d__x000a_    END AS CombinedHARPStatus_x000d__x000a_INTO #HARPed_x000d__x000a_from fhl.Cello_Loan_x000d__x000a_where marketticker = 'FGLMC';_x000d__x000a_--and firstPaymtDt &gt; '2014-02-01'_x000d__x000a_Commit;_x000d__x000a_-- Enhanced Algorithm_x000d__x000a_select (firstPaymtDt - day(firstPaymtDt) + 1) as pmtdate, CombinedHARPStatus, count(*) as LoanCount_x000d__x000a_from #HARPed_x000d__x000a_where pmtdate &gt;= '2005-01-01'_x000d__x000a_group by pmtdate, CombinedHARPStatus_x000d__x000a_order by pmtdate"/>
  </connection>
</connections>
</file>

<file path=xl/sharedStrings.xml><?xml version="1.0" encoding="utf-8"?>
<sst xmlns="http://schemas.openxmlformats.org/spreadsheetml/2006/main" count="748" uniqueCount="24">
  <si>
    <t>pmtdate</t>
  </si>
  <si>
    <t>HARPStatus</t>
  </si>
  <si>
    <t>LoanCount</t>
  </si>
  <si>
    <t>N/A</t>
  </si>
  <si>
    <t>&lt; 2009-06</t>
  </si>
  <si>
    <t>HARP</t>
  </si>
  <si>
    <t>NON-HARP</t>
  </si>
  <si>
    <t>Unknown</t>
  </si>
  <si>
    <t>Sum of LoanCount</t>
  </si>
  <si>
    <t>Column Labels</t>
  </si>
  <si>
    <t>Grand Total</t>
  </si>
  <si>
    <t>Row Labels</t>
  </si>
  <si>
    <t>HARPed</t>
  </si>
  <si>
    <t>NON-Eligible</t>
  </si>
  <si>
    <t>NON-HARPed</t>
  </si>
  <si>
    <t>Pre-HARP</t>
  </si>
  <si>
    <t>Non-HARPed</t>
  </si>
  <si>
    <t>Non-Eligible</t>
  </si>
  <si>
    <t>CombinedHARPStatus</t>
  </si>
  <si>
    <t xml:space="preserve">Pre-HARP    </t>
  </si>
  <si>
    <t xml:space="preserve">HARPed      </t>
  </si>
  <si>
    <t xml:space="preserve">NON-HARPed  </t>
  </si>
  <si>
    <t xml:space="preserve">HARP%       </t>
  </si>
  <si>
    <t>Adj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</si>
</sst>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'Algo II'!$P$4</c:f>
              <c:strCache>
                <c:ptCount val="1"/>
                <c:pt idx="0">
                  <c:v>Non-Eligible</c:v>
                </c:pt>
              </c:strCache>
            </c:strRef>
          </c:tx>
          <c:cat>
            <c:numRef>
              <c:f>'Algo II'!$O$5:$O$137</c:f>
              <c:numCache>
                <c:formatCode>m/d/yyyy</c:formatCode>
                <c:ptCount val="133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</c:numCache>
            </c:numRef>
          </c:cat>
          <c:val>
            <c:numRef>
              <c:f>'Algo II'!$P$5:$P$137</c:f>
              <c:numCache>
                <c:formatCode>General</c:formatCode>
                <c:ptCount val="133"/>
                <c:pt idx="0">
                  <c:v>1751</c:v>
                </c:pt>
                <c:pt idx="1">
                  <c:v>1713</c:v>
                </c:pt>
                <c:pt idx="2">
                  <c:v>1379</c:v>
                </c:pt>
                <c:pt idx="3">
                  <c:v>1407</c:v>
                </c:pt>
                <c:pt idx="4">
                  <c:v>1954</c:v>
                </c:pt>
                <c:pt idx="5">
                  <c:v>2080</c:v>
                </c:pt>
                <c:pt idx="6">
                  <c:v>2676</c:v>
                </c:pt>
                <c:pt idx="7">
                  <c:v>3213</c:v>
                </c:pt>
                <c:pt idx="8">
                  <c:v>4049</c:v>
                </c:pt>
                <c:pt idx="9">
                  <c:v>7482</c:v>
                </c:pt>
                <c:pt idx="10">
                  <c:v>15992</c:v>
                </c:pt>
                <c:pt idx="11">
                  <c:v>58394</c:v>
                </c:pt>
                <c:pt idx="12">
                  <c:v>96347</c:v>
                </c:pt>
                <c:pt idx="13">
                  <c:v>93070</c:v>
                </c:pt>
                <c:pt idx="14">
                  <c:v>77021</c:v>
                </c:pt>
                <c:pt idx="15">
                  <c:v>86488</c:v>
                </c:pt>
                <c:pt idx="16">
                  <c:v>99743</c:v>
                </c:pt>
                <c:pt idx="17">
                  <c:v>94688</c:v>
                </c:pt>
                <c:pt idx="18">
                  <c:v>102712</c:v>
                </c:pt>
                <c:pt idx="19">
                  <c:v>111391</c:v>
                </c:pt>
                <c:pt idx="20">
                  <c:v>101466</c:v>
                </c:pt>
                <c:pt idx="21">
                  <c:v>102383</c:v>
                </c:pt>
                <c:pt idx="22">
                  <c:v>96093</c:v>
                </c:pt>
                <c:pt idx="23">
                  <c:v>107333</c:v>
                </c:pt>
                <c:pt idx="24">
                  <c:v>98456</c:v>
                </c:pt>
                <c:pt idx="25">
                  <c:v>99305</c:v>
                </c:pt>
                <c:pt idx="26">
                  <c:v>86895</c:v>
                </c:pt>
                <c:pt idx="27">
                  <c:v>93294</c:v>
                </c:pt>
                <c:pt idx="28">
                  <c:v>118081</c:v>
                </c:pt>
                <c:pt idx="29">
                  <c:v>122699</c:v>
                </c:pt>
                <c:pt idx="30">
                  <c:v>125490</c:v>
                </c:pt>
                <c:pt idx="31">
                  <c:v>118350</c:v>
                </c:pt>
                <c:pt idx="32">
                  <c:v>113663</c:v>
                </c:pt>
                <c:pt idx="33">
                  <c:v>110255</c:v>
                </c:pt>
                <c:pt idx="34">
                  <c:v>99634</c:v>
                </c:pt>
                <c:pt idx="35">
                  <c:v>101090</c:v>
                </c:pt>
                <c:pt idx="36">
                  <c:v>88196</c:v>
                </c:pt>
                <c:pt idx="37">
                  <c:v>95942</c:v>
                </c:pt>
                <c:pt idx="38">
                  <c:v>78250</c:v>
                </c:pt>
                <c:pt idx="39">
                  <c:v>99187</c:v>
                </c:pt>
                <c:pt idx="40">
                  <c:v>102401</c:v>
                </c:pt>
                <c:pt idx="41">
                  <c:v>98366</c:v>
                </c:pt>
                <c:pt idx="42">
                  <c:v>81925</c:v>
                </c:pt>
                <c:pt idx="43">
                  <c:v>80739</c:v>
                </c:pt>
                <c:pt idx="44">
                  <c:v>67217</c:v>
                </c:pt>
                <c:pt idx="45">
                  <c:v>45118</c:v>
                </c:pt>
                <c:pt idx="46">
                  <c:v>50695</c:v>
                </c:pt>
                <c:pt idx="47">
                  <c:v>52104</c:v>
                </c:pt>
                <c:pt idx="48">
                  <c:v>32449</c:v>
                </c:pt>
                <c:pt idx="49">
                  <c:v>52470</c:v>
                </c:pt>
                <c:pt idx="50">
                  <c:v>58125</c:v>
                </c:pt>
                <c:pt idx="51">
                  <c:v>72314</c:v>
                </c:pt>
                <c:pt idx="52">
                  <c:v>87478</c:v>
                </c:pt>
                <c:pt idx="53">
                  <c:v>80977</c:v>
                </c:pt>
                <c:pt idx="54">
                  <c:v>82570</c:v>
                </c:pt>
                <c:pt idx="55">
                  <c:v>89410</c:v>
                </c:pt>
                <c:pt idx="56">
                  <c:v>83867</c:v>
                </c:pt>
                <c:pt idx="57">
                  <c:v>62931</c:v>
                </c:pt>
                <c:pt idx="58">
                  <c:v>58846</c:v>
                </c:pt>
                <c:pt idx="59">
                  <c:v>62802</c:v>
                </c:pt>
                <c:pt idx="60">
                  <c:v>60390</c:v>
                </c:pt>
                <c:pt idx="61">
                  <c:v>54738</c:v>
                </c:pt>
                <c:pt idx="62">
                  <c:v>43730</c:v>
                </c:pt>
                <c:pt idx="63">
                  <c:v>42612</c:v>
                </c:pt>
                <c:pt idx="64">
                  <c:v>46376</c:v>
                </c:pt>
                <c:pt idx="65">
                  <c:v>49599</c:v>
                </c:pt>
                <c:pt idx="66">
                  <c:v>51493</c:v>
                </c:pt>
                <c:pt idx="67">
                  <c:v>55048</c:v>
                </c:pt>
                <c:pt idx="68">
                  <c:v>40328</c:v>
                </c:pt>
                <c:pt idx="69">
                  <c:v>41549</c:v>
                </c:pt>
                <c:pt idx="70">
                  <c:v>37451</c:v>
                </c:pt>
                <c:pt idx="71">
                  <c:v>38965</c:v>
                </c:pt>
                <c:pt idx="72">
                  <c:v>36931</c:v>
                </c:pt>
                <c:pt idx="73">
                  <c:v>41383</c:v>
                </c:pt>
                <c:pt idx="74">
                  <c:v>32412</c:v>
                </c:pt>
                <c:pt idx="75">
                  <c:v>22609</c:v>
                </c:pt>
                <c:pt idx="76">
                  <c:v>29812</c:v>
                </c:pt>
                <c:pt idx="77">
                  <c:v>30453</c:v>
                </c:pt>
                <c:pt idx="78">
                  <c:v>31434</c:v>
                </c:pt>
                <c:pt idx="79">
                  <c:v>41640</c:v>
                </c:pt>
                <c:pt idx="80">
                  <c:v>37088</c:v>
                </c:pt>
                <c:pt idx="81">
                  <c:v>36313</c:v>
                </c:pt>
                <c:pt idx="82">
                  <c:v>32247</c:v>
                </c:pt>
                <c:pt idx="83">
                  <c:v>24463</c:v>
                </c:pt>
                <c:pt idx="84">
                  <c:v>25528</c:v>
                </c:pt>
                <c:pt idx="85">
                  <c:v>30766</c:v>
                </c:pt>
                <c:pt idx="86">
                  <c:v>21030</c:v>
                </c:pt>
                <c:pt idx="87">
                  <c:v>20238</c:v>
                </c:pt>
                <c:pt idx="88">
                  <c:v>24409</c:v>
                </c:pt>
                <c:pt idx="89">
                  <c:v>32503</c:v>
                </c:pt>
                <c:pt idx="90">
                  <c:v>40917</c:v>
                </c:pt>
                <c:pt idx="91">
                  <c:v>40189</c:v>
                </c:pt>
                <c:pt idx="92">
                  <c:v>43003</c:v>
                </c:pt>
                <c:pt idx="93">
                  <c:v>47014</c:v>
                </c:pt>
                <c:pt idx="94">
                  <c:v>49818</c:v>
                </c:pt>
                <c:pt idx="95">
                  <c:v>49998</c:v>
                </c:pt>
                <c:pt idx="96">
                  <c:v>39738</c:v>
                </c:pt>
                <c:pt idx="97">
                  <c:v>44263</c:v>
                </c:pt>
                <c:pt idx="98">
                  <c:v>42588</c:v>
                </c:pt>
                <c:pt idx="99">
                  <c:v>46379</c:v>
                </c:pt>
                <c:pt idx="100">
                  <c:v>47961</c:v>
                </c:pt>
                <c:pt idx="101">
                  <c:v>48520</c:v>
                </c:pt>
                <c:pt idx="102">
                  <c:v>62247</c:v>
                </c:pt>
                <c:pt idx="103">
                  <c:v>60521</c:v>
                </c:pt>
                <c:pt idx="104">
                  <c:v>56084</c:v>
                </c:pt>
                <c:pt idx="105">
                  <c:v>49158</c:v>
                </c:pt>
                <c:pt idx="106">
                  <c:v>41648</c:v>
                </c:pt>
                <c:pt idx="107">
                  <c:v>45669</c:v>
                </c:pt>
                <c:pt idx="108">
                  <c:v>45743</c:v>
                </c:pt>
                <c:pt idx="109">
                  <c:v>48084</c:v>
                </c:pt>
                <c:pt idx="110">
                  <c:v>32181</c:v>
                </c:pt>
                <c:pt idx="111">
                  <c:v>34463</c:v>
                </c:pt>
                <c:pt idx="112">
                  <c:v>46338</c:v>
                </c:pt>
                <c:pt idx="113">
                  <c:v>49506</c:v>
                </c:pt>
                <c:pt idx="114">
                  <c:v>55296</c:v>
                </c:pt>
                <c:pt idx="115">
                  <c:v>65987</c:v>
                </c:pt>
                <c:pt idx="116">
                  <c:v>67292</c:v>
                </c:pt>
                <c:pt idx="117">
                  <c:v>63700</c:v>
                </c:pt>
                <c:pt idx="118">
                  <c:v>59685</c:v>
                </c:pt>
                <c:pt idx="119">
                  <c:v>54342</c:v>
                </c:pt>
                <c:pt idx="120">
                  <c:v>47250</c:v>
                </c:pt>
                <c:pt idx="121">
                  <c:v>50078</c:v>
                </c:pt>
                <c:pt idx="122">
                  <c:v>39431</c:v>
                </c:pt>
                <c:pt idx="123">
                  <c:v>45767</c:v>
                </c:pt>
                <c:pt idx="124">
                  <c:v>63289</c:v>
                </c:pt>
                <c:pt idx="125">
                  <c:v>66830</c:v>
                </c:pt>
                <c:pt idx="126">
                  <c:v>70156</c:v>
                </c:pt>
                <c:pt idx="127">
                  <c:v>73092</c:v>
                </c:pt>
                <c:pt idx="128">
                  <c:v>71669</c:v>
                </c:pt>
                <c:pt idx="129">
                  <c:v>69113</c:v>
                </c:pt>
                <c:pt idx="130">
                  <c:v>65422</c:v>
                </c:pt>
                <c:pt idx="131">
                  <c:v>62442</c:v>
                </c:pt>
                <c:pt idx="132">
                  <c:v>48675</c:v>
                </c:pt>
              </c:numCache>
            </c:numRef>
          </c:val>
        </c:ser>
        <c:ser>
          <c:idx val="1"/>
          <c:order val="1"/>
          <c:tx>
            <c:strRef>
              <c:f>'Algo II'!$R$4</c:f>
              <c:strCache>
                <c:ptCount val="1"/>
                <c:pt idx="0">
                  <c:v>Non-HARPed</c:v>
                </c:pt>
              </c:strCache>
            </c:strRef>
          </c:tx>
          <c:cat>
            <c:numRef>
              <c:f>'Algo II'!$O$5:$O$137</c:f>
              <c:numCache>
                <c:formatCode>m/d/yyyy</c:formatCode>
                <c:ptCount val="133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</c:numCache>
            </c:numRef>
          </c:cat>
          <c:val>
            <c:numRef>
              <c:f>'Algo II'!$R$5:$R$137</c:f>
              <c:numCache>
                <c:formatCode>General</c:formatCode>
                <c:ptCount val="133"/>
                <c:pt idx="53">
                  <c:v>94312</c:v>
                </c:pt>
                <c:pt idx="54">
                  <c:v>90531</c:v>
                </c:pt>
                <c:pt idx="55">
                  <c:v>71783</c:v>
                </c:pt>
                <c:pt idx="56">
                  <c:v>45076</c:v>
                </c:pt>
                <c:pt idx="57">
                  <c:v>24616</c:v>
                </c:pt>
                <c:pt idx="58">
                  <c:v>20958</c:v>
                </c:pt>
                <c:pt idx="59">
                  <c:v>26484</c:v>
                </c:pt>
                <c:pt idx="60">
                  <c:v>27562</c:v>
                </c:pt>
                <c:pt idx="61">
                  <c:v>29806</c:v>
                </c:pt>
                <c:pt idx="62">
                  <c:v>25134</c:v>
                </c:pt>
                <c:pt idx="63">
                  <c:v>17800</c:v>
                </c:pt>
                <c:pt idx="64">
                  <c:v>16829</c:v>
                </c:pt>
                <c:pt idx="65">
                  <c:v>14699</c:v>
                </c:pt>
                <c:pt idx="66">
                  <c:v>11907</c:v>
                </c:pt>
                <c:pt idx="67">
                  <c:v>16456</c:v>
                </c:pt>
                <c:pt idx="68">
                  <c:v>22322</c:v>
                </c:pt>
                <c:pt idx="69">
                  <c:v>30002</c:v>
                </c:pt>
                <c:pt idx="70">
                  <c:v>30869</c:v>
                </c:pt>
                <c:pt idx="71">
                  <c:v>34888</c:v>
                </c:pt>
                <c:pt idx="72">
                  <c:v>33215</c:v>
                </c:pt>
                <c:pt idx="73">
                  <c:v>30768</c:v>
                </c:pt>
                <c:pt idx="74">
                  <c:v>20081</c:v>
                </c:pt>
                <c:pt idx="75">
                  <c:v>10793</c:v>
                </c:pt>
                <c:pt idx="76">
                  <c:v>9553</c:v>
                </c:pt>
                <c:pt idx="77">
                  <c:v>7592</c:v>
                </c:pt>
                <c:pt idx="78">
                  <c:v>6380</c:v>
                </c:pt>
                <c:pt idx="79">
                  <c:v>8952</c:v>
                </c:pt>
                <c:pt idx="80">
                  <c:v>9875</c:v>
                </c:pt>
                <c:pt idx="81">
                  <c:v>11433</c:v>
                </c:pt>
                <c:pt idx="82">
                  <c:v>22206</c:v>
                </c:pt>
                <c:pt idx="83">
                  <c:v>21822</c:v>
                </c:pt>
                <c:pt idx="84">
                  <c:v>22762</c:v>
                </c:pt>
                <c:pt idx="85">
                  <c:v>25465</c:v>
                </c:pt>
                <c:pt idx="86">
                  <c:v>22392</c:v>
                </c:pt>
                <c:pt idx="87">
                  <c:v>22169</c:v>
                </c:pt>
                <c:pt idx="88">
                  <c:v>21904</c:v>
                </c:pt>
                <c:pt idx="89">
                  <c:v>18591</c:v>
                </c:pt>
                <c:pt idx="90">
                  <c:v>20169</c:v>
                </c:pt>
                <c:pt idx="91">
                  <c:v>20467</c:v>
                </c:pt>
                <c:pt idx="92">
                  <c:v>25359</c:v>
                </c:pt>
                <c:pt idx="93">
                  <c:v>33904</c:v>
                </c:pt>
                <c:pt idx="94">
                  <c:v>40037</c:v>
                </c:pt>
                <c:pt idx="95">
                  <c:v>40485</c:v>
                </c:pt>
                <c:pt idx="96">
                  <c:v>36497</c:v>
                </c:pt>
                <c:pt idx="97">
                  <c:v>41281</c:v>
                </c:pt>
                <c:pt idx="98">
                  <c:v>45862</c:v>
                </c:pt>
                <c:pt idx="99">
                  <c:v>40421</c:v>
                </c:pt>
                <c:pt idx="100">
                  <c:v>30711</c:v>
                </c:pt>
                <c:pt idx="101">
                  <c:v>26806</c:v>
                </c:pt>
                <c:pt idx="102">
                  <c:v>32722</c:v>
                </c:pt>
                <c:pt idx="103">
                  <c:v>27485</c:v>
                </c:pt>
                <c:pt idx="104">
                  <c:v>19112</c:v>
                </c:pt>
                <c:pt idx="105">
                  <c:v>11604</c:v>
                </c:pt>
                <c:pt idx="106">
                  <c:v>7900</c:v>
                </c:pt>
                <c:pt idx="107">
                  <c:v>8033</c:v>
                </c:pt>
                <c:pt idx="108">
                  <c:v>9674</c:v>
                </c:pt>
                <c:pt idx="109">
                  <c:v>9770</c:v>
                </c:pt>
                <c:pt idx="110">
                  <c:v>6582</c:v>
                </c:pt>
              </c:numCache>
            </c:numRef>
          </c:val>
        </c:ser>
        <c:ser>
          <c:idx val="2"/>
          <c:order val="2"/>
          <c:tx>
            <c:strRef>
              <c:f>'Algo II'!$Q$4</c:f>
              <c:strCache>
                <c:ptCount val="1"/>
                <c:pt idx="0">
                  <c:v>Pre-HARP</c:v>
                </c:pt>
              </c:strCache>
            </c:strRef>
          </c:tx>
          <c:cat>
            <c:numRef>
              <c:f>'Algo II'!$O$5:$O$137</c:f>
              <c:numCache>
                <c:formatCode>m/d/yyyy</c:formatCode>
                <c:ptCount val="133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</c:numCache>
            </c:numRef>
          </c:cat>
          <c:val>
            <c:numRef>
              <c:f>'Algo II'!$Q$5:$Q$137</c:f>
              <c:numCache>
                <c:formatCode>General</c:formatCode>
                <c:ptCount val="133"/>
                <c:pt idx="0">
                  <c:v>226</c:v>
                </c:pt>
                <c:pt idx="1">
                  <c:v>237</c:v>
                </c:pt>
                <c:pt idx="2">
                  <c:v>165</c:v>
                </c:pt>
                <c:pt idx="3">
                  <c:v>248</c:v>
                </c:pt>
                <c:pt idx="4">
                  <c:v>357</c:v>
                </c:pt>
                <c:pt idx="5">
                  <c:v>256</c:v>
                </c:pt>
                <c:pt idx="6">
                  <c:v>314</c:v>
                </c:pt>
                <c:pt idx="7">
                  <c:v>373</c:v>
                </c:pt>
                <c:pt idx="8">
                  <c:v>618</c:v>
                </c:pt>
                <c:pt idx="9">
                  <c:v>996</c:v>
                </c:pt>
                <c:pt idx="10">
                  <c:v>2199</c:v>
                </c:pt>
                <c:pt idx="11">
                  <c:v>9660</c:v>
                </c:pt>
                <c:pt idx="12">
                  <c:v>14686</c:v>
                </c:pt>
                <c:pt idx="13">
                  <c:v>13545</c:v>
                </c:pt>
                <c:pt idx="14">
                  <c:v>12672</c:v>
                </c:pt>
                <c:pt idx="15">
                  <c:v>13588</c:v>
                </c:pt>
                <c:pt idx="16">
                  <c:v>13902</c:v>
                </c:pt>
                <c:pt idx="17">
                  <c:v>12297</c:v>
                </c:pt>
                <c:pt idx="18">
                  <c:v>11912</c:v>
                </c:pt>
                <c:pt idx="19">
                  <c:v>11212</c:v>
                </c:pt>
                <c:pt idx="20">
                  <c:v>10662</c:v>
                </c:pt>
                <c:pt idx="21">
                  <c:v>11537</c:v>
                </c:pt>
                <c:pt idx="22">
                  <c:v>12948</c:v>
                </c:pt>
                <c:pt idx="23">
                  <c:v>17880</c:v>
                </c:pt>
                <c:pt idx="24">
                  <c:v>17232</c:v>
                </c:pt>
                <c:pt idx="25">
                  <c:v>21209</c:v>
                </c:pt>
                <c:pt idx="26">
                  <c:v>20923</c:v>
                </c:pt>
                <c:pt idx="27">
                  <c:v>18017</c:v>
                </c:pt>
                <c:pt idx="28">
                  <c:v>22875</c:v>
                </c:pt>
                <c:pt idx="29">
                  <c:v>24801</c:v>
                </c:pt>
                <c:pt idx="30">
                  <c:v>21810</c:v>
                </c:pt>
                <c:pt idx="31">
                  <c:v>17435</c:v>
                </c:pt>
                <c:pt idx="32">
                  <c:v>15468</c:v>
                </c:pt>
                <c:pt idx="33">
                  <c:v>15255</c:v>
                </c:pt>
                <c:pt idx="34">
                  <c:v>18097</c:v>
                </c:pt>
                <c:pt idx="35">
                  <c:v>21973</c:v>
                </c:pt>
                <c:pt idx="36">
                  <c:v>20897</c:v>
                </c:pt>
                <c:pt idx="37">
                  <c:v>30555</c:v>
                </c:pt>
                <c:pt idx="38">
                  <c:v>34268</c:v>
                </c:pt>
                <c:pt idx="39">
                  <c:v>60058</c:v>
                </c:pt>
                <c:pt idx="40">
                  <c:v>41596</c:v>
                </c:pt>
                <c:pt idx="41">
                  <c:v>38213</c:v>
                </c:pt>
                <c:pt idx="42">
                  <c:v>23471</c:v>
                </c:pt>
                <c:pt idx="43">
                  <c:v>17448</c:v>
                </c:pt>
                <c:pt idx="44">
                  <c:v>11583</c:v>
                </c:pt>
                <c:pt idx="45">
                  <c:v>7202</c:v>
                </c:pt>
                <c:pt idx="46">
                  <c:v>10585</c:v>
                </c:pt>
                <c:pt idx="47">
                  <c:v>15821</c:v>
                </c:pt>
                <c:pt idx="48">
                  <c:v>7542</c:v>
                </c:pt>
                <c:pt idx="49">
                  <c:v>32323</c:v>
                </c:pt>
                <c:pt idx="50">
                  <c:v>81506</c:v>
                </c:pt>
                <c:pt idx="51">
                  <c:v>104826</c:v>
                </c:pt>
                <c:pt idx="52">
                  <c:v>108692</c:v>
                </c:pt>
              </c:numCache>
            </c:numRef>
          </c:val>
        </c:ser>
        <c:ser>
          <c:idx val="3"/>
          <c:order val="3"/>
          <c:tx>
            <c:strRef>
              <c:f>'Algo II'!$S$4</c:f>
              <c:strCache>
                <c:ptCount val="1"/>
                <c:pt idx="0">
                  <c:v>HARPed</c:v>
                </c:pt>
              </c:strCache>
            </c:strRef>
          </c:tx>
          <c:cat>
            <c:numRef>
              <c:f>'Algo II'!$O$5:$O$137</c:f>
              <c:numCache>
                <c:formatCode>m/d/yyyy</c:formatCode>
                <c:ptCount val="133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</c:numCache>
            </c:numRef>
          </c:cat>
          <c:val>
            <c:numRef>
              <c:f>'Algo II'!$S$5:$S$137</c:f>
              <c:numCache>
                <c:formatCode>General</c:formatCode>
                <c:ptCount val="133"/>
                <c:pt idx="53">
                  <c:v>10383</c:v>
                </c:pt>
                <c:pt idx="54">
                  <c:v>16311</c:v>
                </c:pt>
                <c:pt idx="55">
                  <c:v>25480</c:v>
                </c:pt>
                <c:pt idx="56">
                  <c:v>22620</c:v>
                </c:pt>
                <c:pt idx="57">
                  <c:v>16406</c:v>
                </c:pt>
                <c:pt idx="58">
                  <c:v>13051</c:v>
                </c:pt>
                <c:pt idx="59">
                  <c:v>18179</c:v>
                </c:pt>
                <c:pt idx="60">
                  <c:v>23590</c:v>
                </c:pt>
                <c:pt idx="61">
                  <c:v>26564</c:v>
                </c:pt>
                <c:pt idx="62">
                  <c:v>24648</c:v>
                </c:pt>
                <c:pt idx="63">
                  <c:v>17440</c:v>
                </c:pt>
                <c:pt idx="64">
                  <c:v>21045</c:v>
                </c:pt>
                <c:pt idx="65">
                  <c:v>19445</c:v>
                </c:pt>
                <c:pt idx="66">
                  <c:v>15205</c:v>
                </c:pt>
                <c:pt idx="67">
                  <c:v>21345</c:v>
                </c:pt>
                <c:pt idx="68">
                  <c:v>28168</c:v>
                </c:pt>
                <c:pt idx="69">
                  <c:v>33340</c:v>
                </c:pt>
                <c:pt idx="70">
                  <c:v>38106</c:v>
                </c:pt>
                <c:pt idx="71">
                  <c:v>43237</c:v>
                </c:pt>
                <c:pt idx="72">
                  <c:v>44477</c:v>
                </c:pt>
                <c:pt idx="73">
                  <c:v>37323</c:v>
                </c:pt>
                <c:pt idx="74">
                  <c:v>32289</c:v>
                </c:pt>
                <c:pt idx="75">
                  <c:v>21224</c:v>
                </c:pt>
                <c:pt idx="76">
                  <c:v>14491</c:v>
                </c:pt>
                <c:pt idx="77">
                  <c:v>13261</c:v>
                </c:pt>
                <c:pt idx="78">
                  <c:v>11117</c:v>
                </c:pt>
                <c:pt idx="79">
                  <c:v>12492</c:v>
                </c:pt>
                <c:pt idx="80">
                  <c:v>14123</c:v>
                </c:pt>
                <c:pt idx="81">
                  <c:v>14085</c:v>
                </c:pt>
                <c:pt idx="82">
                  <c:v>17552</c:v>
                </c:pt>
                <c:pt idx="83">
                  <c:v>20154</c:v>
                </c:pt>
                <c:pt idx="84">
                  <c:v>21858</c:v>
                </c:pt>
                <c:pt idx="85">
                  <c:v>18923</c:v>
                </c:pt>
                <c:pt idx="86">
                  <c:v>20650</c:v>
                </c:pt>
                <c:pt idx="87">
                  <c:v>23750</c:v>
                </c:pt>
                <c:pt idx="88">
                  <c:v>22147</c:v>
                </c:pt>
                <c:pt idx="89">
                  <c:v>20132</c:v>
                </c:pt>
                <c:pt idx="90">
                  <c:v>20818</c:v>
                </c:pt>
                <c:pt idx="91">
                  <c:v>21157</c:v>
                </c:pt>
                <c:pt idx="92">
                  <c:v>23362</c:v>
                </c:pt>
                <c:pt idx="93">
                  <c:v>24936</c:v>
                </c:pt>
                <c:pt idx="94">
                  <c:v>26328</c:v>
                </c:pt>
                <c:pt idx="95">
                  <c:v>29752</c:v>
                </c:pt>
                <c:pt idx="96">
                  <c:v>26821</c:v>
                </c:pt>
                <c:pt idx="97">
                  <c:v>27440</c:v>
                </c:pt>
                <c:pt idx="98">
                  <c:v>29625</c:v>
                </c:pt>
                <c:pt idx="99">
                  <c:v>29886</c:v>
                </c:pt>
                <c:pt idx="100">
                  <c:v>30221</c:v>
                </c:pt>
                <c:pt idx="101">
                  <c:v>28245</c:v>
                </c:pt>
                <c:pt idx="102">
                  <c:v>26789</c:v>
                </c:pt>
                <c:pt idx="103">
                  <c:v>23013</c:v>
                </c:pt>
                <c:pt idx="104">
                  <c:v>20542</c:v>
                </c:pt>
                <c:pt idx="105">
                  <c:v>15993</c:v>
                </c:pt>
                <c:pt idx="106">
                  <c:v>12082</c:v>
                </c:pt>
                <c:pt idx="107">
                  <c:v>10922</c:v>
                </c:pt>
                <c:pt idx="108">
                  <c:v>9752</c:v>
                </c:pt>
                <c:pt idx="109">
                  <c:v>9671</c:v>
                </c:pt>
                <c:pt idx="110">
                  <c:v>8095</c:v>
                </c:pt>
              </c:numCache>
            </c:numRef>
          </c:val>
        </c:ser>
        <c:ser>
          <c:idx val="4"/>
          <c:order val="4"/>
          <c:tx>
            <c:strRef>
              <c:f>'Algo II'!$T$4</c:f>
              <c:strCache>
                <c:ptCount val="1"/>
                <c:pt idx="0">
                  <c:v>Unknown</c:v>
                </c:pt>
              </c:strCache>
            </c:strRef>
          </c:tx>
          <c:cat>
            <c:numRef>
              <c:f>'Algo II'!$O$5:$O$137</c:f>
              <c:numCache>
                <c:formatCode>m/d/yyyy</c:formatCode>
                <c:ptCount val="133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</c:numCache>
            </c:numRef>
          </c:cat>
          <c:val>
            <c:numRef>
              <c:f>'Algo II'!$T$5:$T$137</c:f>
              <c:numCache>
                <c:formatCode>General</c:formatCode>
                <c:ptCount val="133"/>
                <c:pt idx="110">
                  <c:v>6</c:v>
                </c:pt>
                <c:pt idx="111">
                  <c:v>12788</c:v>
                </c:pt>
                <c:pt idx="112">
                  <c:v>14986</c:v>
                </c:pt>
                <c:pt idx="113">
                  <c:v>14482</c:v>
                </c:pt>
                <c:pt idx="114">
                  <c:v>13324</c:v>
                </c:pt>
                <c:pt idx="115">
                  <c:v>15877</c:v>
                </c:pt>
                <c:pt idx="116">
                  <c:v>16493</c:v>
                </c:pt>
                <c:pt idx="117">
                  <c:v>16731</c:v>
                </c:pt>
                <c:pt idx="118">
                  <c:v>17725</c:v>
                </c:pt>
                <c:pt idx="119">
                  <c:v>18168</c:v>
                </c:pt>
                <c:pt idx="120">
                  <c:v>21476</c:v>
                </c:pt>
                <c:pt idx="121">
                  <c:v>20938</c:v>
                </c:pt>
                <c:pt idx="122">
                  <c:v>24131</c:v>
                </c:pt>
                <c:pt idx="123">
                  <c:v>35016</c:v>
                </c:pt>
                <c:pt idx="124">
                  <c:v>39618</c:v>
                </c:pt>
                <c:pt idx="125">
                  <c:v>30540</c:v>
                </c:pt>
                <c:pt idx="126">
                  <c:v>26241</c:v>
                </c:pt>
                <c:pt idx="127">
                  <c:v>21405</c:v>
                </c:pt>
                <c:pt idx="128">
                  <c:v>17182</c:v>
                </c:pt>
                <c:pt idx="129">
                  <c:v>16547</c:v>
                </c:pt>
                <c:pt idx="130">
                  <c:v>17651</c:v>
                </c:pt>
                <c:pt idx="131">
                  <c:v>18707</c:v>
                </c:pt>
                <c:pt idx="132">
                  <c:v>16500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80352"/>
        <c:axId val="433494272"/>
      </c:areaChart>
      <c:dateAx>
        <c:axId val="4329803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3494272"/>
        <c:crosses val="autoZero"/>
        <c:auto val="1"/>
        <c:lblOffset val="100"/>
        <c:baseTimeUnit val="months"/>
      </c:dateAx>
      <c:valAx>
        <c:axId val="4334942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32980352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19</xdr:row>
      <xdr:rowOff>14287</xdr:rowOff>
    </xdr:from>
    <xdr:to>
      <xdr:col>33</xdr:col>
      <xdr:colOff>33337</xdr:colOff>
      <xdr:row>33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401.675154745368" createdVersion="4" refreshedVersion="4" minRefreshableVersion="3" recordCount="329">
  <cacheSource type="worksheet">
    <worksheetSource name="CurrentMtgRatesDataTable82529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HARPStatus" numFmtId="0">
      <sharedItems count="5">
        <s v="N/A"/>
        <s v="&lt; 2009-06"/>
        <s v="HARP"/>
        <s v="NON-HARP"/>
        <s v="Unknown"/>
      </sharedItems>
    </cacheField>
    <cacheField name="LoanCount" numFmtId="0">
      <sharedItems containsSemiMixedTypes="0" containsString="0" containsNumber="1" containsInteger="1" minValue="6" maxValue="1254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401.679504861109" createdVersion="4" refreshedVersion="4" minRefreshableVersion="3" recordCount="377">
  <cacheSource type="worksheet">
    <worksheetSource name="CurrentMtgRatesDataTable825293"/>
  </cacheSource>
  <cacheFields count="3">
    <cacheField name="pmtdate" numFmtId="14">
      <sharedItems containsSemiMixedTypes="0" containsNonDate="0" containsDate="1" containsString="0" minDate="2005-01-01T00:00:00" maxDate="2016-03-02T00:00:00" count="135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LoanCount" numFmtId="0">
      <sharedItems containsSemiMixedTypes="0" containsString="0" containsNumber="1" containsInteger="1" minValue="6" maxValue="125490"/>
    </cacheField>
    <cacheField name="CombinedHARPStatus" numFmtId="0">
      <sharedItems count="5">
        <s v="NON-Eligible"/>
        <s v="Pre-HARP    "/>
        <s v="HARPed      "/>
        <s v="NON-HARPed  "/>
        <s v="HARP%     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9">
  <r>
    <x v="0"/>
    <x v="0"/>
    <n v="1751"/>
  </r>
  <r>
    <x v="0"/>
    <x v="1"/>
    <n v="226"/>
  </r>
  <r>
    <x v="1"/>
    <x v="1"/>
    <n v="237"/>
  </r>
  <r>
    <x v="1"/>
    <x v="0"/>
    <n v="1713"/>
  </r>
  <r>
    <x v="2"/>
    <x v="0"/>
    <n v="1379"/>
  </r>
  <r>
    <x v="2"/>
    <x v="1"/>
    <n v="165"/>
  </r>
  <r>
    <x v="3"/>
    <x v="1"/>
    <n v="248"/>
  </r>
  <r>
    <x v="3"/>
    <x v="0"/>
    <n v="1407"/>
  </r>
  <r>
    <x v="4"/>
    <x v="1"/>
    <n v="357"/>
  </r>
  <r>
    <x v="4"/>
    <x v="0"/>
    <n v="1954"/>
  </r>
  <r>
    <x v="5"/>
    <x v="1"/>
    <n v="256"/>
  </r>
  <r>
    <x v="5"/>
    <x v="0"/>
    <n v="2080"/>
  </r>
  <r>
    <x v="6"/>
    <x v="1"/>
    <n v="314"/>
  </r>
  <r>
    <x v="6"/>
    <x v="0"/>
    <n v="2676"/>
  </r>
  <r>
    <x v="7"/>
    <x v="1"/>
    <n v="373"/>
  </r>
  <r>
    <x v="7"/>
    <x v="0"/>
    <n v="3213"/>
  </r>
  <r>
    <x v="8"/>
    <x v="0"/>
    <n v="4049"/>
  </r>
  <r>
    <x v="8"/>
    <x v="1"/>
    <n v="618"/>
  </r>
  <r>
    <x v="9"/>
    <x v="1"/>
    <n v="996"/>
  </r>
  <r>
    <x v="9"/>
    <x v="0"/>
    <n v="7482"/>
  </r>
  <r>
    <x v="10"/>
    <x v="0"/>
    <n v="15992"/>
  </r>
  <r>
    <x v="10"/>
    <x v="1"/>
    <n v="2199"/>
  </r>
  <r>
    <x v="11"/>
    <x v="1"/>
    <n v="9660"/>
  </r>
  <r>
    <x v="11"/>
    <x v="0"/>
    <n v="58394"/>
  </r>
  <r>
    <x v="12"/>
    <x v="1"/>
    <n v="14686"/>
  </r>
  <r>
    <x v="12"/>
    <x v="0"/>
    <n v="96347"/>
  </r>
  <r>
    <x v="13"/>
    <x v="1"/>
    <n v="13545"/>
  </r>
  <r>
    <x v="13"/>
    <x v="0"/>
    <n v="93070"/>
  </r>
  <r>
    <x v="14"/>
    <x v="0"/>
    <n v="77021"/>
  </r>
  <r>
    <x v="14"/>
    <x v="1"/>
    <n v="12672"/>
  </r>
  <r>
    <x v="15"/>
    <x v="1"/>
    <n v="13588"/>
  </r>
  <r>
    <x v="15"/>
    <x v="0"/>
    <n v="86488"/>
  </r>
  <r>
    <x v="16"/>
    <x v="0"/>
    <n v="99743"/>
  </r>
  <r>
    <x v="16"/>
    <x v="1"/>
    <n v="13902"/>
  </r>
  <r>
    <x v="17"/>
    <x v="0"/>
    <n v="94688"/>
  </r>
  <r>
    <x v="17"/>
    <x v="1"/>
    <n v="12297"/>
  </r>
  <r>
    <x v="18"/>
    <x v="0"/>
    <n v="102712"/>
  </r>
  <r>
    <x v="18"/>
    <x v="1"/>
    <n v="11912"/>
  </r>
  <r>
    <x v="19"/>
    <x v="1"/>
    <n v="11212"/>
  </r>
  <r>
    <x v="19"/>
    <x v="0"/>
    <n v="111391"/>
  </r>
  <r>
    <x v="20"/>
    <x v="0"/>
    <n v="101466"/>
  </r>
  <r>
    <x v="20"/>
    <x v="1"/>
    <n v="10662"/>
  </r>
  <r>
    <x v="21"/>
    <x v="1"/>
    <n v="11537"/>
  </r>
  <r>
    <x v="21"/>
    <x v="0"/>
    <n v="102383"/>
  </r>
  <r>
    <x v="22"/>
    <x v="1"/>
    <n v="12948"/>
  </r>
  <r>
    <x v="22"/>
    <x v="0"/>
    <n v="96093"/>
  </r>
  <r>
    <x v="23"/>
    <x v="0"/>
    <n v="107333"/>
  </r>
  <r>
    <x v="23"/>
    <x v="1"/>
    <n v="17880"/>
  </r>
  <r>
    <x v="24"/>
    <x v="1"/>
    <n v="17232"/>
  </r>
  <r>
    <x v="24"/>
    <x v="0"/>
    <n v="98456"/>
  </r>
  <r>
    <x v="25"/>
    <x v="0"/>
    <n v="99305"/>
  </r>
  <r>
    <x v="25"/>
    <x v="1"/>
    <n v="21209"/>
  </r>
  <r>
    <x v="26"/>
    <x v="0"/>
    <n v="86895"/>
  </r>
  <r>
    <x v="26"/>
    <x v="1"/>
    <n v="20923"/>
  </r>
  <r>
    <x v="27"/>
    <x v="0"/>
    <n v="93294"/>
  </r>
  <r>
    <x v="27"/>
    <x v="1"/>
    <n v="18017"/>
  </r>
  <r>
    <x v="28"/>
    <x v="0"/>
    <n v="118081"/>
  </r>
  <r>
    <x v="28"/>
    <x v="1"/>
    <n v="22875"/>
  </r>
  <r>
    <x v="29"/>
    <x v="0"/>
    <n v="122699"/>
  </r>
  <r>
    <x v="29"/>
    <x v="1"/>
    <n v="24801"/>
  </r>
  <r>
    <x v="30"/>
    <x v="1"/>
    <n v="21810"/>
  </r>
  <r>
    <x v="30"/>
    <x v="0"/>
    <n v="125490"/>
  </r>
  <r>
    <x v="31"/>
    <x v="1"/>
    <n v="17435"/>
  </r>
  <r>
    <x v="31"/>
    <x v="0"/>
    <n v="118350"/>
  </r>
  <r>
    <x v="32"/>
    <x v="1"/>
    <n v="15468"/>
  </r>
  <r>
    <x v="32"/>
    <x v="0"/>
    <n v="113663"/>
  </r>
  <r>
    <x v="33"/>
    <x v="0"/>
    <n v="110255"/>
  </r>
  <r>
    <x v="33"/>
    <x v="1"/>
    <n v="15255"/>
  </r>
  <r>
    <x v="34"/>
    <x v="1"/>
    <n v="18097"/>
  </r>
  <r>
    <x v="34"/>
    <x v="0"/>
    <n v="99634"/>
  </r>
  <r>
    <x v="35"/>
    <x v="0"/>
    <n v="101090"/>
  </r>
  <r>
    <x v="35"/>
    <x v="1"/>
    <n v="21973"/>
  </r>
  <r>
    <x v="36"/>
    <x v="0"/>
    <n v="88196"/>
  </r>
  <r>
    <x v="36"/>
    <x v="1"/>
    <n v="20897"/>
  </r>
  <r>
    <x v="37"/>
    <x v="1"/>
    <n v="30555"/>
  </r>
  <r>
    <x v="37"/>
    <x v="0"/>
    <n v="95942"/>
  </r>
  <r>
    <x v="38"/>
    <x v="1"/>
    <n v="34268"/>
  </r>
  <r>
    <x v="38"/>
    <x v="0"/>
    <n v="78250"/>
  </r>
  <r>
    <x v="39"/>
    <x v="1"/>
    <n v="60058"/>
  </r>
  <r>
    <x v="39"/>
    <x v="0"/>
    <n v="99187"/>
  </r>
  <r>
    <x v="40"/>
    <x v="0"/>
    <n v="102401"/>
  </r>
  <r>
    <x v="40"/>
    <x v="1"/>
    <n v="41596"/>
  </r>
  <r>
    <x v="41"/>
    <x v="1"/>
    <n v="38213"/>
  </r>
  <r>
    <x v="41"/>
    <x v="0"/>
    <n v="98366"/>
  </r>
  <r>
    <x v="42"/>
    <x v="0"/>
    <n v="81925"/>
  </r>
  <r>
    <x v="42"/>
    <x v="1"/>
    <n v="23471"/>
  </r>
  <r>
    <x v="43"/>
    <x v="1"/>
    <n v="17448"/>
  </r>
  <r>
    <x v="43"/>
    <x v="0"/>
    <n v="80739"/>
  </r>
  <r>
    <x v="44"/>
    <x v="0"/>
    <n v="67217"/>
  </r>
  <r>
    <x v="44"/>
    <x v="1"/>
    <n v="11583"/>
  </r>
  <r>
    <x v="45"/>
    <x v="0"/>
    <n v="45118"/>
  </r>
  <r>
    <x v="45"/>
    <x v="1"/>
    <n v="7202"/>
  </r>
  <r>
    <x v="46"/>
    <x v="0"/>
    <n v="50695"/>
  </r>
  <r>
    <x v="46"/>
    <x v="1"/>
    <n v="10585"/>
  </r>
  <r>
    <x v="47"/>
    <x v="1"/>
    <n v="15821"/>
  </r>
  <r>
    <x v="47"/>
    <x v="0"/>
    <n v="52104"/>
  </r>
  <r>
    <x v="48"/>
    <x v="0"/>
    <n v="32449"/>
  </r>
  <r>
    <x v="48"/>
    <x v="1"/>
    <n v="7542"/>
  </r>
  <r>
    <x v="49"/>
    <x v="1"/>
    <n v="32323"/>
  </r>
  <r>
    <x v="49"/>
    <x v="0"/>
    <n v="52470"/>
  </r>
  <r>
    <x v="50"/>
    <x v="1"/>
    <n v="81506"/>
  </r>
  <r>
    <x v="50"/>
    <x v="0"/>
    <n v="58125"/>
  </r>
  <r>
    <x v="51"/>
    <x v="1"/>
    <n v="104826"/>
  </r>
  <r>
    <x v="51"/>
    <x v="0"/>
    <n v="72314"/>
  </r>
  <r>
    <x v="52"/>
    <x v="0"/>
    <n v="87478"/>
  </r>
  <r>
    <x v="52"/>
    <x v="1"/>
    <n v="108692"/>
  </r>
  <r>
    <x v="53"/>
    <x v="0"/>
    <n v="80977"/>
  </r>
  <r>
    <x v="53"/>
    <x v="2"/>
    <n v="10383"/>
  </r>
  <r>
    <x v="53"/>
    <x v="3"/>
    <n v="94312"/>
  </r>
  <r>
    <x v="54"/>
    <x v="3"/>
    <n v="90531"/>
  </r>
  <r>
    <x v="54"/>
    <x v="0"/>
    <n v="82570"/>
  </r>
  <r>
    <x v="54"/>
    <x v="2"/>
    <n v="16311"/>
  </r>
  <r>
    <x v="55"/>
    <x v="0"/>
    <n v="89410"/>
  </r>
  <r>
    <x v="55"/>
    <x v="3"/>
    <n v="71783"/>
  </r>
  <r>
    <x v="55"/>
    <x v="2"/>
    <n v="25480"/>
  </r>
  <r>
    <x v="56"/>
    <x v="0"/>
    <n v="83867"/>
  </r>
  <r>
    <x v="56"/>
    <x v="3"/>
    <n v="45076"/>
  </r>
  <r>
    <x v="56"/>
    <x v="2"/>
    <n v="22620"/>
  </r>
  <r>
    <x v="57"/>
    <x v="0"/>
    <n v="62931"/>
  </r>
  <r>
    <x v="57"/>
    <x v="3"/>
    <n v="24616"/>
  </r>
  <r>
    <x v="57"/>
    <x v="2"/>
    <n v="16406"/>
  </r>
  <r>
    <x v="58"/>
    <x v="0"/>
    <n v="58846"/>
  </r>
  <r>
    <x v="58"/>
    <x v="3"/>
    <n v="20958"/>
  </r>
  <r>
    <x v="58"/>
    <x v="2"/>
    <n v="13051"/>
  </r>
  <r>
    <x v="59"/>
    <x v="0"/>
    <n v="62802"/>
  </r>
  <r>
    <x v="59"/>
    <x v="3"/>
    <n v="26484"/>
  </r>
  <r>
    <x v="59"/>
    <x v="2"/>
    <n v="18179"/>
  </r>
  <r>
    <x v="60"/>
    <x v="0"/>
    <n v="60390"/>
  </r>
  <r>
    <x v="60"/>
    <x v="3"/>
    <n v="27562"/>
  </r>
  <r>
    <x v="60"/>
    <x v="2"/>
    <n v="23590"/>
  </r>
  <r>
    <x v="61"/>
    <x v="0"/>
    <n v="54738"/>
  </r>
  <r>
    <x v="61"/>
    <x v="3"/>
    <n v="29806"/>
  </r>
  <r>
    <x v="61"/>
    <x v="2"/>
    <n v="26564"/>
  </r>
  <r>
    <x v="62"/>
    <x v="0"/>
    <n v="43730"/>
  </r>
  <r>
    <x v="62"/>
    <x v="3"/>
    <n v="25134"/>
  </r>
  <r>
    <x v="62"/>
    <x v="2"/>
    <n v="24648"/>
  </r>
  <r>
    <x v="63"/>
    <x v="0"/>
    <n v="42612"/>
  </r>
  <r>
    <x v="63"/>
    <x v="3"/>
    <n v="17800"/>
  </r>
  <r>
    <x v="63"/>
    <x v="2"/>
    <n v="17440"/>
  </r>
  <r>
    <x v="64"/>
    <x v="0"/>
    <n v="46376"/>
  </r>
  <r>
    <x v="64"/>
    <x v="3"/>
    <n v="16829"/>
  </r>
  <r>
    <x v="64"/>
    <x v="2"/>
    <n v="21045"/>
  </r>
  <r>
    <x v="65"/>
    <x v="0"/>
    <n v="49599"/>
  </r>
  <r>
    <x v="65"/>
    <x v="3"/>
    <n v="14699"/>
  </r>
  <r>
    <x v="65"/>
    <x v="2"/>
    <n v="19445"/>
  </r>
  <r>
    <x v="66"/>
    <x v="0"/>
    <n v="51493"/>
  </r>
  <r>
    <x v="66"/>
    <x v="3"/>
    <n v="11907"/>
  </r>
  <r>
    <x v="66"/>
    <x v="2"/>
    <n v="15205"/>
  </r>
  <r>
    <x v="67"/>
    <x v="0"/>
    <n v="55048"/>
  </r>
  <r>
    <x v="67"/>
    <x v="3"/>
    <n v="16456"/>
  </r>
  <r>
    <x v="67"/>
    <x v="2"/>
    <n v="21345"/>
  </r>
  <r>
    <x v="68"/>
    <x v="0"/>
    <n v="40328"/>
  </r>
  <r>
    <x v="68"/>
    <x v="3"/>
    <n v="22322"/>
  </r>
  <r>
    <x v="68"/>
    <x v="2"/>
    <n v="28168"/>
  </r>
  <r>
    <x v="69"/>
    <x v="3"/>
    <n v="30002"/>
  </r>
  <r>
    <x v="69"/>
    <x v="0"/>
    <n v="41549"/>
  </r>
  <r>
    <x v="69"/>
    <x v="2"/>
    <n v="33340"/>
  </r>
  <r>
    <x v="70"/>
    <x v="2"/>
    <n v="38106"/>
  </r>
  <r>
    <x v="70"/>
    <x v="3"/>
    <n v="30869"/>
  </r>
  <r>
    <x v="70"/>
    <x v="0"/>
    <n v="37451"/>
  </r>
  <r>
    <x v="71"/>
    <x v="3"/>
    <n v="34888"/>
  </r>
  <r>
    <x v="71"/>
    <x v="2"/>
    <n v="43237"/>
  </r>
  <r>
    <x v="71"/>
    <x v="0"/>
    <n v="38965"/>
  </r>
  <r>
    <x v="72"/>
    <x v="2"/>
    <n v="44477"/>
  </r>
  <r>
    <x v="72"/>
    <x v="3"/>
    <n v="33215"/>
  </r>
  <r>
    <x v="72"/>
    <x v="0"/>
    <n v="36931"/>
  </r>
  <r>
    <x v="73"/>
    <x v="0"/>
    <n v="41383"/>
  </r>
  <r>
    <x v="73"/>
    <x v="3"/>
    <n v="30768"/>
  </r>
  <r>
    <x v="73"/>
    <x v="2"/>
    <n v="37323"/>
  </r>
  <r>
    <x v="74"/>
    <x v="0"/>
    <n v="32412"/>
  </r>
  <r>
    <x v="74"/>
    <x v="2"/>
    <n v="32289"/>
  </r>
  <r>
    <x v="74"/>
    <x v="3"/>
    <n v="20081"/>
  </r>
  <r>
    <x v="75"/>
    <x v="3"/>
    <n v="10793"/>
  </r>
  <r>
    <x v="75"/>
    <x v="0"/>
    <n v="22609"/>
  </r>
  <r>
    <x v="75"/>
    <x v="2"/>
    <n v="21224"/>
  </r>
  <r>
    <x v="76"/>
    <x v="2"/>
    <n v="14491"/>
  </r>
  <r>
    <x v="76"/>
    <x v="3"/>
    <n v="9553"/>
  </r>
  <r>
    <x v="76"/>
    <x v="0"/>
    <n v="29812"/>
  </r>
  <r>
    <x v="77"/>
    <x v="2"/>
    <n v="13261"/>
  </r>
  <r>
    <x v="77"/>
    <x v="3"/>
    <n v="7592"/>
  </r>
  <r>
    <x v="77"/>
    <x v="0"/>
    <n v="30453"/>
  </r>
  <r>
    <x v="78"/>
    <x v="0"/>
    <n v="31434"/>
  </r>
  <r>
    <x v="78"/>
    <x v="2"/>
    <n v="11117"/>
  </r>
  <r>
    <x v="78"/>
    <x v="3"/>
    <n v="6380"/>
  </r>
  <r>
    <x v="79"/>
    <x v="2"/>
    <n v="12492"/>
  </r>
  <r>
    <x v="79"/>
    <x v="3"/>
    <n v="8952"/>
  </r>
  <r>
    <x v="79"/>
    <x v="0"/>
    <n v="41640"/>
  </r>
  <r>
    <x v="80"/>
    <x v="0"/>
    <n v="37088"/>
  </r>
  <r>
    <x v="80"/>
    <x v="3"/>
    <n v="9875"/>
  </r>
  <r>
    <x v="80"/>
    <x v="2"/>
    <n v="14123"/>
  </r>
  <r>
    <x v="81"/>
    <x v="0"/>
    <n v="36313"/>
  </r>
  <r>
    <x v="81"/>
    <x v="3"/>
    <n v="11433"/>
  </r>
  <r>
    <x v="81"/>
    <x v="2"/>
    <n v="14085"/>
  </r>
  <r>
    <x v="82"/>
    <x v="0"/>
    <n v="32247"/>
  </r>
  <r>
    <x v="82"/>
    <x v="3"/>
    <n v="22206"/>
  </r>
  <r>
    <x v="82"/>
    <x v="2"/>
    <n v="17552"/>
  </r>
  <r>
    <x v="83"/>
    <x v="0"/>
    <n v="24463"/>
  </r>
  <r>
    <x v="83"/>
    <x v="3"/>
    <n v="21822"/>
  </r>
  <r>
    <x v="83"/>
    <x v="2"/>
    <n v="20154"/>
  </r>
  <r>
    <x v="84"/>
    <x v="0"/>
    <n v="25528"/>
  </r>
  <r>
    <x v="84"/>
    <x v="3"/>
    <n v="22762"/>
  </r>
  <r>
    <x v="84"/>
    <x v="2"/>
    <n v="21858"/>
  </r>
  <r>
    <x v="85"/>
    <x v="0"/>
    <n v="30766"/>
  </r>
  <r>
    <x v="85"/>
    <x v="3"/>
    <n v="25465"/>
  </r>
  <r>
    <x v="85"/>
    <x v="2"/>
    <n v="18923"/>
  </r>
  <r>
    <x v="86"/>
    <x v="0"/>
    <n v="21030"/>
  </r>
  <r>
    <x v="86"/>
    <x v="3"/>
    <n v="22392"/>
  </r>
  <r>
    <x v="86"/>
    <x v="2"/>
    <n v="20650"/>
  </r>
  <r>
    <x v="87"/>
    <x v="0"/>
    <n v="20238"/>
  </r>
  <r>
    <x v="87"/>
    <x v="3"/>
    <n v="22169"/>
  </r>
  <r>
    <x v="87"/>
    <x v="2"/>
    <n v="23750"/>
  </r>
  <r>
    <x v="88"/>
    <x v="0"/>
    <n v="24409"/>
  </r>
  <r>
    <x v="88"/>
    <x v="2"/>
    <n v="22147"/>
  </r>
  <r>
    <x v="88"/>
    <x v="3"/>
    <n v="21904"/>
  </r>
  <r>
    <x v="89"/>
    <x v="2"/>
    <n v="20132"/>
  </r>
  <r>
    <x v="89"/>
    <x v="3"/>
    <n v="18591"/>
  </r>
  <r>
    <x v="89"/>
    <x v="0"/>
    <n v="32503"/>
  </r>
  <r>
    <x v="90"/>
    <x v="0"/>
    <n v="40917"/>
  </r>
  <r>
    <x v="90"/>
    <x v="3"/>
    <n v="20169"/>
  </r>
  <r>
    <x v="90"/>
    <x v="2"/>
    <n v="20818"/>
  </r>
  <r>
    <x v="91"/>
    <x v="0"/>
    <n v="40189"/>
  </r>
  <r>
    <x v="91"/>
    <x v="3"/>
    <n v="20467"/>
  </r>
  <r>
    <x v="91"/>
    <x v="2"/>
    <n v="21157"/>
  </r>
  <r>
    <x v="92"/>
    <x v="0"/>
    <n v="43003"/>
  </r>
  <r>
    <x v="92"/>
    <x v="3"/>
    <n v="25359"/>
  </r>
  <r>
    <x v="92"/>
    <x v="2"/>
    <n v="23362"/>
  </r>
  <r>
    <x v="93"/>
    <x v="0"/>
    <n v="47014"/>
  </r>
  <r>
    <x v="93"/>
    <x v="3"/>
    <n v="33904"/>
  </r>
  <r>
    <x v="93"/>
    <x v="2"/>
    <n v="24936"/>
  </r>
  <r>
    <x v="94"/>
    <x v="0"/>
    <n v="49818"/>
  </r>
  <r>
    <x v="94"/>
    <x v="3"/>
    <n v="40037"/>
  </r>
  <r>
    <x v="94"/>
    <x v="2"/>
    <n v="26328"/>
  </r>
  <r>
    <x v="95"/>
    <x v="0"/>
    <n v="49998"/>
  </r>
  <r>
    <x v="95"/>
    <x v="3"/>
    <n v="40485"/>
  </r>
  <r>
    <x v="95"/>
    <x v="2"/>
    <n v="29752"/>
  </r>
  <r>
    <x v="96"/>
    <x v="0"/>
    <n v="39738"/>
  </r>
  <r>
    <x v="96"/>
    <x v="3"/>
    <n v="36497"/>
  </r>
  <r>
    <x v="96"/>
    <x v="2"/>
    <n v="26821"/>
  </r>
  <r>
    <x v="97"/>
    <x v="0"/>
    <n v="44263"/>
  </r>
  <r>
    <x v="97"/>
    <x v="3"/>
    <n v="41281"/>
  </r>
  <r>
    <x v="97"/>
    <x v="2"/>
    <n v="27440"/>
  </r>
  <r>
    <x v="98"/>
    <x v="0"/>
    <n v="42588"/>
  </r>
  <r>
    <x v="98"/>
    <x v="3"/>
    <n v="45862"/>
  </r>
  <r>
    <x v="98"/>
    <x v="2"/>
    <n v="29625"/>
  </r>
  <r>
    <x v="99"/>
    <x v="0"/>
    <n v="46379"/>
  </r>
  <r>
    <x v="99"/>
    <x v="3"/>
    <n v="40421"/>
  </r>
  <r>
    <x v="99"/>
    <x v="2"/>
    <n v="29886"/>
  </r>
  <r>
    <x v="100"/>
    <x v="0"/>
    <n v="47961"/>
  </r>
  <r>
    <x v="100"/>
    <x v="3"/>
    <n v="30711"/>
  </r>
  <r>
    <x v="100"/>
    <x v="2"/>
    <n v="30221"/>
  </r>
  <r>
    <x v="101"/>
    <x v="0"/>
    <n v="48520"/>
  </r>
  <r>
    <x v="101"/>
    <x v="3"/>
    <n v="26806"/>
  </r>
  <r>
    <x v="101"/>
    <x v="2"/>
    <n v="28245"/>
  </r>
  <r>
    <x v="102"/>
    <x v="2"/>
    <n v="26789"/>
  </r>
  <r>
    <x v="102"/>
    <x v="3"/>
    <n v="32722"/>
  </r>
  <r>
    <x v="102"/>
    <x v="0"/>
    <n v="62247"/>
  </r>
  <r>
    <x v="103"/>
    <x v="2"/>
    <n v="23013"/>
  </r>
  <r>
    <x v="103"/>
    <x v="3"/>
    <n v="27485"/>
  </r>
  <r>
    <x v="103"/>
    <x v="0"/>
    <n v="60521"/>
  </r>
  <r>
    <x v="104"/>
    <x v="0"/>
    <n v="56084"/>
  </r>
  <r>
    <x v="104"/>
    <x v="2"/>
    <n v="20542"/>
  </r>
  <r>
    <x v="104"/>
    <x v="3"/>
    <n v="19112"/>
  </r>
  <r>
    <x v="105"/>
    <x v="3"/>
    <n v="11604"/>
  </r>
  <r>
    <x v="105"/>
    <x v="2"/>
    <n v="15993"/>
  </r>
  <r>
    <x v="105"/>
    <x v="0"/>
    <n v="49158"/>
  </r>
  <r>
    <x v="106"/>
    <x v="2"/>
    <n v="12082"/>
  </r>
  <r>
    <x v="106"/>
    <x v="3"/>
    <n v="7900"/>
  </r>
  <r>
    <x v="106"/>
    <x v="0"/>
    <n v="41648"/>
  </r>
  <r>
    <x v="107"/>
    <x v="0"/>
    <n v="45669"/>
  </r>
  <r>
    <x v="107"/>
    <x v="2"/>
    <n v="10922"/>
  </r>
  <r>
    <x v="107"/>
    <x v="3"/>
    <n v="8033"/>
  </r>
  <r>
    <x v="108"/>
    <x v="2"/>
    <n v="9752"/>
  </r>
  <r>
    <x v="108"/>
    <x v="3"/>
    <n v="9674"/>
  </r>
  <r>
    <x v="108"/>
    <x v="0"/>
    <n v="45743"/>
  </r>
  <r>
    <x v="109"/>
    <x v="0"/>
    <n v="48084"/>
  </r>
  <r>
    <x v="109"/>
    <x v="3"/>
    <n v="9770"/>
  </r>
  <r>
    <x v="109"/>
    <x v="2"/>
    <n v="9671"/>
  </r>
  <r>
    <x v="110"/>
    <x v="4"/>
    <n v="6"/>
  </r>
  <r>
    <x v="110"/>
    <x v="0"/>
    <n v="32181"/>
  </r>
  <r>
    <x v="110"/>
    <x v="2"/>
    <n v="8095"/>
  </r>
  <r>
    <x v="110"/>
    <x v="3"/>
    <n v="6582"/>
  </r>
  <r>
    <x v="111"/>
    <x v="0"/>
    <n v="34463"/>
  </r>
  <r>
    <x v="111"/>
    <x v="4"/>
    <n v="12788"/>
  </r>
  <r>
    <x v="112"/>
    <x v="4"/>
    <n v="14986"/>
  </r>
  <r>
    <x v="112"/>
    <x v="0"/>
    <n v="46338"/>
  </r>
  <r>
    <x v="113"/>
    <x v="0"/>
    <n v="49506"/>
  </r>
  <r>
    <x v="113"/>
    <x v="4"/>
    <n v="14482"/>
  </r>
  <r>
    <x v="114"/>
    <x v="0"/>
    <n v="55296"/>
  </r>
  <r>
    <x v="114"/>
    <x v="4"/>
    <n v="13324"/>
  </r>
  <r>
    <x v="115"/>
    <x v="0"/>
    <n v="65987"/>
  </r>
  <r>
    <x v="115"/>
    <x v="4"/>
    <n v="15877"/>
  </r>
  <r>
    <x v="116"/>
    <x v="0"/>
    <n v="67292"/>
  </r>
  <r>
    <x v="116"/>
    <x v="4"/>
    <n v="16493"/>
  </r>
  <r>
    <x v="117"/>
    <x v="0"/>
    <n v="63700"/>
  </r>
  <r>
    <x v="117"/>
    <x v="4"/>
    <n v="16731"/>
  </r>
  <r>
    <x v="118"/>
    <x v="0"/>
    <n v="59685"/>
  </r>
  <r>
    <x v="118"/>
    <x v="4"/>
    <n v="17725"/>
  </r>
  <r>
    <x v="119"/>
    <x v="0"/>
    <n v="54342"/>
  </r>
  <r>
    <x v="119"/>
    <x v="4"/>
    <n v="18168"/>
  </r>
  <r>
    <x v="120"/>
    <x v="0"/>
    <n v="47250"/>
  </r>
  <r>
    <x v="120"/>
    <x v="4"/>
    <n v="21476"/>
  </r>
  <r>
    <x v="121"/>
    <x v="0"/>
    <n v="50078"/>
  </r>
  <r>
    <x v="121"/>
    <x v="4"/>
    <n v="20938"/>
  </r>
  <r>
    <x v="122"/>
    <x v="0"/>
    <n v="39431"/>
  </r>
  <r>
    <x v="122"/>
    <x v="4"/>
    <n v="24131"/>
  </r>
  <r>
    <x v="123"/>
    <x v="4"/>
    <n v="35016"/>
  </r>
  <r>
    <x v="123"/>
    <x v="0"/>
    <n v="45767"/>
  </r>
  <r>
    <x v="124"/>
    <x v="4"/>
    <n v="39618"/>
  </r>
  <r>
    <x v="124"/>
    <x v="0"/>
    <n v="63289"/>
  </r>
  <r>
    <x v="125"/>
    <x v="0"/>
    <n v="66830"/>
  </r>
  <r>
    <x v="125"/>
    <x v="4"/>
    <n v="30540"/>
  </r>
  <r>
    <x v="126"/>
    <x v="4"/>
    <n v="26241"/>
  </r>
  <r>
    <x v="126"/>
    <x v="0"/>
    <n v="70156"/>
  </r>
  <r>
    <x v="127"/>
    <x v="4"/>
    <n v="21405"/>
  </r>
  <r>
    <x v="127"/>
    <x v="0"/>
    <n v="73092"/>
  </r>
  <r>
    <x v="128"/>
    <x v="4"/>
    <n v="17182"/>
  </r>
  <r>
    <x v="128"/>
    <x v="0"/>
    <n v="71669"/>
  </r>
  <r>
    <x v="129"/>
    <x v="0"/>
    <n v="69113"/>
  </r>
  <r>
    <x v="129"/>
    <x v="4"/>
    <n v="16547"/>
  </r>
  <r>
    <x v="130"/>
    <x v="4"/>
    <n v="17651"/>
  </r>
  <r>
    <x v="130"/>
    <x v="0"/>
    <n v="65422"/>
  </r>
  <r>
    <x v="131"/>
    <x v="0"/>
    <n v="62442"/>
  </r>
  <r>
    <x v="131"/>
    <x v="4"/>
    <n v="18707"/>
  </r>
  <r>
    <x v="132"/>
    <x v="4"/>
    <n v="16500"/>
  </r>
  <r>
    <x v="132"/>
    <x v="0"/>
    <n v="48675"/>
  </r>
  <r>
    <x v="133"/>
    <x v="0"/>
    <n v="31604"/>
  </r>
  <r>
    <x v="133"/>
    <x v="4"/>
    <n v="9715"/>
  </r>
  <r>
    <x v="134"/>
    <x v="4"/>
    <n v="669"/>
  </r>
  <r>
    <x v="134"/>
    <x v="0"/>
    <n v="15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7">
  <r>
    <x v="0"/>
    <n v="1751"/>
    <x v="0"/>
  </r>
  <r>
    <x v="0"/>
    <n v="226"/>
    <x v="1"/>
  </r>
  <r>
    <x v="1"/>
    <n v="237"/>
    <x v="1"/>
  </r>
  <r>
    <x v="1"/>
    <n v="1713"/>
    <x v="0"/>
  </r>
  <r>
    <x v="2"/>
    <n v="1379"/>
    <x v="0"/>
  </r>
  <r>
    <x v="2"/>
    <n v="165"/>
    <x v="1"/>
  </r>
  <r>
    <x v="3"/>
    <n v="248"/>
    <x v="1"/>
  </r>
  <r>
    <x v="3"/>
    <n v="1407"/>
    <x v="0"/>
  </r>
  <r>
    <x v="4"/>
    <n v="1954"/>
    <x v="0"/>
  </r>
  <r>
    <x v="4"/>
    <n v="357"/>
    <x v="1"/>
  </r>
  <r>
    <x v="5"/>
    <n v="256"/>
    <x v="1"/>
  </r>
  <r>
    <x v="5"/>
    <n v="2080"/>
    <x v="0"/>
  </r>
  <r>
    <x v="6"/>
    <n v="314"/>
    <x v="1"/>
  </r>
  <r>
    <x v="6"/>
    <n v="2676"/>
    <x v="0"/>
  </r>
  <r>
    <x v="7"/>
    <n v="3213"/>
    <x v="0"/>
  </r>
  <r>
    <x v="7"/>
    <n v="373"/>
    <x v="1"/>
  </r>
  <r>
    <x v="8"/>
    <n v="4049"/>
    <x v="0"/>
  </r>
  <r>
    <x v="8"/>
    <n v="618"/>
    <x v="1"/>
  </r>
  <r>
    <x v="9"/>
    <n v="7482"/>
    <x v="0"/>
  </r>
  <r>
    <x v="9"/>
    <n v="996"/>
    <x v="1"/>
  </r>
  <r>
    <x v="10"/>
    <n v="15992"/>
    <x v="0"/>
  </r>
  <r>
    <x v="10"/>
    <n v="2199"/>
    <x v="1"/>
  </r>
  <r>
    <x v="11"/>
    <n v="58394"/>
    <x v="0"/>
  </r>
  <r>
    <x v="11"/>
    <n v="9660"/>
    <x v="1"/>
  </r>
  <r>
    <x v="12"/>
    <n v="14686"/>
    <x v="1"/>
  </r>
  <r>
    <x v="12"/>
    <n v="96347"/>
    <x v="0"/>
  </r>
  <r>
    <x v="13"/>
    <n v="93070"/>
    <x v="0"/>
  </r>
  <r>
    <x v="13"/>
    <n v="13545"/>
    <x v="1"/>
  </r>
  <r>
    <x v="14"/>
    <n v="77021"/>
    <x v="0"/>
  </r>
  <r>
    <x v="14"/>
    <n v="12672"/>
    <x v="1"/>
  </r>
  <r>
    <x v="15"/>
    <n v="86488"/>
    <x v="0"/>
  </r>
  <r>
    <x v="15"/>
    <n v="13588"/>
    <x v="1"/>
  </r>
  <r>
    <x v="16"/>
    <n v="99743"/>
    <x v="0"/>
  </r>
  <r>
    <x v="16"/>
    <n v="13902"/>
    <x v="1"/>
  </r>
  <r>
    <x v="17"/>
    <n v="94688"/>
    <x v="0"/>
  </r>
  <r>
    <x v="17"/>
    <n v="12297"/>
    <x v="1"/>
  </r>
  <r>
    <x v="18"/>
    <n v="102712"/>
    <x v="0"/>
  </r>
  <r>
    <x v="18"/>
    <n v="11912"/>
    <x v="1"/>
  </r>
  <r>
    <x v="19"/>
    <n v="11212"/>
    <x v="1"/>
  </r>
  <r>
    <x v="19"/>
    <n v="111391"/>
    <x v="0"/>
  </r>
  <r>
    <x v="20"/>
    <n v="101466"/>
    <x v="0"/>
  </r>
  <r>
    <x v="20"/>
    <n v="10662"/>
    <x v="1"/>
  </r>
  <r>
    <x v="21"/>
    <n v="11537"/>
    <x v="1"/>
  </r>
  <r>
    <x v="21"/>
    <n v="102383"/>
    <x v="0"/>
  </r>
  <r>
    <x v="22"/>
    <n v="12948"/>
    <x v="1"/>
  </r>
  <r>
    <x v="22"/>
    <n v="96093"/>
    <x v="0"/>
  </r>
  <r>
    <x v="23"/>
    <n v="107333"/>
    <x v="0"/>
  </r>
  <r>
    <x v="23"/>
    <n v="17880"/>
    <x v="1"/>
  </r>
  <r>
    <x v="24"/>
    <n v="17232"/>
    <x v="1"/>
  </r>
  <r>
    <x v="24"/>
    <n v="98456"/>
    <x v="0"/>
  </r>
  <r>
    <x v="25"/>
    <n v="99305"/>
    <x v="0"/>
  </r>
  <r>
    <x v="25"/>
    <n v="21209"/>
    <x v="1"/>
  </r>
  <r>
    <x v="26"/>
    <n v="20923"/>
    <x v="1"/>
  </r>
  <r>
    <x v="26"/>
    <n v="86895"/>
    <x v="0"/>
  </r>
  <r>
    <x v="27"/>
    <n v="93294"/>
    <x v="0"/>
  </r>
  <r>
    <x v="27"/>
    <n v="18017"/>
    <x v="1"/>
  </r>
  <r>
    <x v="28"/>
    <n v="118081"/>
    <x v="0"/>
  </r>
  <r>
    <x v="28"/>
    <n v="22875"/>
    <x v="1"/>
  </r>
  <r>
    <x v="29"/>
    <n v="122699"/>
    <x v="0"/>
  </r>
  <r>
    <x v="29"/>
    <n v="24801"/>
    <x v="1"/>
  </r>
  <r>
    <x v="30"/>
    <n v="21810"/>
    <x v="1"/>
  </r>
  <r>
    <x v="30"/>
    <n v="125490"/>
    <x v="0"/>
  </r>
  <r>
    <x v="31"/>
    <n v="118350"/>
    <x v="0"/>
  </r>
  <r>
    <x v="31"/>
    <n v="17435"/>
    <x v="1"/>
  </r>
  <r>
    <x v="32"/>
    <n v="15468"/>
    <x v="1"/>
  </r>
  <r>
    <x v="32"/>
    <n v="113663"/>
    <x v="0"/>
  </r>
  <r>
    <x v="33"/>
    <n v="110255"/>
    <x v="0"/>
  </r>
  <r>
    <x v="33"/>
    <n v="15255"/>
    <x v="1"/>
  </r>
  <r>
    <x v="34"/>
    <n v="18097"/>
    <x v="1"/>
  </r>
  <r>
    <x v="34"/>
    <n v="99634"/>
    <x v="0"/>
  </r>
  <r>
    <x v="35"/>
    <n v="101090"/>
    <x v="0"/>
  </r>
  <r>
    <x v="35"/>
    <n v="21973"/>
    <x v="1"/>
  </r>
  <r>
    <x v="36"/>
    <n v="20897"/>
    <x v="1"/>
  </r>
  <r>
    <x v="36"/>
    <n v="88196"/>
    <x v="0"/>
  </r>
  <r>
    <x v="37"/>
    <n v="95942"/>
    <x v="0"/>
  </r>
  <r>
    <x v="37"/>
    <n v="30555"/>
    <x v="1"/>
  </r>
  <r>
    <x v="38"/>
    <n v="78250"/>
    <x v="0"/>
  </r>
  <r>
    <x v="38"/>
    <n v="34268"/>
    <x v="1"/>
  </r>
  <r>
    <x v="39"/>
    <n v="99187"/>
    <x v="0"/>
  </r>
  <r>
    <x v="39"/>
    <n v="60058"/>
    <x v="1"/>
  </r>
  <r>
    <x v="40"/>
    <n v="102401"/>
    <x v="0"/>
  </r>
  <r>
    <x v="40"/>
    <n v="41596"/>
    <x v="1"/>
  </r>
  <r>
    <x v="41"/>
    <n v="38213"/>
    <x v="1"/>
  </r>
  <r>
    <x v="41"/>
    <n v="98366"/>
    <x v="0"/>
  </r>
  <r>
    <x v="42"/>
    <n v="81925"/>
    <x v="0"/>
  </r>
  <r>
    <x v="42"/>
    <n v="23471"/>
    <x v="1"/>
  </r>
  <r>
    <x v="43"/>
    <n v="80739"/>
    <x v="0"/>
  </r>
  <r>
    <x v="43"/>
    <n v="17448"/>
    <x v="1"/>
  </r>
  <r>
    <x v="44"/>
    <n v="67217"/>
    <x v="0"/>
  </r>
  <r>
    <x v="44"/>
    <n v="11583"/>
    <x v="1"/>
  </r>
  <r>
    <x v="45"/>
    <n v="7202"/>
    <x v="1"/>
  </r>
  <r>
    <x v="45"/>
    <n v="45118"/>
    <x v="0"/>
  </r>
  <r>
    <x v="46"/>
    <n v="10585"/>
    <x v="1"/>
  </r>
  <r>
    <x v="46"/>
    <n v="50695"/>
    <x v="0"/>
  </r>
  <r>
    <x v="47"/>
    <n v="15821"/>
    <x v="1"/>
  </r>
  <r>
    <x v="47"/>
    <n v="52104"/>
    <x v="0"/>
  </r>
  <r>
    <x v="48"/>
    <n v="32449"/>
    <x v="0"/>
  </r>
  <r>
    <x v="48"/>
    <n v="7542"/>
    <x v="1"/>
  </r>
  <r>
    <x v="49"/>
    <n v="32323"/>
    <x v="1"/>
  </r>
  <r>
    <x v="49"/>
    <n v="52470"/>
    <x v="0"/>
  </r>
  <r>
    <x v="50"/>
    <n v="58125"/>
    <x v="0"/>
  </r>
  <r>
    <x v="50"/>
    <n v="81506"/>
    <x v="1"/>
  </r>
  <r>
    <x v="51"/>
    <n v="72314"/>
    <x v="0"/>
  </r>
  <r>
    <x v="51"/>
    <n v="104826"/>
    <x v="1"/>
  </r>
  <r>
    <x v="52"/>
    <n v="108692"/>
    <x v="1"/>
  </r>
  <r>
    <x v="52"/>
    <n v="87478"/>
    <x v="0"/>
  </r>
  <r>
    <x v="53"/>
    <n v="80977"/>
    <x v="0"/>
  </r>
  <r>
    <x v="53"/>
    <n v="10383"/>
    <x v="2"/>
  </r>
  <r>
    <x v="53"/>
    <n v="94312"/>
    <x v="3"/>
  </r>
  <r>
    <x v="54"/>
    <n v="82570"/>
    <x v="0"/>
  </r>
  <r>
    <x v="54"/>
    <n v="16311"/>
    <x v="2"/>
  </r>
  <r>
    <x v="54"/>
    <n v="90531"/>
    <x v="3"/>
  </r>
  <r>
    <x v="55"/>
    <n v="25480"/>
    <x v="2"/>
  </r>
  <r>
    <x v="55"/>
    <n v="71783"/>
    <x v="3"/>
  </r>
  <r>
    <x v="55"/>
    <n v="89410"/>
    <x v="0"/>
  </r>
  <r>
    <x v="56"/>
    <n v="45076"/>
    <x v="3"/>
  </r>
  <r>
    <x v="56"/>
    <n v="22620"/>
    <x v="2"/>
  </r>
  <r>
    <x v="56"/>
    <n v="83867"/>
    <x v="0"/>
  </r>
  <r>
    <x v="57"/>
    <n v="16406"/>
    <x v="2"/>
  </r>
  <r>
    <x v="57"/>
    <n v="24616"/>
    <x v="3"/>
  </r>
  <r>
    <x v="57"/>
    <n v="62931"/>
    <x v="0"/>
  </r>
  <r>
    <x v="58"/>
    <n v="58846"/>
    <x v="0"/>
  </r>
  <r>
    <x v="58"/>
    <n v="13051"/>
    <x v="2"/>
  </r>
  <r>
    <x v="58"/>
    <n v="20958"/>
    <x v="3"/>
  </r>
  <r>
    <x v="59"/>
    <n v="18179"/>
    <x v="2"/>
  </r>
  <r>
    <x v="59"/>
    <n v="26484"/>
    <x v="3"/>
  </r>
  <r>
    <x v="59"/>
    <n v="62802"/>
    <x v="0"/>
  </r>
  <r>
    <x v="60"/>
    <n v="27562"/>
    <x v="3"/>
  </r>
  <r>
    <x v="60"/>
    <n v="60390"/>
    <x v="0"/>
  </r>
  <r>
    <x v="60"/>
    <n v="23590"/>
    <x v="2"/>
  </r>
  <r>
    <x v="61"/>
    <n v="29806"/>
    <x v="3"/>
  </r>
  <r>
    <x v="61"/>
    <n v="54738"/>
    <x v="0"/>
  </r>
  <r>
    <x v="61"/>
    <n v="26564"/>
    <x v="2"/>
  </r>
  <r>
    <x v="62"/>
    <n v="24648"/>
    <x v="2"/>
  </r>
  <r>
    <x v="62"/>
    <n v="25134"/>
    <x v="3"/>
  </r>
  <r>
    <x v="62"/>
    <n v="43730"/>
    <x v="0"/>
  </r>
  <r>
    <x v="63"/>
    <n v="17440"/>
    <x v="2"/>
  </r>
  <r>
    <x v="63"/>
    <n v="42612"/>
    <x v="0"/>
  </r>
  <r>
    <x v="63"/>
    <n v="17800"/>
    <x v="3"/>
  </r>
  <r>
    <x v="64"/>
    <n v="21045"/>
    <x v="2"/>
  </r>
  <r>
    <x v="64"/>
    <n v="16829"/>
    <x v="3"/>
  </r>
  <r>
    <x v="64"/>
    <n v="46376"/>
    <x v="0"/>
  </r>
  <r>
    <x v="65"/>
    <n v="49599"/>
    <x v="0"/>
  </r>
  <r>
    <x v="65"/>
    <n v="19445"/>
    <x v="2"/>
  </r>
  <r>
    <x v="65"/>
    <n v="14699"/>
    <x v="3"/>
  </r>
  <r>
    <x v="66"/>
    <n v="51493"/>
    <x v="0"/>
  </r>
  <r>
    <x v="66"/>
    <n v="11907"/>
    <x v="3"/>
  </r>
  <r>
    <x v="66"/>
    <n v="15205"/>
    <x v="2"/>
  </r>
  <r>
    <x v="67"/>
    <n v="55048"/>
    <x v="0"/>
  </r>
  <r>
    <x v="67"/>
    <n v="21345"/>
    <x v="2"/>
  </r>
  <r>
    <x v="67"/>
    <n v="16456"/>
    <x v="3"/>
  </r>
  <r>
    <x v="68"/>
    <n v="22322"/>
    <x v="3"/>
  </r>
  <r>
    <x v="68"/>
    <n v="40328"/>
    <x v="0"/>
  </r>
  <r>
    <x v="68"/>
    <n v="28168"/>
    <x v="2"/>
  </r>
  <r>
    <x v="69"/>
    <n v="33340"/>
    <x v="2"/>
  </r>
  <r>
    <x v="69"/>
    <n v="30002"/>
    <x v="3"/>
  </r>
  <r>
    <x v="69"/>
    <n v="41549"/>
    <x v="0"/>
  </r>
  <r>
    <x v="70"/>
    <n v="38106"/>
    <x v="2"/>
  </r>
  <r>
    <x v="70"/>
    <n v="30869"/>
    <x v="3"/>
  </r>
  <r>
    <x v="70"/>
    <n v="37451"/>
    <x v="0"/>
  </r>
  <r>
    <x v="71"/>
    <n v="38965"/>
    <x v="0"/>
  </r>
  <r>
    <x v="71"/>
    <n v="34888"/>
    <x v="3"/>
  </r>
  <r>
    <x v="71"/>
    <n v="43237"/>
    <x v="2"/>
  </r>
  <r>
    <x v="72"/>
    <n v="36931"/>
    <x v="0"/>
  </r>
  <r>
    <x v="72"/>
    <n v="33215"/>
    <x v="3"/>
  </r>
  <r>
    <x v="72"/>
    <n v="44477"/>
    <x v="2"/>
  </r>
  <r>
    <x v="73"/>
    <n v="41383"/>
    <x v="0"/>
  </r>
  <r>
    <x v="73"/>
    <n v="30768"/>
    <x v="3"/>
  </r>
  <r>
    <x v="73"/>
    <n v="37323"/>
    <x v="2"/>
  </r>
  <r>
    <x v="74"/>
    <n v="32412"/>
    <x v="0"/>
  </r>
  <r>
    <x v="74"/>
    <n v="20081"/>
    <x v="3"/>
  </r>
  <r>
    <x v="74"/>
    <n v="32289"/>
    <x v="2"/>
  </r>
  <r>
    <x v="75"/>
    <n v="22609"/>
    <x v="0"/>
  </r>
  <r>
    <x v="75"/>
    <n v="10793"/>
    <x v="3"/>
  </r>
  <r>
    <x v="75"/>
    <n v="21224"/>
    <x v="2"/>
  </r>
  <r>
    <x v="76"/>
    <n v="29812"/>
    <x v="0"/>
  </r>
  <r>
    <x v="76"/>
    <n v="9553"/>
    <x v="3"/>
  </r>
  <r>
    <x v="76"/>
    <n v="14491"/>
    <x v="2"/>
  </r>
  <r>
    <x v="77"/>
    <n v="30453"/>
    <x v="0"/>
  </r>
  <r>
    <x v="77"/>
    <n v="7592"/>
    <x v="3"/>
  </r>
  <r>
    <x v="77"/>
    <n v="13261"/>
    <x v="2"/>
  </r>
  <r>
    <x v="78"/>
    <n v="31434"/>
    <x v="0"/>
  </r>
  <r>
    <x v="78"/>
    <n v="6380"/>
    <x v="3"/>
  </r>
  <r>
    <x v="78"/>
    <n v="11117"/>
    <x v="2"/>
  </r>
  <r>
    <x v="79"/>
    <n v="41640"/>
    <x v="0"/>
  </r>
  <r>
    <x v="79"/>
    <n v="8952"/>
    <x v="3"/>
  </r>
  <r>
    <x v="79"/>
    <n v="12492"/>
    <x v="2"/>
  </r>
  <r>
    <x v="80"/>
    <n v="14123"/>
    <x v="2"/>
  </r>
  <r>
    <x v="80"/>
    <n v="37088"/>
    <x v="0"/>
  </r>
  <r>
    <x v="80"/>
    <n v="9875"/>
    <x v="3"/>
  </r>
  <r>
    <x v="81"/>
    <n v="14085"/>
    <x v="2"/>
  </r>
  <r>
    <x v="81"/>
    <n v="11433"/>
    <x v="3"/>
  </r>
  <r>
    <x v="81"/>
    <n v="36313"/>
    <x v="0"/>
  </r>
  <r>
    <x v="82"/>
    <n v="32247"/>
    <x v="0"/>
  </r>
  <r>
    <x v="82"/>
    <n v="22206"/>
    <x v="3"/>
  </r>
  <r>
    <x v="82"/>
    <n v="17552"/>
    <x v="2"/>
  </r>
  <r>
    <x v="83"/>
    <n v="24463"/>
    <x v="0"/>
  </r>
  <r>
    <x v="83"/>
    <n v="21822"/>
    <x v="3"/>
  </r>
  <r>
    <x v="83"/>
    <n v="20154"/>
    <x v="2"/>
  </r>
  <r>
    <x v="84"/>
    <n v="25528"/>
    <x v="0"/>
  </r>
  <r>
    <x v="84"/>
    <n v="22762"/>
    <x v="3"/>
  </r>
  <r>
    <x v="84"/>
    <n v="21858"/>
    <x v="2"/>
  </r>
  <r>
    <x v="85"/>
    <n v="30766"/>
    <x v="0"/>
  </r>
  <r>
    <x v="85"/>
    <n v="25465"/>
    <x v="3"/>
  </r>
  <r>
    <x v="85"/>
    <n v="18923"/>
    <x v="2"/>
  </r>
  <r>
    <x v="86"/>
    <n v="21030"/>
    <x v="0"/>
  </r>
  <r>
    <x v="86"/>
    <n v="22392"/>
    <x v="3"/>
  </r>
  <r>
    <x v="86"/>
    <n v="20650"/>
    <x v="2"/>
  </r>
  <r>
    <x v="87"/>
    <n v="20238"/>
    <x v="0"/>
  </r>
  <r>
    <x v="87"/>
    <n v="22169"/>
    <x v="3"/>
  </r>
  <r>
    <x v="87"/>
    <n v="23750"/>
    <x v="2"/>
  </r>
  <r>
    <x v="88"/>
    <n v="24409"/>
    <x v="0"/>
  </r>
  <r>
    <x v="88"/>
    <n v="21904"/>
    <x v="3"/>
  </r>
  <r>
    <x v="88"/>
    <n v="22147"/>
    <x v="2"/>
  </r>
  <r>
    <x v="89"/>
    <n v="32503"/>
    <x v="0"/>
  </r>
  <r>
    <x v="89"/>
    <n v="18591"/>
    <x v="3"/>
  </r>
  <r>
    <x v="89"/>
    <n v="20132"/>
    <x v="2"/>
  </r>
  <r>
    <x v="90"/>
    <n v="40917"/>
    <x v="0"/>
  </r>
  <r>
    <x v="90"/>
    <n v="20169"/>
    <x v="3"/>
  </r>
  <r>
    <x v="90"/>
    <n v="20818"/>
    <x v="2"/>
  </r>
  <r>
    <x v="91"/>
    <n v="40189"/>
    <x v="0"/>
  </r>
  <r>
    <x v="91"/>
    <n v="20467"/>
    <x v="3"/>
  </r>
  <r>
    <x v="91"/>
    <n v="21157"/>
    <x v="2"/>
  </r>
  <r>
    <x v="92"/>
    <n v="43003"/>
    <x v="0"/>
  </r>
  <r>
    <x v="92"/>
    <n v="25359"/>
    <x v="3"/>
  </r>
  <r>
    <x v="92"/>
    <n v="23362"/>
    <x v="2"/>
  </r>
  <r>
    <x v="93"/>
    <n v="47014"/>
    <x v="0"/>
  </r>
  <r>
    <x v="93"/>
    <n v="33904"/>
    <x v="3"/>
  </r>
  <r>
    <x v="93"/>
    <n v="24936"/>
    <x v="2"/>
  </r>
  <r>
    <x v="94"/>
    <n v="49818"/>
    <x v="0"/>
  </r>
  <r>
    <x v="94"/>
    <n v="40037"/>
    <x v="3"/>
  </r>
  <r>
    <x v="94"/>
    <n v="26328"/>
    <x v="2"/>
  </r>
  <r>
    <x v="95"/>
    <n v="49998"/>
    <x v="0"/>
  </r>
  <r>
    <x v="95"/>
    <n v="40485"/>
    <x v="3"/>
  </r>
  <r>
    <x v="95"/>
    <n v="29752"/>
    <x v="2"/>
  </r>
  <r>
    <x v="96"/>
    <n v="39738"/>
    <x v="0"/>
  </r>
  <r>
    <x v="96"/>
    <n v="36497"/>
    <x v="3"/>
  </r>
  <r>
    <x v="96"/>
    <n v="26821"/>
    <x v="2"/>
  </r>
  <r>
    <x v="97"/>
    <n v="44263"/>
    <x v="0"/>
  </r>
  <r>
    <x v="97"/>
    <n v="41281"/>
    <x v="3"/>
  </r>
  <r>
    <x v="97"/>
    <n v="27440"/>
    <x v="2"/>
  </r>
  <r>
    <x v="98"/>
    <n v="42588"/>
    <x v="0"/>
  </r>
  <r>
    <x v="98"/>
    <n v="45862"/>
    <x v="3"/>
  </r>
  <r>
    <x v="98"/>
    <n v="29625"/>
    <x v="2"/>
  </r>
  <r>
    <x v="99"/>
    <n v="46379"/>
    <x v="0"/>
  </r>
  <r>
    <x v="99"/>
    <n v="40421"/>
    <x v="3"/>
  </r>
  <r>
    <x v="99"/>
    <n v="29886"/>
    <x v="2"/>
  </r>
  <r>
    <x v="100"/>
    <n v="47961"/>
    <x v="0"/>
  </r>
  <r>
    <x v="100"/>
    <n v="30711"/>
    <x v="3"/>
  </r>
  <r>
    <x v="100"/>
    <n v="30221"/>
    <x v="2"/>
  </r>
  <r>
    <x v="101"/>
    <n v="48520"/>
    <x v="0"/>
  </r>
  <r>
    <x v="101"/>
    <n v="26806"/>
    <x v="3"/>
  </r>
  <r>
    <x v="101"/>
    <n v="28245"/>
    <x v="2"/>
  </r>
  <r>
    <x v="102"/>
    <n v="26789"/>
    <x v="2"/>
  </r>
  <r>
    <x v="102"/>
    <n v="32722"/>
    <x v="3"/>
  </r>
  <r>
    <x v="102"/>
    <n v="62247"/>
    <x v="0"/>
  </r>
  <r>
    <x v="103"/>
    <n v="23013"/>
    <x v="2"/>
  </r>
  <r>
    <x v="103"/>
    <n v="27485"/>
    <x v="3"/>
  </r>
  <r>
    <x v="103"/>
    <n v="60521"/>
    <x v="0"/>
  </r>
  <r>
    <x v="104"/>
    <n v="56084"/>
    <x v="0"/>
  </r>
  <r>
    <x v="104"/>
    <n v="20542"/>
    <x v="2"/>
  </r>
  <r>
    <x v="104"/>
    <n v="19112"/>
    <x v="3"/>
  </r>
  <r>
    <x v="105"/>
    <n v="11604"/>
    <x v="3"/>
  </r>
  <r>
    <x v="105"/>
    <n v="15993"/>
    <x v="2"/>
  </r>
  <r>
    <x v="105"/>
    <n v="49158"/>
    <x v="0"/>
  </r>
  <r>
    <x v="106"/>
    <n v="12082"/>
    <x v="2"/>
  </r>
  <r>
    <x v="106"/>
    <n v="7900"/>
    <x v="3"/>
  </r>
  <r>
    <x v="106"/>
    <n v="41648"/>
    <x v="0"/>
  </r>
  <r>
    <x v="107"/>
    <n v="45669"/>
    <x v="0"/>
  </r>
  <r>
    <x v="107"/>
    <n v="10922"/>
    <x v="2"/>
  </r>
  <r>
    <x v="107"/>
    <n v="8033"/>
    <x v="3"/>
  </r>
  <r>
    <x v="108"/>
    <n v="9752"/>
    <x v="2"/>
  </r>
  <r>
    <x v="108"/>
    <n v="9674"/>
    <x v="3"/>
  </r>
  <r>
    <x v="108"/>
    <n v="45743"/>
    <x v="0"/>
  </r>
  <r>
    <x v="109"/>
    <n v="9671"/>
    <x v="2"/>
  </r>
  <r>
    <x v="109"/>
    <n v="9770"/>
    <x v="3"/>
  </r>
  <r>
    <x v="109"/>
    <n v="48084"/>
    <x v="0"/>
  </r>
  <r>
    <x v="110"/>
    <n v="8095"/>
    <x v="2"/>
  </r>
  <r>
    <x v="110"/>
    <n v="6"/>
    <x v="4"/>
  </r>
  <r>
    <x v="110"/>
    <n v="32181"/>
    <x v="0"/>
  </r>
  <r>
    <x v="110"/>
    <n v="6582"/>
    <x v="3"/>
  </r>
  <r>
    <x v="111"/>
    <n v="3315"/>
    <x v="2"/>
  </r>
  <r>
    <x v="111"/>
    <n v="1241"/>
    <x v="3"/>
  </r>
  <r>
    <x v="111"/>
    <n v="34463"/>
    <x v="0"/>
  </r>
  <r>
    <x v="111"/>
    <n v="8232"/>
    <x v="4"/>
  </r>
  <r>
    <x v="112"/>
    <n v="9807"/>
    <x v="4"/>
  </r>
  <r>
    <x v="112"/>
    <n v="3393"/>
    <x v="2"/>
  </r>
  <r>
    <x v="112"/>
    <n v="1786"/>
    <x v="3"/>
  </r>
  <r>
    <x v="112"/>
    <n v="46338"/>
    <x v="0"/>
  </r>
  <r>
    <x v="113"/>
    <n v="3248"/>
    <x v="2"/>
  </r>
  <r>
    <x v="113"/>
    <n v="9606"/>
    <x v="4"/>
  </r>
  <r>
    <x v="113"/>
    <n v="49506"/>
    <x v="0"/>
  </r>
  <r>
    <x v="113"/>
    <n v="1628"/>
    <x v="3"/>
  </r>
  <r>
    <x v="114"/>
    <n v="2784"/>
    <x v="2"/>
  </r>
  <r>
    <x v="114"/>
    <n v="1621"/>
    <x v="3"/>
  </r>
  <r>
    <x v="114"/>
    <n v="55296"/>
    <x v="0"/>
  </r>
  <r>
    <x v="114"/>
    <n v="8919"/>
    <x v="4"/>
  </r>
  <r>
    <x v="115"/>
    <n v="11115"/>
    <x v="4"/>
  </r>
  <r>
    <x v="115"/>
    <n v="2417"/>
    <x v="2"/>
  </r>
  <r>
    <x v="115"/>
    <n v="2345"/>
    <x v="3"/>
  </r>
  <r>
    <x v="115"/>
    <n v="65987"/>
    <x v="0"/>
  </r>
  <r>
    <x v="116"/>
    <n v="67292"/>
    <x v="0"/>
  </r>
  <r>
    <x v="116"/>
    <n v="2324"/>
    <x v="3"/>
  </r>
  <r>
    <x v="116"/>
    <n v="2312"/>
    <x v="2"/>
  </r>
  <r>
    <x v="116"/>
    <n v="11857"/>
    <x v="4"/>
  </r>
  <r>
    <x v="117"/>
    <n v="63700"/>
    <x v="0"/>
  </r>
  <r>
    <x v="117"/>
    <n v="2516"/>
    <x v="3"/>
  </r>
  <r>
    <x v="117"/>
    <n v="2380"/>
    <x v="2"/>
  </r>
  <r>
    <x v="117"/>
    <n v="11835"/>
    <x v="4"/>
  </r>
  <r>
    <x v="118"/>
    <n v="59685"/>
    <x v="0"/>
  </r>
  <r>
    <x v="118"/>
    <n v="2786"/>
    <x v="3"/>
  </r>
  <r>
    <x v="118"/>
    <n v="2381"/>
    <x v="2"/>
  </r>
  <r>
    <x v="118"/>
    <n v="12558"/>
    <x v="4"/>
  </r>
  <r>
    <x v="119"/>
    <n v="54342"/>
    <x v="0"/>
  </r>
  <r>
    <x v="119"/>
    <n v="3233"/>
    <x v="3"/>
  </r>
  <r>
    <x v="119"/>
    <n v="2277"/>
    <x v="2"/>
  </r>
  <r>
    <x v="119"/>
    <n v="12658"/>
    <x v="4"/>
  </r>
  <r>
    <x v="120"/>
    <n v="47250"/>
    <x v="0"/>
  </r>
  <r>
    <x v="120"/>
    <n v="4156"/>
    <x v="3"/>
  </r>
  <r>
    <x v="120"/>
    <n v="1975"/>
    <x v="2"/>
  </r>
  <r>
    <x v="120"/>
    <n v="15345"/>
    <x v="4"/>
  </r>
  <r>
    <x v="121"/>
    <n v="50078"/>
    <x v="0"/>
  </r>
  <r>
    <x v="121"/>
    <n v="3406"/>
    <x v="3"/>
  </r>
  <r>
    <x v="121"/>
    <n v="2128"/>
    <x v="2"/>
  </r>
  <r>
    <x v="121"/>
    <n v="15404"/>
    <x v="4"/>
  </r>
  <r>
    <x v="122"/>
    <n v="1852"/>
    <x v="2"/>
  </r>
  <r>
    <x v="122"/>
    <n v="17606"/>
    <x v="4"/>
  </r>
  <r>
    <x v="122"/>
    <n v="39431"/>
    <x v="0"/>
  </r>
  <r>
    <x v="122"/>
    <n v="4673"/>
    <x v="3"/>
  </r>
  <r>
    <x v="123"/>
    <n v="1910"/>
    <x v="2"/>
  </r>
  <r>
    <x v="123"/>
    <n v="6584"/>
    <x v="3"/>
  </r>
  <r>
    <x v="123"/>
    <n v="45767"/>
    <x v="0"/>
  </r>
  <r>
    <x v="123"/>
    <n v="26522"/>
    <x v="4"/>
  </r>
  <r>
    <x v="124"/>
    <n v="29462"/>
    <x v="4"/>
  </r>
  <r>
    <x v="124"/>
    <n v="2171"/>
    <x v="2"/>
  </r>
  <r>
    <x v="124"/>
    <n v="7985"/>
    <x v="3"/>
  </r>
  <r>
    <x v="124"/>
    <n v="63289"/>
    <x v="0"/>
  </r>
  <r>
    <x v="125"/>
    <n v="2004"/>
    <x v="2"/>
  </r>
  <r>
    <x v="125"/>
    <n v="5434"/>
    <x v="3"/>
  </r>
  <r>
    <x v="125"/>
    <n v="66830"/>
    <x v="0"/>
  </r>
  <r>
    <x v="125"/>
    <n v="23102"/>
    <x v="4"/>
  </r>
  <r>
    <x v="126"/>
    <n v="70156"/>
    <x v="0"/>
  </r>
  <r>
    <x v="126"/>
    <n v="4615"/>
    <x v="3"/>
  </r>
  <r>
    <x v="126"/>
    <n v="1721"/>
    <x v="2"/>
  </r>
  <r>
    <x v="126"/>
    <n v="19905"/>
    <x v="4"/>
  </r>
  <r>
    <x v="127"/>
    <n v="73092"/>
    <x v="0"/>
  </r>
  <r>
    <x v="127"/>
    <n v="3830"/>
    <x v="3"/>
  </r>
  <r>
    <x v="127"/>
    <n v="1641"/>
    <x v="2"/>
  </r>
  <r>
    <x v="127"/>
    <n v="15934"/>
    <x v="4"/>
  </r>
  <r>
    <x v="128"/>
    <n v="71669"/>
    <x v="0"/>
  </r>
  <r>
    <x v="128"/>
    <n v="2800"/>
    <x v="3"/>
  </r>
  <r>
    <x v="128"/>
    <n v="1471"/>
    <x v="2"/>
  </r>
  <r>
    <x v="128"/>
    <n v="12911"/>
    <x v="4"/>
  </r>
  <r>
    <x v="129"/>
    <n v="69113"/>
    <x v="0"/>
  </r>
  <r>
    <x v="129"/>
    <n v="2992"/>
    <x v="3"/>
  </r>
  <r>
    <x v="129"/>
    <n v="1498"/>
    <x v="2"/>
  </r>
  <r>
    <x v="129"/>
    <n v="12057"/>
    <x v="4"/>
  </r>
  <r>
    <x v="130"/>
    <n v="65422"/>
    <x v="0"/>
  </r>
  <r>
    <x v="130"/>
    <n v="3210"/>
    <x v="3"/>
  </r>
  <r>
    <x v="130"/>
    <n v="1459"/>
    <x v="2"/>
  </r>
  <r>
    <x v="130"/>
    <n v="12982"/>
    <x v="4"/>
  </r>
  <r>
    <x v="131"/>
    <n v="62442"/>
    <x v="0"/>
  </r>
  <r>
    <x v="131"/>
    <n v="3706"/>
    <x v="3"/>
  </r>
  <r>
    <x v="131"/>
    <n v="1372"/>
    <x v="2"/>
  </r>
  <r>
    <x v="131"/>
    <n v="13629"/>
    <x v="4"/>
  </r>
  <r>
    <x v="132"/>
    <n v="48675"/>
    <x v="0"/>
  </r>
  <r>
    <x v="132"/>
    <n v="3373"/>
    <x v="3"/>
  </r>
  <r>
    <x v="132"/>
    <n v="1040"/>
    <x v="2"/>
  </r>
  <r>
    <x v="132"/>
    <n v="12087"/>
    <x v="4"/>
  </r>
  <r>
    <x v="133"/>
    <n v="31604"/>
    <x v="0"/>
  </r>
  <r>
    <x v="133"/>
    <n v="1924"/>
    <x v="3"/>
  </r>
  <r>
    <x v="133"/>
    <n v="780"/>
    <x v="2"/>
  </r>
  <r>
    <x v="133"/>
    <n v="7011"/>
    <x v="4"/>
  </r>
  <r>
    <x v="134"/>
    <n v="1561"/>
    <x v="0"/>
  </r>
  <r>
    <x v="134"/>
    <n v="119"/>
    <x v="3"/>
  </r>
  <r>
    <x v="134"/>
    <n v="77"/>
    <x v="2"/>
  </r>
  <r>
    <x v="134"/>
    <n v="47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3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F3:L140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axis="axisCol" showAll="0">
      <items count="6">
        <item n="Pre-HARP" x="1"/>
        <item n="HARPed" x="2"/>
        <item n="NON-Eligible" x="0"/>
        <item n="NON-HARPed" x="3"/>
        <item x="4"/>
        <item t="default"/>
      </items>
    </pivotField>
    <pivotField dataField="1" showAll="0"/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Loan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3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F3:L140" firstHeaderRow="1" firstDataRow="2" firstDataCol="1"/>
  <pivotFields count="3">
    <pivotField axis="axisRow" numFmtId="14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1" showAll="0"/>
    <pivotField axis="axisCol" showAll="0" defaultSubtotal="0">
      <items count="5">
        <item x="4"/>
        <item x="2"/>
        <item x="0"/>
        <item x="3"/>
        <item x="1"/>
      </items>
    </pivotField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Loan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Query from Agency_13" backgroundRefresh="0" adjustColumnWidth="0" connectionId="1" autoFormatId="16" applyNumberFormats="0" applyBorderFormats="0" applyFontFormats="0" applyPatternFormats="0" applyAlignmentFormats="0" applyWidthHeightFormats="0">
  <queryTableRefresh nextId="82">
    <queryTableFields count="3">
      <queryTableField id="78" name="pmtdate" tableColumnId="1"/>
      <queryTableField id="80" name="HARPStatus" tableColumnId="3"/>
      <queryTableField id="81" name="LoanCount" tableColumnId="2"/>
    </queryTableFields>
    <queryTableDeletedFields count="1">
      <deletedField name="refinancible_satoAdj"/>
    </queryTableDeletedFields>
  </queryTableRefresh>
</queryTable>
</file>

<file path=xl/queryTables/queryTable2.xml><?xml version="1.0" encoding="utf-8"?>
<queryTable xmlns="http://schemas.openxmlformats.org/spreadsheetml/2006/main" name="Query from Agency_13" backgroundRefresh="0" adjustColumnWidth="0" connectionId="2" autoFormatId="16" applyNumberFormats="0" applyBorderFormats="0" applyFontFormats="0" applyPatternFormats="0" applyAlignmentFormats="0" applyWidthHeightFormats="0">
  <queryTableRefresh nextId="83">
    <queryTableFields count="3">
      <queryTableField id="78" name="pmtdate" tableColumnId="1"/>
      <queryTableField id="81" name="LoanCount" tableColumnId="2"/>
      <queryTableField id="82" name="CombinedHARPStatus" tableColumnId="3"/>
    </queryTableFields>
    <queryTableDeletedFields count="1">
      <deletedField name="refinancible_satoAdj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CurrentMtgRatesDataTable82529" displayName="CurrentMtgRatesDataTable82529" ref="A1:C330" tableType="queryTable" totalsRowShown="0" headerRowDxfId="9" dataDxfId="8">
  <tableColumns count="3">
    <tableColumn id="1" uniqueName="1" name="pmtdate" queryTableFieldId="78" dataDxfId="7"/>
    <tableColumn id="3" uniqueName="3" name="HARPStatus" queryTableFieldId="80" dataDxfId="6"/>
    <tableColumn id="2" uniqueName="2" name="LoanCount" queryTableFieldId="81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CurrentMtgRatesDataTable825293" displayName="CurrentMtgRatesDataTable825293" ref="A1:C378" tableType="queryTable" totalsRowShown="0" headerRowDxfId="4" dataDxfId="3">
  <tableColumns count="3">
    <tableColumn id="1" uniqueName="1" name="pmtdate" queryTableFieldId="78" dataDxfId="2"/>
    <tableColumn id="2" uniqueName="2" name="LoanCount" queryTableFieldId="81" dataDxfId="1"/>
    <tableColumn id="3" uniqueName="3" name="CombinedHARPStatus" queryTableFieldId="8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1"/>
  <sheetViews>
    <sheetView tabSelected="1" topLeftCell="A82" workbookViewId="0">
      <selection activeCell="Y113" sqref="Y113"/>
    </sheetView>
  </sheetViews>
  <sheetFormatPr defaultRowHeight="15" x14ac:dyDescent="0.25"/>
  <cols>
    <col min="6" max="6" width="17.28515625" bestFit="1" customWidth="1"/>
    <col min="7" max="7" width="16.28515625" customWidth="1"/>
    <col min="8" max="9" width="8" customWidth="1"/>
    <col min="10" max="10" width="10.85546875" customWidth="1"/>
    <col min="11" max="11" width="9.5703125" customWidth="1"/>
    <col min="12" max="13" width="11.28515625" bestFit="1" customWidth="1"/>
    <col min="15" max="15" width="9.7109375" style="1" bestFit="1" customWidth="1"/>
  </cols>
  <sheetData>
    <row r="1" spans="1:20" x14ac:dyDescent="0.25">
      <c r="A1" s="5" t="s">
        <v>0</v>
      </c>
      <c r="B1" s="5" t="s">
        <v>1</v>
      </c>
      <c r="C1" s="5" t="s">
        <v>2</v>
      </c>
    </row>
    <row r="2" spans="1:20" x14ac:dyDescent="0.25">
      <c r="A2" s="6">
        <v>38353</v>
      </c>
      <c r="B2" t="s">
        <v>3</v>
      </c>
      <c r="C2" s="5">
        <v>1751</v>
      </c>
    </row>
    <row r="3" spans="1:20" x14ac:dyDescent="0.25">
      <c r="A3" s="6">
        <v>38353</v>
      </c>
      <c r="B3" s="5" t="s">
        <v>4</v>
      </c>
      <c r="C3" s="5">
        <v>226</v>
      </c>
      <c r="F3" s="3" t="s">
        <v>8</v>
      </c>
      <c r="G3" s="3" t="s">
        <v>9</v>
      </c>
    </row>
    <row r="4" spans="1:20" x14ac:dyDescent="0.25">
      <c r="A4" s="6">
        <v>38384</v>
      </c>
      <c r="B4" s="5" t="s">
        <v>4</v>
      </c>
      <c r="C4" s="5">
        <v>237</v>
      </c>
      <c r="F4" s="3" t="s">
        <v>11</v>
      </c>
      <c r="G4" t="s">
        <v>15</v>
      </c>
      <c r="H4" t="s">
        <v>12</v>
      </c>
      <c r="I4" t="s">
        <v>13</v>
      </c>
      <c r="J4" t="s">
        <v>14</v>
      </c>
      <c r="K4" t="s">
        <v>7</v>
      </c>
      <c r="L4" t="s">
        <v>10</v>
      </c>
      <c r="P4" t="s">
        <v>17</v>
      </c>
      <c r="Q4" t="s">
        <v>15</v>
      </c>
      <c r="R4" t="s">
        <v>16</v>
      </c>
      <c r="S4" t="s">
        <v>12</v>
      </c>
      <c r="T4" t="s">
        <v>7</v>
      </c>
    </row>
    <row r="5" spans="1:20" x14ac:dyDescent="0.25">
      <c r="A5" s="6">
        <v>38384</v>
      </c>
      <c r="B5" s="5" t="s">
        <v>3</v>
      </c>
      <c r="C5" s="5">
        <v>1713</v>
      </c>
      <c r="F5" s="4">
        <v>38353</v>
      </c>
      <c r="G5" s="2">
        <v>226</v>
      </c>
      <c r="H5" s="2"/>
      <c r="I5" s="2">
        <v>1751</v>
      </c>
      <c r="J5" s="2"/>
      <c r="K5" s="2"/>
      <c r="L5" s="2">
        <v>1977</v>
      </c>
      <c r="O5" s="1">
        <v>38353</v>
      </c>
      <c r="P5">
        <v>1751</v>
      </c>
      <c r="Q5">
        <v>226</v>
      </c>
    </row>
    <row r="6" spans="1:20" x14ac:dyDescent="0.25">
      <c r="A6" s="6">
        <v>38412</v>
      </c>
      <c r="B6" s="5" t="s">
        <v>3</v>
      </c>
      <c r="C6" s="5">
        <v>1379</v>
      </c>
      <c r="F6" s="4">
        <v>38384</v>
      </c>
      <c r="G6" s="2">
        <v>237</v>
      </c>
      <c r="H6" s="2"/>
      <c r="I6" s="2">
        <v>1713</v>
      </c>
      <c r="J6" s="2"/>
      <c r="K6" s="2"/>
      <c r="L6" s="2">
        <v>1950</v>
      </c>
      <c r="O6" s="1">
        <v>38384</v>
      </c>
      <c r="P6">
        <v>1713</v>
      </c>
      <c r="Q6">
        <v>237</v>
      </c>
    </row>
    <row r="7" spans="1:20" x14ac:dyDescent="0.25">
      <c r="A7" s="6">
        <v>38412</v>
      </c>
      <c r="B7" s="5" t="s">
        <v>4</v>
      </c>
      <c r="C7" s="5">
        <v>165</v>
      </c>
      <c r="F7" s="4">
        <v>38412</v>
      </c>
      <c r="G7" s="2">
        <v>165</v>
      </c>
      <c r="H7" s="2"/>
      <c r="I7" s="2">
        <v>1379</v>
      </c>
      <c r="J7" s="2"/>
      <c r="K7" s="2"/>
      <c r="L7" s="2">
        <v>1544</v>
      </c>
      <c r="O7" s="1">
        <v>38412</v>
      </c>
      <c r="P7">
        <v>1379</v>
      </c>
      <c r="Q7">
        <v>165</v>
      </c>
    </row>
    <row r="8" spans="1:20" x14ac:dyDescent="0.25">
      <c r="A8" s="6">
        <v>38443</v>
      </c>
      <c r="B8" s="5" t="s">
        <v>4</v>
      </c>
      <c r="C8" s="5">
        <v>248</v>
      </c>
      <c r="F8" s="4">
        <v>38443</v>
      </c>
      <c r="G8" s="2">
        <v>248</v>
      </c>
      <c r="H8" s="2"/>
      <c r="I8" s="2">
        <v>1407</v>
      </c>
      <c r="J8" s="2"/>
      <c r="K8" s="2"/>
      <c r="L8" s="2">
        <v>1655</v>
      </c>
      <c r="O8" s="1">
        <v>38443</v>
      </c>
      <c r="P8">
        <v>1407</v>
      </c>
      <c r="Q8">
        <v>248</v>
      </c>
    </row>
    <row r="9" spans="1:20" x14ac:dyDescent="0.25">
      <c r="A9" s="6">
        <v>38443</v>
      </c>
      <c r="B9" s="5" t="s">
        <v>3</v>
      </c>
      <c r="C9" s="5">
        <v>1407</v>
      </c>
      <c r="F9" s="4">
        <v>38473</v>
      </c>
      <c r="G9" s="2">
        <v>357</v>
      </c>
      <c r="H9" s="2"/>
      <c r="I9" s="2">
        <v>1954</v>
      </c>
      <c r="J9" s="2"/>
      <c r="K9" s="2"/>
      <c r="L9" s="2">
        <v>2311</v>
      </c>
      <c r="O9" s="1">
        <v>38473</v>
      </c>
      <c r="P9">
        <v>1954</v>
      </c>
      <c r="Q9">
        <v>357</v>
      </c>
    </row>
    <row r="10" spans="1:20" x14ac:dyDescent="0.25">
      <c r="A10" s="6">
        <v>38473</v>
      </c>
      <c r="B10" s="5" t="s">
        <v>4</v>
      </c>
      <c r="C10" s="5">
        <v>357</v>
      </c>
      <c r="F10" s="4">
        <v>38504</v>
      </c>
      <c r="G10" s="2">
        <v>256</v>
      </c>
      <c r="H10" s="2"/>
      <c r="I10" s="2">
        <v>2080</v>
      </c>
      <c r="J10" s="2"/>
      <c r="K10" s="2"/>
      <c r="L10" s="2">
        <v>2336</v>
      </c>
      <c r="O10" s="1">
        <v>38504</v>
      </c>
      <c r="P10">
        <v>2080</v>
      </c>
      <c r="Q10">
        <v>256</v>
      </c>
    </row>
    <row r="11" spans="1:20" x14ac:dyDescent="0.25">
      <c r="A11" s="6">
        <v>38473</v>
      </c>
      <c r="B11" s="5" t="s">
        <v>3</v>
      </c>
      <c r="C11" s="5">
        <v>1954</v>
      </c>
      <c r="F11" s="4">
        <v>38534</v>
      </c>
      <c r="G11" s="2">
        <v>314</v>
      </c>
      <c r="H11" s="2"/>
      <c r="I11" s="2">
        <v>2676</v>
      </c>
      <c r="J11" s="2"/>
      <c r="K11" s="2"/>
      <c r="L11" s="2">
        <v>2990</v>
      </c>
      <c r="O11" s="1">
        <v>38534</v>
      </c>
      <c r="P11">
        <v>2676</v>
      </c>
      <c r="Q11">
        <v>314</v>
      </c>
    </row>
    <row r="12" spans="1:20" x14ac:dyDescent="0.25">
      <c r="A12" s="6">
        <v>38504</v>
      </c>
      <c r="B12" s="5" t="s">
        <v>4</v>
      </c>
      <c r="C12" s="5">
        <v>256</v>
      </c>
      <c r="F12" s="4">
        <v>38565</v>
      </c>
      <c r="G12" s="2">
        <v>373</v>
      </c>
      <c r="H12" s="2"/>
      <c r="I12" s="2">
        <v>3213</v>
      </c>
      <c r="J12" s="2"/>
      <c r="K12" s="2"/>
      <c r="L12" s="2">
        <v>3586</v>
      </c>
      <c r="O12" s="1">
        <v>38565</v>
      </c>
      <c r="P12">
        <v>3213</v>
      </c>
      <c r="Q12">
        <v>373</v>
      </c>
    </row>
    <row r="13" spans="1:20" x14ac:dyDescent="0.25">
      <c r="A13" s="6">
        <v>38504</v>
      </c>
      <c r="B13" s="5" t="s">
        <v>3</v>
      </c>
      <c r="C13" s="5">
        <v>2080</v>
      </c>
      <c r="F13" s="4">
        <v>38596</v>
      </c>
      <c r="G13" s="2">
        <v>618</v>
      </c>
      <c r="H13" s="2"/>
      <c r="I13" s="2">
        <v>4049</v>
      </c>
      <c r="J13" s="2"/>
      <c r="K13" s="2"/>
      <c r="L13" s="2">
        <v>4667</v>
      </c>
      <c r="O13" s="1">
        <v>38596</v>
      </c>
      <c r="P13">
        <v>4049</v>
      </c>
      <c r="Q13">
        <v>618</v>
      </c>
    </row>
    <row r="14" spans="1:20" x14ac:dyDescent="0.25">
      <c r="A14" s="6">
        <v>38534</v>
      </c>
      <c r="B14" s="5" t="s">
        <v>4</v>
      </c>
      <c r="C14" s="5">
        <v>314</v>
      </c>
      <c r="F14" s="4">
        <v>38626</v>
      </c>
      <c r="G14" s="2">
        <v>996</v>
      </c>
      <c r="H14" s="2"/>
      <c r="I14" s="2">
        <v>7482</v>
      </c>
      <c r="J14" s="2"/>
      <c r="K14" s="2"/>
      <c r="L14" s="2">
        <v>8478</v>
      </c>
      <c r="O14" s="1">
        <v>38626</v>
      </c>
      <c r="P14">
        <v>7482</v>
      </c>
      <c r="Q14">
        <v>996</v>
      </c>
    </row>
    <row r="15" spans="1:20" x14ac:dyDescent="0.25">
      <c r="A15" s="6">
        <v>38534</v>
      </c>
      <c r="B15" s="5" t="s">
        <v>3</v>
      </c>
      <c r="C15" s="5">
        <v>2676</v>
      </c>
      <c r="F15" s="4">
        <v>38657</v>
      </c>
      <c r="G15" s="2">
        <v>2199</v>
      </c>
      <c r="H15" s="2"/>
      <c r="I15" s="2">
        <v>15992</v>
      </c>
      <c r="J15" s="2"/>
      <c r="K15" s="2"/>
      <c r="L15" s="2">
        <v>18191</v>
      </c>
      <c r="O15" s="1">
        <v>38657</v>
      </c>
      <c r="P15">
        <v>15992</v>
      </c>
      <c r="Q15">
        <v>2199</v>
      </c>
    </row>
    <row r="16" spans="1:20" x14ac:dyDescent="0.25">
      <c r="A16" s="6">
        <v>38565</v>
      </c>
      <c r="B16" s="5" t="s">
        <v>4</v>
      </c>
      <c r="C16" s="5">
        <v>373</v>
      </c>
      <c r="F16" s="4">
        <v>38687</v>
      </c>
      <c r="G16" s="2">
        <v>9660</v>
      </c>
      <c r="H16" s="2"/>
      <c r="I16" s="2">
        <v>58394</v>
      </c>
      <c r="J16" s="2"/>
      <c r="K16" s="2"/>
      <c r="L16" s="2">
        <v>68054</v>
      </c>
      <c r="O16" s="1">
        <v>38687</v>
      </c>
      <c r="P16">
        <v>58394</v>
      </c>
      <c r="Q16">
        <v>9660</v>
      </c>
    </row>
    <row r="17" spans="1:17" x14ac:dyDescent="0.25">
      <c r="A17" s="6">
        <v>38565</v>
      </c>
      <c r="B17" s="5" t="s">
        <v>3</v>
      </c>
      <c r="C17" s="5">
        <v>3213</v>
      </c>
      <c r="F17" s="4">
        <v>38718</v>
      </c>
      <c r="G17" s="2">
        <v>14686</v>
      </c>
      <c r="H17" s="2"/>
      <c r="I17" s="2">
        <v>96347</v>
      </c>
      <c r="J17" s="2"/>
      <c r="K17" s="2"/>
      <c r="L17" s="2">
        <v>111033</v>
      </c>
      <c r="O17" s="1">
        <v>38718</v>
      </c>
      <c r="P17">
        <v>96347</v>
      </c>
      <c r="Q17">
        <v>14686</v>
      </c>
    </row>
    <row r="18" spans="1:17" x14ac:dyDescent="0.25">
      <c r="A18" s="6">
        <v>38596</v>
      </c>
      <c r="B18" s="5" t="s">
        <v>3</v>
      </c>
      <c r="C18" s="5">
        <v>4049</v>
      </c>
      <c r="F18" s="4">
        <v>38749</v>
      </c>
      <c r="G18" s="2">
        <v>13545</v>
      </c>
      <c r="H18" s="2"/>
      <c r="I18" s="2">
        <v>93070</v>
      </c>
      <c r="J18" s="2"/>
      <c r="K18" s="2"/>
      <c r="L18" s="2">
        <v>106615</v>
      </c>
      <c r="O18" s="1">
        <v>38749</v>
      </c>
      <c r="P18">
        <v>93070</v>
      </c>
      <c r="Q18">
        <v>13545</v>
      </c>
    </row>
    <row r="19" spans="1:17" x14ac:dyDescent="0.25">
      <c r="A19" s="6">
        <v>38596</v>
      </c>
      <c r="B19" s="5" t="s">
        <v>4</v>
      </c>
      <c r="C19" s="5">
        <v>618</v>
      </c>
      <c r="F19" s="4">
        <v>38777</v>
      </c>
      <c r="G19" s="2">
        <v>12672</v>
      </c>
      <c r="H19" s="2"/>
      <c r="I19" s="2">
        <v>77021</v>
      </c>
      <c r="J19" s="2"/>
      <c r="K19" s="2"/>
      <c r="L19" s="2">
        <v>89693</v>
      </c>
      <c r="O19" s="1">
        <v>38777</v>
      </c>
      <c r="P19">
        <v>77021</v>
      </c>
      <c r="Q19">
        <v>12672</v>
      </c>
    </row>
    <row r="20" spans="1:17" x14ac:dyDescent="0.25">
      <c r="A20" s="6">
        <v>38626</v>
      </c>
      <c r="B20" s="5" t="s">
        <v>4</v>
      </c>
      <c r="C20" s="5">
        <v>996</v>
      </c>
      <c r="F20" s="4">
        <v>38808</v>
      </c>
      <c r="G20" s="2">
        <v>13588</v>
      </c>
      <c r="H20" s="2"/>
      <c r="I20" s="2">
        <v>86488</v>
      </c>
      <c r="J20" s="2"/>
      <c r="K20" s="2"/>
      <c r="L20" s="2">
        <v>100076</v>
      </c>
      <c r="O20" s="1">
        <v>38808</v>
      </c>
      <c r="P20">
        <v>86488</v>
      </c>
      <c r="Q20">
        <v>13588</v>
      </c>
    </row>
    <row r="21" spans="1:17" x14ac:dyDescent="0.25">
      <c r="A21" s="6">
        <v>38626</v>
      </c>
      <c r="B21" s="5" t="s">
        <v>3</v>
      </c>
      <c r="C21" s="5">
        <v>7482</v>
      </c>
      <c r="F21" s="4">
        <v>38838</v>
      </c>
      <c r="G21" s="2">
        <v>13902</v>
      </c>
      <c r="H21" s="2"/>
      <c r="I21" s="2">
        <v>99743</v>
      </c>
      <c r="J21" s="2"/>
      <c r="K21" s="2"/>
      <c r="L21" s="2">
        <v>113645</v>
      </c>
      <c r="O21" s="1">
        <v>38838</v>
      </c>
      <c r="P21">
        <v>99743</v>
      </c>
      <c r="Q21">
        <v>13902</v>
      </c>
    </row>
    <row r="22" spans="1:17" x14ac:dyDescent="0.25">
      <c r="A22" s="6">
        <v>38657</v>
      </c>
      <c r="B22" s="5" t="s">
        <v>3</v>
      </c>
      <c r="C22" s="5">
        <v>15992</v>
      </c>
      <c r="F22" s="4">
        <v>38869</v>
      </c>
      <c r="G22" s="2">
        <v>12297</v>
      </c>
      <c r="H22" s="2"/>
      <c r="I22" s="2">
        <v>94688</v>
      </c>
      <c r="J22" s="2"/>
      <c r="K22" s="2"/>
      <c r="L22" s="2">
        <v>106985</v>
      </c>
      <c r="O22" s="1">
        <v>38869</v>
      </c>
      <c r="P22">
        <v>94688</v>
      </c>
      <c r="Q22">
        <v>12297</v>
      </c>
    </row>
    <row r="23" spans="1:17" x14ac:dyDescent="0.25">
      <c r="A23" s="6">
        <v>38657</v>
      </c>
      <c r="B23" s="5" t="s">
        <v>4</v>
      </c>
      <c r="C23" s="5">
        <v>2199</v>
      </c>
      <c r="F23" s="4">
        <v>38899</v>
      </c>
      <c r="G23" s="2">
        <v>11912</v>
      </c>
      <c r="H23" s="2"/>
      <c r="I23" s="2">
        <v>102712</v>
      </c>
      <c r="J23" s="2"/>
      <c r="K23" s="2"/>
      <c r="L23" s="2">
        <v>114624</v>
      </c>
      <c r="O23" s="1">
        <v>38899</v>
      </c>
      <c r="P23">
        <v>102712</v>
      </c>
      <c r="Q23">
        <v>11912</v>
      </c>
    </row>
    <row r="24" spans="1:17" x14ac:dyDescent="0.25">
      <c r="A24" s="6">
        <v>38687</v>
      </c>
      <c r="B24" s="5" t="s">
        <v>4</v>
      </c>
      <c r="C24" s="5">
        <v>9660</v>
      </c>
      <c r="F24" s="4">
        <v>38930</v>
      </c>
      <c r="G24" s="2">
        <v>11212</v>
      </c>
      <c r="H24" s="2"/>
      <c r="I24" s="2">
        <v>111391</v>
      </c>
      <c r="J24" s="2"/>
      <c r="K24" s="2"/>
      <c r="L24" s="2">
        <v>122603</v>
      </c>
      <c r="O24" s="1">
        <v>38930</v>
      </c>
      <c r="P24">
        <v>111391</v>
      </c>
      <c r="Q24">
        <v>11212</v>
      </c>
    </row>
    <row r="25" spans="1:17" x14ac:dyDescent="0.25">
      <c r="A25" s="6">
        <v>38687</v>
      </c>
      <c r="B25" s="5" t="s">
        <v>3</v>
      </c>
      <c r="C25" s="5">
        <v>58394</v>
      </c>
      <c r="F25" s="4">
        <v>38961</v>
      </c>
      <c r="G25" s="2">
        <v>10662</v>
      </c>
      <c r="H25" s="2"/>
      <c r="I25" s="2">
        <v>101466</v>
      </c>
      <c r="J25" s="2"/>
      <c r="K25" s="2"/>
      <c r="L25" s="2">
        <v>112128</v>
      </c>
      <c r="O25" s="1">
        <v>38961</v>
      </c>
      <c r="P25">
        <v>101466</v>
      </c>
      <c r="Q25">
        <v>10662</v>
      </c>
    </row>
    <row r="26" spans="1:17" x14ac:dyDescent="0.25">
      <c r="A26" s="6">
        <v>38718</v>
      </c>
      <c r="B26" s="5" t="s">
        <v>4</v>
      </c>
      <c r="C26" s="5">
        <v>14686</v>
      </c>
      <c r="F26" s="4">
        <v>38991</v>
      </c>
      <c r="G26" s="2">
        <v>11537</v>
      </c>
      <c r="H26" s="2"/>
      <c r="I26" s="2">
        <v>102383</v>
      </c>
      <c r="J26" s="2"/>
      <c r="K26" s="2"/>
      <c r="L26" s="2">
        <v>113920</v>
      </c>
      <c r="O26" s="1">
        <v>38991</v>
      </c>
      <c r="P26">
        <v>102383</v>
      </c>
      <c r="Q26">
        <v>11537</v>
      </c>
    </row>
    <row r="27" spans="1:17" x14ac:dyDescent="0.25">
      <c r="A27" s="6">
        <v>38718</v>
      </c>
      <c r="B27" s="5" t="s">
        <v>3</v>
      </c>
      <c r="C27" s="5">
        <v>96347</v>
      </c>
      <c r="F27" s="4">
        <v>39022</v>
      </c>
      <c r="G27" s="2">
        <v>12948</v>
      </c>
      <c r="H27" s="2"/>
      <c r="I27" s="2">
        <v>96093</v>
      </c>
      <c r="J27" s="2"/>
      <c r="K27" s="2"/>
      <c r="L27" s="2">
        <v>109041</v>
      </c>
      <c r="O27" s="1">
        <v>39022</v>
      </c>
      <c r="P27">
        <v>96093</v>
      </c>
      <c r="Q27">
        <v>12948</v>
      </c>
    </row>
    <row r="28" spans="1:17" x14ac:dyDescent="0.25">
      <c r="A28" s="6">
        <v>38749</v>
      </c>
      <c r="B28" s="5" t="s">
        <v>4</v>
      </c>
      <c r="C28" s="5">
        <v>13545</v>
      </c>
      <c r="F28" s="4">
        <v>39052</v>
      </c>
      <c r="G28" s="2">
        <v>17880</v>
      </c>
      <c r="H28" s="2"/>
      <c r="I28" s="2">
        <v>107333</v>
      </c>
      <c r="J28" s="2"/>
      <c r="K28" s="2"/>
      <c r="L28" s="2">
        <v>125213</v>
      </c>
      <c r="O28" s="1">
        <v>39052</v>
      </c>
      <c r="P28">
        <v>107333</v>
      </c>
      <c r="Q28">
        <v>17880</v>
      </c>
    </row>
    <row r="29" spans="1:17" x14ac:dyDescent="0.25">
      <c r="A29" s="6">
        <v>38749</v>
      </c>
      <c r="B29" s="5" t="s">
        <v>3</v>
      </c>
      <c r="C29" s="5">
        <v>93070</v>
      </c>
      <c r="F29" s="4">
        <v>39083</v>
      </c>
      <c r="G29" s="2">
        <v>17232</v>
      </c>
      <c r="H29" s="2"/>
      <c r="I29" s="2">
        <v>98456</v>
      </c>
      <c r="J29" s="2"/>
      <c r="K29" s="2"/>
      <c r="L29" s="2">
        <v>115688</v>
      </c>
      <c r="O29" s="1">
        <v>39083</v>
      </c>
      <c r="P29">
        <v>98456</v>
      </c>
      <c r="Q29">
        <v>17232</v>
      </c>
    </row>
    <row r="30" spans="1:17" x14ac:dyDescent="0.25">
      <c r="A30" s="6">
        <v>38777</v>
      </c>
      <c r="B30" s="5" t="s">
        <v>3</v>
      </c>
      <c r="C30" s="5">
        <v>77021</v>
      </c>
      <c r="F30" s="4">
        <v>39114</v>
      </c>
      <c r="G30" s="2">
        <v>21209</v>
      </c>
      <c r="H30" s="2"/>
      <c r="I30" s="2">
        <v>99305</v>
      </c>
      <c r="J30" s="2"/>
      <c r="K30" s="2"/>
      <c r="L30" s="2">
        <v>120514</v>
      </c>
      <c r="O30" s="1">
        <v>39114</v>
      </c>
      <c r="P30">
        <v>99305</v>
      </c>
      <c r="Q30">
        <v>21209</v>
      </c>
    </row>
    <row r="31" spans="1:17" x14ac:dyDescent="0.25">
      <c r="A31" s="6">
        <v>38777</v>
      </c>
      <c r="B31" s="5" t="s">
        <v>4</v>
      </c>
      <c r="C31" s="5">
        <v>12672</v>
      </c>
      <c r="F31" s="4">
        <v>39142</v>
      </c>
      <c r="G31" s="2">
        <v>20923</v>
      </c>
      <c r="H31" s="2"/>
      <c r="I31" s="2">
        <v>86895</v>
      </c>
      <c r="J31" s="2"/>
      <c r="K31" s="2"/>
      <c r="L31" s="2">
        <v>107818</v>
      </c>
      <c r="O31" s="1">
        <v>39142</v>
      </c>
      <c r="P31">
        <v>86895</v>
      </c>
      <c r="Q31">
        <v>20923</v>
      </c>
    </row>
    <row r="32" spans="1:17" x14ac:dyDescent="0.25">
      <c r="A32" s="6">
        <v>38808</v>
      </c>
      <c r="B32" s="5" t="s">
        <v>4</v>
      </c>
      <c r="C32" s="5">
        <v>13588</v>
      </c>
      <c r="F32" s="4">
        <v>39173</v>
      </c>
      <c r="G32" s="2">
        <v>18017</v>
      </c>
      <c r="H32" s="2"/>
      <c r="I32" s="2">
        <v>93294</v>
      </c>
      <c r="J32" s="2"/>
      <c r="K32" s="2"/>
      <c r="L32" s="2">
        <v>111311</v>
      </c>
      <c r="O32" s="1">
        <v>39173</v>
      </c>
      <c r="P32">
        <v>93294</v>
      </c>
      <c r="Q32">
        <v>18017</v>
      </c>
    </row>
    <row r="33" spans="1:17" x14ac:dyDescent="0.25">
      <c r="A33" s="6">
        <v>38808</v>
      </c>
      <c r="B33" s="5" t="s">
        <v>3</v>
      </c>
      <c r="C33" s="5">
        <v>86488</v>
      </c>
      <c r="F33" s="4">
        <v>39203</v>
      </c>
      <c r="G33" s="2">
        <v>22875</v>
      </c>
      <c r="H33" s="2"/>
      <c r="I33" s="2">
        <v>118081</v>
      </c>
      <c r="J33" s="2"/>
      <c r="K33" s="2"/>
      <c r="L33" s="2">
        <v>140956</v>
      </c>
      <c r="O33" s="1">
        <v>39203</v>
      </c>
      <c r="P33">
        <v>118081</v>
      </c>
      <c r="Q33">
        <v>22875</v>
      </c>
    </row>
    <row r="34" spans="1:17" x14ac:dyDescent="0.25">
      <c r="A34" s="6">
        <v>38838</v>
      </c>
      <c r="B34" s="5" t="s">
        <v>3</v>
      </c>
      <c r="C34" s="5">
        <v>99743</v>
      </c>
      <c r="F34" s="4">
        <v>39234</v>
      </c>
      <c r="G34" s="2">
        <v>24801</v>
      </c>
      <c r="H34" s="2"/>
      <c r="I34" s="2">
        <v>122699</v>
      </c>
      <c r="J34" s="2"/>
      <c r="K34" s="2"/>
      <c r="L34" s="2">
        <v>147500</v>
      </c>
      <c r="O34" s="1">
        <v>39234</v>
      </c>
      <c r="P34">
        <v>122699</v>
      </c>
      <c r="Q34">
        <v>24801</v>
      </c>
    </row>
    <row r="35" spans="1:17" x14ac:dyDescent="0.25">
      <c r="A35" s="6">
        <v>38838</v>
      </c>
      <c r="B35" s="5" t="s">
        <v>4</v>
      </c>
      <c r="C35" s="5">
        <v>13902</v>
      </c>
      <c r="F35" s="4">
        <v>39264</v>
      </c>
      <c r="G35" s="2">
        <v>21810</v>
      </c>
      <c r="H35" s="2"/>
      <c r="I35" s="2">
        <v>125490</v>
      </c>
      <c r="J35" s="2"/>
      <c r="K35" s="2"/>
      <c r="L35" s="2">
        <v>147300</v>
      </c>
      <c r="O35" s="1">
        <v>39264</v>
      </c>
      <c r="P35">
        <v>125490</v>
      </c>
      <c r="Q35">
        <v>21810</v>
      </c>
    </row>
    <row r="36" spans="1:17" x14ac:dyDescent="0.25">
      <c r="A36" s="6">
        <v>38869</v>
      </c>
      <c r="B36" s="5" t="s">
        <v>3</v>
      </c>
      <c r="C36" s="5">
        <v>94688</v>
      </c>
      <c r="F36" s="4">
        <v>39295</v>
      </c>
      <c r="G36" s="2">
        <v>17435</v>
      </c>
      <c r="H36" s="2"/>
      <c r="I36" s="2">
        <v>118350</v>
      </c>
      <c r="J36" s="2"/>
      <c r="K36" s="2"/>
      <c r="L36" s="2">
        <v>135785</v>
      </c>
      <c r="O36" s="1">
        <v>39295</v>
      </c>
      <c r="P36">
        <v>118350</v>
      </c>
      <c r="Q36">
        <v>17435</v>
      </c>
    </row>
    <row r="37" spans="1:17" x14ac:dyDescent="0.25">
      <c r="A37" s="6">
        <v>38869</v>
      </c>
      <c r="B37" s="5" t="s">
        <v>4</v>
      </c>
      <c r="C37" s="5">
        <v>12297</v>
      </c>
      <c r="F37" s="4">
        <v>39326</v>
      </c>
      <c r="G37" s="2">
        <v>15468</v>
      </c>
      <c r="H37" s="2"/>
      <c r="I37" s="2">
        <v>113663</v>
      </c>
      <c r="J37" s="2"/>
      <c r="K37" s="2"/>
      <c r="L37" s="2">
        <v>129131</v>
      </c>
      <c r="O37" s="1">
        <v>39326</v>
      </c>
      <c r="P37">
        <v>113663</v>
      </c>
      <c r="Q37">
        <v>15468</v>
      </c>
    </row>
    <row r="38" spans="1:17" x14ac:dyDescent="0.25">
      <c r="A38" s="6">
        <v>38899</v>
      </c>
      <c r="B38" s="5" t="s">
        <v>3</v>
      </c>
      <c r="C38" s="5">
        <v>102712</v>
      </c>
      <c r="F38" s="4">
        <v>39356</v>
      </c>
      <c r="G38" s="2">
        <v>15255</v>
      </c>
      <c r="H38" s="2"/>
      <c r="I38" s="2">
        <v>110255</v>
      </c>
      <c r="J38" s="2"/>
      <c r="K38" s="2"/>
      <c r="L38" s="2">
        <v>125510</v>
      </c>
      <c r="O38" s="1">
        <v>39356</v>
      </c>
      <c r="P38">
        <v>110255</v>
      </c>
      <c r="Q38">
        <v>15255</v>
      </c>
    </row>
    <row r="39" spans="1:17" x14ac:dyDescent="0.25">
      <c r="A39" s="6">
        <v>38899</v>
      </c>
      <c r="B39" s="5" t="s">
        <v>4</v>
      </c>
      <c r="C39" s="5">
        <v>11912</v>
      </c>
      <c r="F39" s="4">
        <v>39387</v>
      </c>
      <c r="G39" s="2">
        <v>18097</v>
      </c>
      <c r="H39" s="2"/>
      <c r="I39" s="2">
        <v>99634</v>
      </c>
      <c r="J39" s="2"/>
      <c r="K39" s="2"/>
      <c r="L39" s="2">
        <v>117731</v>
      </c>
      <c r="O39" s="1">
        <v>39387</v>
      </c>
      <c r="P39">
        <v>99634</v>
      </c>
      <c r="Q39">
        <v>18097</v>
      </c>
    </row>
    <row r="40" spans="1:17" x14ac:dyDescent="0.25">
      <c r="A40" s="6">
        <v>38930</v>
      </c>
      <c r="B40" s="5" t="s">
        <v>4</v>
      </c>
      <c r="C40" s="5">
        <v>11212</v>
      </c>
      <c r="F40" s="4">
        <v>39417</v>
      </c>
      <c r="G40" s="2">
        <v>21973</v>
      </c>
      <c r="H40" s="2"/>
      <c r="I40" s="2">
        <v>101090</v>
      </c>
      <c r="J40" s="2"/>
      <c r="K40" s="2"/>
      <c r="L40" s="2">
        <v>123063</v>
      </c>
      <c r="O40" s="1">
        <v>39417</v>
      </c>
      <c r="P40">
        <v>101090</v>
      </c>
      <c r="Q40">
        <v>21973</v>
      </c>
    </row>
    <row r="41" spans="1:17" x14ac:dyDescent="0.25">
      <c r="A41" s="6">
        <v>38930</v>
      </c>
      <c r="B41" s="5" t="s">
        <v>3</v>
      </c>
      <c r="C41" s="5">
        <v>111391</v>
      </c>
      <c r="F41" s="4">
        <v>39448</v>
      </c>
      <c r="G41" s="2">
        <v>20897</v>
      </c>
      <c r="H41" s="2"/>
      <c r="I41" s="2">
        <v>88196</v>
      </c>
      <c r="J41" s="2"/>
      <c r="K41" s="2"/>
      <c r="L41" s="2">
        <v>109093</v>
      </c>
      <c r="O41" s="1">
        <v>39448</v>
      </c>
      <c r="P41">
        <v>88196</v>
      </c>
      <c r="Q41">
        <v>20897</v>
      </c>
    </row>
    <row r="42" spans="1:17" x14ac:dyDescent="0.25">
      <c r="A42" s="6">
        <v>38961</v>
      </c>
      <c r="B42" s="5" t="s">
        <v>3</v>
      </c>
      <c r="C42" s="5">
        <v>101466</v>
      </c>
      <c r="F42" s="4">
        <v>39479</v>
      </c>
      <c r="G42" s="2">
        <v>30555</v>
      </c>
      <c r="H42" s="2"/>
      <c r="I42" s="2">
        <v>95942</v>
      </c>
      <c r="J42" s="2"/>
      <c r="K42" s="2"/>
      <c r="L42" s="2">
        <v>126497</v>
      </c>
      <c r="O42" s="1">
        <v>39479</v>
      </c>
      <c r="P42">
        <v>95942</v>
      </c>
      <c r="Q42">
        <v>30555</v>
      </c>
    </row>
    <row r="43" spans="1:17" x14ac:dyDescent="0.25">
      <c r="A43" s="6">
        <v>38961</v>
      </c>
      <c r="B43" s="5" t="s">
        <v>4</v>
      </c>
      <c r="C43" s="5">
        <v>10662</v>
      </c>
      <c r="F43" s="4">
        <v>39508</v>
      </c>
      <c r="G43" s="2">
        <v>34268</v>
      </c>
      <c r="H43" s="2"/>
      <c r="I43" s="2">
        <v>78250</v>
      </c>
      <c r="J43" s="2"/>
      <c r="K43" s="2"/>
      <c r="L43" s="2">
        <v>112518</v>
      </c>
      <c r="O43" s="1">
        <v>39508</v>
      </c>
      <c r="P43">
        <v>78250</v>
      </c>
      <c r="Q43">
        <v>34268</v>
      </c>
    </row>
    <row r="44" spans="1:17" x14ac:dyDescent="0.25">
      <c r="A44" s="6">
        <v>38991</v>
      </c>
      <c r="B44" s="5" t="s">
        <v>4</v>
      </c>
      <c r="C44" s="5">
        <v>11537</v>
      </c>
      <c r="F44" s="4">
        <v>39539</v>
      </c>
      <c r="G44" s="2">
        <v>60058</v>
      </c>
      <c r="H44" s="2"/>
      <c r="I44" s="2">
        <v>99187</v>
      </c>
      <c r="J44" s="2"/>
      <c r="K44" s="2"/>
      <c r="L44" s="2">
        <v>159245</v>
      </c>
      <c r="O44" s="1">
        <v>39539</v>
      </c>
      <c r="P44">
        <v>99187</v>
      </c>
      <c r="Q44">
        <v>60058</v>
      </c>
    </row>
    <row r="45" spans="1:17" x14ac:dyDescent="0.25">
      <c r="A45" s="6">
        <v>38991</v>
      </c>
      <c r="B45" s="5" t="s">
        <v>3</v>
      </c>
      <c r="C45" s="5">
        <v>102383</v>
      </c>
      <c r="F45" s="4">
        <v>39569</v>
      </c>
      <c r="G45" s="2">
        <v>41596</v>
      </c>
      <c r="H45" s="2"/>
      <c r="I45" s="2">
        <v>102401</v>
      </c>
      <c r="J45" s="2"/>
      <c r="K45" s="2"/>
      <c r="L45" s="2">
        <v>143997</v>
      </c>
      <c r="O45" s="1">
        <v>39569</v>
      </c>
      <c r="P45">
        <v>102401</v>
      </c>
      <c r="Q45">
        <v>41596</v>
      </c>
    </row>
    <row r="46" spans="1:17" x14ac:dyDescent="0.25">
      <c r="A46" s="6">
        <v>39022</v>
      </c>
      <c r="B46" s="5" t="s">
        <v>4</v>
      </c>
      <c r="C46" s="5">
        <v>12948</v>
      </c>
      <c r="F46" s="4">
        <v>39600</v>
      </c>
      <c r="G46" s="2">
        <v>38213</v>
      </c>
      <c r="H46" s="2"/>
      <c r="I46" s="2">
        <v>98366</v>
      </c>
      <c r="J46" s="2"/>
      <c r="K46" s="2"/>
      <c r="L46" s="2">
        <v>136579</v>
      </c>
      <c r="O46" s="1">
        <v>39600</v>
      </c>
      <c r="P46">
        <v>98366</v>
      </c>
      <c r="Q46">
        <v>38213</v>
      </c>
    </row>
    <row r="47" spans="1:17" x14ac:dyDescent="0.25">
      <c r="A47" s="6">
        <v>39022</v>
      </c>
      <c r="B47" s="5" t="s">
        <v>3</v>
      </c>
      <c r="C47" s="5">
        <v>96093</v>
      </c>
      <c r="F47" s="4">
        <v>39630</v>
      </c>
      <c r="G47" s="2">
        <v>23471</v>
      </c>
      <c r="H47" s="2"/>
      <c r="I47" s="2">
        <v>81925</v>
      </c>
      <c r="J47" s="2"/>
      <c r="K47" s="2"/>
      <c r="L47" s="2">
        <v>105396</v>
      </c>
      <c r="O47" s="1">
        <v>39630</v>
      </c>
      <c r="P47">
        <v>81925</v>
      </c>
      <c r="Q47">
        <v>23471</v>
      </c>
    </row>
    <row r="48" spans="1:17" x14ac:dyDescent="0.25">
      <c r="A48" s="6">
        <v>39052</v>
      </c>
      <c r="B48" s="5" t="s">
        <v>3</v>
      </c>
      <c r="C48" s="5">
        <v>107333</v>
      </c>
      <c r="F48" s="4">
        <v>39661</v>
      </c>
      <c r="G48" s="2">
        <v>17448</v>
      </c>
      <c r="H48" s="2"/>
      <c r="I48" s="2">
        <v>80739</v>
      </c>
      <c r="J48" s="2"/>
      <c r="K48" s="2"/>
      <c r="L48" s="2">
        <v>98187</v>
      </c>
      <c r="O48" s="1">
        <v>39661</v>
      </c>
      <c r="P48">
        <v>80739</v>
      </c>
      <c r="Q48">
        <v>17448</v>
      </c>
    </row>
    <row r="49" spans="1:19" x14ac:dyDescent="0.25">
      <c r="A49" s="6">
        <v>39052</v>
      </c>
      <c r="B49" s="5" t="s">
        <v>4</v>
      </c>
      <c r="C49" s="5">
        <v>17880</v>
      </c>
      <c r="F49" s="4">
        <v>39692</v>
      </c>
      <c r="G49" s="2">
        <v>11583</v>
      </c>
      <c r="H49" s="2"/>
      <c r="I49" s="2">
        <v>67217</v>
      </c>
      <c r="J49" s="2"/>
      <c r="K49" s="2"/>
      <c r="L49" s="2">
        <v>78800</v>
      </c>
      <c r="O49" s="1">
        <v>39692</v>
      </c>
      <c r="P49">
        <v>67217</v>
      </c>
      <c r="Q49">
        <v>11583</v>
      </c>
    </row>
    <row r="50" spans="1:19" x14ac:dyDescent="0.25">
      <c r="A50" s="6">
        <v>39083</v>
      </c>
      <c r="B50" s="5" t="s">
        <v>4</v>
      </c>
      <c r="C50" s="5">
        <v>17232</v>
      </c>
      <c r="F50" s="4">
        <v>39722</v>
      </c>
      <c r="G50" s="2">
        <v>7202</v>
      </c>
      <c r="H50" s="2"/>
      <c r="I50" s="2">
        <v>45118</v>
      </c>
      <c r="J50" s="2"/>
      <c r="K50" s="2"/>
      <c r="L50" s="2">
        <v>52320</v>
      </c>
      <c r="O50" s="1">
        <v>39722</v>
      </c>
      <c r="P50">
        <v>45118</v>
      </c>
      <c r="Q50">
        <v>7202</v>
      </c>
    </row>
    <row r="51" spans="1:19" x14ac:dyDescent="0.25">
      <c r="A51" s="6">
        <v>39083</v>
      </c>
      <c r="B51" s="5" t="s">
        <v>3</v>
      </c>
      <c r="C51" s="5">
        <v>98456</v>
      </c>
      <c r="F51" s="4">
        <v>39753</v>
      </c>
      <c r="G51" s="2">
        <v>10585</v>
      </c>
      <c r="H51" s="2"/>
      <c r="I51" s="2">
        <v>50695</v>
      </c>
      <c r="J51" s="2"/>
      <c r="K51" s="2"/>
      <c r="L51" s="2">
        <v>61280</v>
      </c>
      <c r="O51" s="1">
        <v>39753</v>
      </c>
      <c r="P51">
        <v>50695</v>
      </c>
      <c r="Q51">
        <v>10585</v>
      </c>
    </row>
    <row r="52" spans="1:19" x14ac:dyDescent="0.25">
      <c r="A52" s="6">
        <v>39114</v>
      </c>
      <c r="B52" s="5" t="s">
        <v>3</v>
      </c>
      <c r="C52" s="5">
        <v>99305</v>
      </c>
      <c r="F52" s="4">
        <v>39783</v>
      </c>
      <c r="G52" s="2">
        <v>15821</v>
      </c>
      <c r="H52" s="2"/>
      <c r="I52" s="2">
        <v>52104</v>
      </c>
      <c r="J52" s="2"/>
      <c r="K52" s="2"/>
      <c r="L52" s="2">
        <v>67925</v>
      </c>
      <c r="O52" s="1">
        <v>39783</v>
      </c>
      <c r="P52">
        <v>52104</v>
      </c>
      <c r="Q52">
        <v>15821</v>
      </c>
    </row>
    <row r="53" spans="1:19" x14ac:dyDescent="0.25">
      <c r="A53" s="6">
        <v>39114</v>
      </c>
      <c r="B53" s="5" t="s">
        <v>4</v>
      </c>
      <c r="C53" s="5">
        <v>21209</v>
      </c>
      <c r="F53" s="4">
        <v>39814</v>
      </c>
      <c r="G53" s="2">
        <v>7542</v>
      </c>
      <c r="H53" s="2"/>
      <c r="I53" s="2">
        <v>32449</v>
      </c>
      <c r="J53" s="2"/>
      <c r="K53" s="2"/>
      <c r="L53" s="2">
        <v>39991</v>
      </c>
      <c r="O53" s="1">
        <v>39814</v>
      </c>
      <c r="P53">
        <v>32449</v>
      </c>
      <c r="Q53">
        <v>7542</v>
      </c>
    </row>
    <row r="54" spans="1:19" x14ac:dyDescent="0.25">
      <c r="A54" s="6">
        <v>39142</v>
      </c>
      <c r="B54" s="5" t="s">
        <v>3</v>
      </c>
      <c r="C54" s="5">
        <v>86895</v>
      </c>
      <c r="F54" s="4">
        <v>39845</v>
      </c>
      <c r="G54" s="2">
        <v>32323</v>
      </c>
      <c r="H54" s="2"/>
      <c r="I54" s="2">
        <v>52470</v>
      </c>
      <c r="J54" s="2"/>
      <c r="K54" s="2"/>
      <c r="L54" s="2">
        <v>84793</v>
      </c>
      <c r="O54" s="1">
        <v>39845</v>
      </c>
      <c r="P54">
        <v>52470</v>
      </c>
      <c r="Q54">
        <v>32323</v>
      </c>
    </row>
    <row r="55" spans="1:19" x14ac:dyDescent="0.25">
      <c r="A55" s="6">
        <v>39142</v>
      </c>
      <c r="B55" s="5" t="s">
        <v>4</v>
      </c>
      <c r="C55" s="5">
        <v>20923</v>
      </c>
      <c r="F55" s="4">
        <v>39873</v>
      </c>
      <c r="G55" s="2">
        <v>81506</v>
      </c>
      <c r="H55" s="2"/>
      <c r="I55" s="2">
        <v>58125</v>
      </c>
      <c r="J55" s="2"/>
      <c r="K55" s="2"/>
      <c r="L55" s="2">
        <v>139631</v>
      </c>
      <c r="O55" s="1">
        <v>39873</v>
      </c>
      <c r="P55">
        <v>58125</v>
      </c>
      <c r="Q55">
        <v>81506</v>
      </c>
    </row>
    <row r="56" spans="1:19" x14ac:dyDescent="0.25">
      <c r="A56" s="6">
        <v>39173</v>
      </c>
      <c r="B56" s="5" t="s">
        <v>3</v>
      </c>
      <c r="C56" s="5">
        <v>93294</v>
      </c>
      <c r="F56" s="4">
        <v>39904</v>
      </c>
      <c r="G56" s="2">
        <v>104826</v>
      </c>
      <c r="H56" s="2"/>
      <c r="I56" s="2">
        <v>72314</v>
      </c>
      <c r="J56" s="2"/>
      <c r="K56" s="2"/>
      <c r="L56" s="2">
        <v>177140</v>
      </c>
      <c r="O56" s="1">
        <v>39904</v>
      </c>
      <c r="P56">
        <v>72314</v>
      </c>
      <c r="Q56">
        <v>104826</v>
      </c>
    </row>
    <row r="57" spans="1:19" x14ac:dyDescent="0.25">
      <c r="A57" s="6">
        <v>39173</v>
      </c>
      <c r="B57" s="5" t="s">
        <v>4</v>
      </c>
      <c r="C57" s="5">
        <v>18017</v>
      </c>
      <c r="F57" s="4">
        <v>39934</v>
      </c>
      <c r="G57" s="2">
        <v>108692</v>
      </c>
      <c r="H57" s="2"/>
      <c r="I57" s="2">
        <v>87478</v>
      </c>
      <c r="J57" s="2"/>
      <c r="K57" s="2"/>
      <c r="L57" s="2">
        <v>196170</v>
      </c>
      <c r="O57" s="1">
        <v>39934</v>
      </c>
      <c r="P57">
        <v>87478</v>
      </c>
      <c r="Q57">
        <v>108692</v>
      </c>
    </row>
    <row r="58" spans="1:19" x14ac:dyDescent="0.25">
      <c r="A58" s="6">
        <v>39203</v>
      </c>
      <c r="B58" s="5" t="s">
        <v>3</v>
      </c>
      <c r="C58" s="5">
        <v>118081</v>
      </c>
      <c r="F58" s="4">
        <v>39965</v>
      </c>
      <c r="G58" s="2"/>
      <c r="H58" s="2">
        <v>10383</v>
      </c>
      <c r="I58" s="2">
        <v>80977</v>
      </c>
      <c r="J58" s="2">
        <v>94312</v>
      </c>
      <c r="K58" s="2"/>
      <c r="L58" s="2">
        <v>185672</v>
      </c>
      <c r="O58" s="1">
        <v>39965</v>
      </c>
      <c r="P58">
        <v>80977</v>
      </c>
      <c r="R58">
        <v>94312</v>
      </c>
      <c r="S58">
        <v>10383</v>
      </c>
    </row>
    <row r="59" spans="1:19" x14ac:dyDescent="0.25">
      <c r="A59" s="6">
        <v>39203</v>
      </c>
      <c r="B59" s="5" t="s">
        <v>4</v>
      </c>
      <c r="C59" s="5">
        <v>22875</v>
      </c>
      <c r="F59" s="4">
        <v>39995</v>
      </c>
      <c r="G59" s="2"/>
      <c r="H59" s="2">
        <v>16311</v>
      </c>
      <c r="I59" s="2">
        <v>82570</v>
      </c>
      <c r="J59" s="2">
        <v>90531</v>
      </c>
      <c r="K59" s="2"/>
      <c r="L59" s="2">
        <v>189412</v>
      </c>
      <c r="O59" s="1">
        <v>39995</v>
      </c>
      <c r="P59">
        <v>82570</v>
      </c>
      <c r="R59">
        <v>90531</v>
      </c>
      <c r="S59">
        <v>16311</v>
      </c>
    </row>
    <row r="60" spans="1:19" x14ac:dyDescent="0.25">
      <c r="A60" s="6">
        <v>39234</v>
      </c>
      <c r="B60" s="5" t="s">
        <v>3</v>
      </c>
      <c r="C60" s="5">
        <v>122699</v>
      </c>
      <c r="F60" s="4">
        <v>40026</v>
      </c>
      <c r="G60" s="2"/>
      <c r="H60" s="2">
        <v>25480</v>
      </c>
      <c r="I60" s="2">
        <v>89410</v>
      </c>
      <c r="J60" s="2">
        <v>71783</v>
      </c>
      <c r="K60" s="2"/>
      <c r="L60" s="2">
        <v>186673</v>
      </c>
      <c r="O60" s="1">
        <v>40026</v>
      </c>
      <c r="P60">
        <v>89410</v>
      </c>
      <c r="R60">
        <v>71783</v>
      </c>
      <c r="S60">
        <v>25480</v>
      </c>
    </row>
    <row r="61" spans="1:19" x14ac:dyDescent="0.25">
      <c r="A61" s="6">
        <v>39234</v>
      </c>
      <c r="B61" s="5" t="s">
        <v>4</v>
      </c>
      <c r="C61" s="5">
        <v>24801</v>
      </c>
      <c r="F61" s="4">
        <v>40057</v>
      </c>
      <c r="G61" s="2"/>
      <c r="H61" s="2">
        <v>22620</v>
      </c>
      <c r="I61" s="2">
        <v>83867</v>
      </c>
      <c r="J61" s="2">
        <v>45076</v>
      </c>
      <c r="K61" s="2"/>
      <c r="L61" s="2">
        <v>151563</v>
      </c>
      <c r="O61" s="1">
        <v>40057</v>
      </c>
      <c r="P61">
        <v>83867</v>
      </c>
      <c r="R61">
        <v>45076</v>
      </c>
      <c r="S61">
        <v>22620</v>
      </c>
    </row>
    <row r="62" spans="1:19" x14ac:dyDescent="0.25">
      <c r="A62" s="6">
        <v>39264</v>
      </c>
      <c r="B62" s="5" t="s">
        <v>4</v>
      </c>
      <c r="C62" s="5">
        <v>21810</v>
      </c>
      <c r="F62" s="4">
        <v>40087</v>
      </c>
      <c r="G62" s="2"/>
      <c r="H62" s="2">
        <v>16406</v>
      </c>
      <c r="I62" s="2">
        <v>62931</v>
      </c>
      <c r="J62" s="2">
        <v>24616</v>
      </c>
      <c r="K62" s="2"/>
      <c r="L62" s="2">
        <v>103953</v>
      </c>
      <c r="O62" s="1">
        <v>40087</v>
      </c>
      <c r="P62">
        <v>62931</v>
      </c>
      <c r="R62">
        <v>24616</v>
      </c>
      <c r="S62">
        <v>16406</v>
      </c>
    </row>
    <row r="63" spans="1:19" x14ac:dyDescent="0.25">
      <c r="A63" s="6">
        <v>39264</v>
      </c>
      <c r="B63" s="5" t="s">
        <v>3</v>
      </c>
      <c r="C63" s="5">
        <v>125490</v>
      </c>
      <c r="F63" s="4">
        <v>40118</v>
      </c>
      <c r="G63" s="2"/>
      <c r="H63" s="2">
        <v>13051</v>
      </c>
      <c r="I63" s="2">
        <v>58846</v>
      </c>
      <c r="J63" s="2">
        <v>20958</v>
      </c>
      <c r="K63" s="2"/>
      <c r="L63" s="2">
        <v>92855</v>
      </c>
      <c r="O63" s="1">
        <v>40118</v>
      </c>
      <c r="P63">
        <v>58846</v>
      </c>
      <c r="R63">
        <v>20958</v>
      </c>
      <c r="S63">
        <v>13051</v>
      </c>
    </row>
    <row r="64" spans="1:19" x14ac:dyDescent="0.25">
      <c r="A64" s="6">
        <v>39295</v>
      </c>
      <c r="B64" s="5" t="s">
        <v>4</v>
      </c>
      <c r="C64" s="5">
        <v>17435</v>
      </c>
      <c r="F64" s="4">
        <v>40148</v>
      </c>
      <c r="G64" s="2"/>
      <c r="H64" s="2">
        <v>18179</v>
      </c>
      <c r="I64" s="2">
        <v>62802</v>
      </c>
      <c r="J64" s="2">
        <v>26484</v>
      </c>
      <c r="K64" s="2"/>
      <c r="L64" s="2">
        <v>107465</v>
      </c>
      <c r="O64" s="1">
        <v>40148</v>
      </c>
      <c r="P64">
        <v>62802</v>
      </c>
      <c r="R64">
        <v>26484</v>
      </c>
      <c r="S64">
        <v>18179</v>
      </c>
    </row>
    <row r="65" spans="1:19" x14ac:dyDescent="0.25">
      <c r="A65" s="6">
        <v>39295</v>
      </c>
      <c r="B65" s="5" t="s">
        <v>3</v>
      </c>
      <c r="C65" s="5">
        <v>118350</v>
      </c>
      <c r="F65" s="4">
        <v>40179</v>
      </c>
      <c r="G65" s="2"/>
      <c r="H65" s="2">
        <v>23590</v>
      </c>
      <c r="I65" s="2">
        <v>60390</v>
      </c>
      <c r="J65" s="2">
        <v>27562</v>
      </c>
      <c r="K65" s="2"/>
      <c r="L65" s="2">
        <v>111542</v>
      </c>
      <c r="O65" s="1">
        <v>40179</v>
      </c>
      <c r="P65">
        <v>60390</v>
      </c>
      <c r="R65">
        <v>27562</v>
      </c>
      <c r="S65">
        <v>23590</v>
      </c>
    </row>
    <row r="66" spans="1:19" x14ac:dyDescent="0.25">
      <c r="A66" s="6">
        <v>39326</v>
      </c>
      <c r="B66" s="5" t="s">
        <v>4</v>
      </c>
      <c r="C66" s="5">
        <v>15468</v>
      </c>
      <c r="F66" s="4">
        <v>40210</v>
      </c>
      <c r="G66" s="2"/>
      <c r="H66" s="2">
        <v>26564</v>
      </c>
      <c r="I66" s="2">
        <v>54738</v>
      </c>
      <c r="J66" s="2">
        <v>29806</v>
      </c>
      <c r="K66" s="2"/>
      <c r="L66" s="2">
        <v>111108</v>
      </c>
      <c r="O66" s="1">
        <v>40210</v>
      </c>
      <c r="P66">
        <v>54738</v>
      </c>
      <c r="R66">
        <v>29806</v>
      </c>
      <c r="S66">
        <v>26564</v>
      </c>
    </row>
    <row r="67" spans="1:19" x14ac:dyDescent="0.25">
      <c r="A67" s="6">
        <v>39326</v>
      </c>
      <c r="B67" s="5" t="s">
        <v>3</v>
      </c>
      <c r="C67" s="5">
        <v>113663</v>
      </c>
      <c r="F67" s="4">
        <v>40238</v>
      </c>
      <c r="G67" s="2"/>
      <c r="H67" s="2">
        <v>24648</v>
      </c>
      <c r="I67" s="2">
        <v>43730</v>
      </c>
      <c r="J67" s="2">
        <v>25134</v>
      </c>
      <c r="K67" s="2"/>
      <c r="L67" s="2">
        <v>93512</v>
      </c>
      <c r="O67" s="1">
        <v>40238</v>
      </c>
      <c r="P67">
        <v>43730</v>
      </c>
      <c r="R67">
        <v>25134</v>
      </c>
      <c r="S67">
        <v>24648</v>
      </c>
    </row>
    <row r="68" spans="1:19" x14ac:dyDescent="0.25">
      <c r="A68" s="6">
        <v>39356</v>
      </c>
      <c r="B68" s="5" t="s">
        <v>3</v>
      </c>
      <c r="C68" s="5">
        <v>110255</v>
      </c>
      <c r="F68" s="4">
        <v>40269</v>
      </c>
      <c r="G68" s="2"/>
      <c r="H68" s="2">
        <v>17440</v>
      </c>
      <c r="I68" s="2">
        <v>42612</v>
      </c>
      <c r="J68" s="2">
        <v>17800</v>
      </c>
      <c r="K68" s="2"/>
      <c r="L68" s="2">
        <v>77852</v>
      </c>
      <c r="O68" s="1">
        <v>40269</v>
      </c>
      <c r="P68">
        <v>42612</v>
      </c>
      <c r="R68">
        <v>17800</v>
      </c>
      <c r="S68">
        <v>17440</v>
      </c>
    </row>
    <row r="69" spans="1:19" x14ac:dyDescent="0.25">
      <c r="A69" s="6">
        <v>39356</v>
      </c>
      <c r="B69" s="5" t="s">
        <v>4</v>
      </c>
      <c r="C69" s="5">
        <v>15255</v>
      </c>
      <c r="F69" s="4">
        <v>40299</v>
      </c>
      <c r="G69" s="2"/>
      <c r="H69" s="2">
        <v>21045</v>
      </c>
      <c r="I69" s="2">
        <v>46376</v>
      </c>
      <c r="J69" s="2">
        <v>16829</v>
      </c>
      <c r="K69" s="2"/>
      <c r="L69" s="2">
        <v>84250</v>
      </c>
      <c r="O69" s="1">
        <v>40299</v>
      </c>
      <c r="P69">
        <v>46376</v>
      </c>
      <c r="R69">
        <v>16829</v>
      </c>
      <c r="S69">
        <v>21045</v>
      </c>
    </row>
    <row r="70" spans="1:19" x14ac:dyDescent="0.25">
      <c r="A70" s="6">
        <v>39387</v>
      </c>
      <c r="B70" s="5" t="s">
        <v>4</v>
      </c>
      <c r="C70" s="5">
        <v>18097</v>
      </c>
      <c r="F70" s="4">
        <v>40330</v>
      </c>
      <c r="G70" s="2"/>
      <c r="H70" s="2">
        <v>19445</v>
      </c>
      <c r="I70" s="2">
        <v>49599</v>
      </c>
      <c r="J70" s="2">
        <v>14699</v>
      </c>
      <c r="K70" s="2"/>
      <c r="L70" s="2">
        <v>83743</v>
      </c>
      <c r="O70" s="1">
        <v>40330</v>
      </c>
      <c r="P70">
        <v>49599</v>
      </c>
      <c r="R70">
        <v>14699</v>
      </c>
      <c r="S70">
        <v>19445</v>
      </c>
    </row>
    <row r="71" spans="1:19" x14ac:dyDescent="0.25">
      <c r="A71" s="6">
        <v>39387</v>
      </c>
      <c r="B71" s="5" t="s">
        <v>3</v>
      </c>
      <c r="C71" s="5">
        <v>99634</v>
      </c>
      <c r="F71" s="4">
        <v>40360</v>
      </c>
      <c r="G71" s="2"/>
      <c r="H71" s="2">
        <v>15205</v>
      </c>
      <c r="I71" s="2">
        <v>51493</v>
      </c>
      <c r="J71" s="2">
        <v>11907</v>
      </c>
      <c r="K71" s="2"/>
      <c r="L71" s="2">
        <v>78605</v>
      </c>
      <c r="O71" s="1">
        <v>40360</v>
      </c>
      <c r="P71">
        <v>51493</v>
      </c>
      <c r="R71">
        <v>11907</v>
      </c>
      <c r="S71">
        <v>15205</v>
      </c>
    </row>
    <row r="72" spans="1:19" x14ac:dyDescent="0.25">
      <c r="A72" s="6">
        <v>39417</v>
      </c>
      <c r="B72" s="5" t="s">
        <v>3</v>
      </c>
      <c r="C72" s="5">
        <v>101090</v>
      </c>
      <c r="F72" s="4">
        <v>40391</v>
      </c>
      <c r="G72" s="2"/>
      <c r="H72" s="2">
        <v>21345</v>
      </c>
      <c r="I72" s="2">
        <v>55048</v>
      </c>
      <c r="J72" s="2">
        <v>16456</v>
      </c>
      <c r="K72" s="2"/>
      <c r="L72" s="2">
        <v>92849</v>
      </c>
      <c r="O72" s="1">
        <v>40391</v>
      </c>
      <c r="P72">
        <v>55048</v>
      </c>
      <c r="R72">
        <v>16456</v>
      </c>
      <c r="S72">
        <v>21345</v>
      </c>
    </row>
    <row r="73" spans="1:19" x14ac:dyDescent="0.25">
      <c r="A73" s="6">
        <v>39417</v>
      </c>
      <c r="B73" s="5" t="s">
        <v>4</v>
      </c>
      <c r="C73" s="5">
        <v>21973</v>
      </c>
      <c r="F73" s="4">
        <v>40422</v>
      </c>
      <c r="G73" s="2"/>
      <c r="H73" s="2">
        <v>28168</v>
      </c>
      <c r="I73" s="2">
        <v>40328</v>
      </c>
      <c r="J73" s="2">
        <v>22322</v>
      </c>
      <c r="K73" s="2"/>
      <c r="L73" s="2">
        <v>90818</v>
      </c>
      <c r="O73" s="1">
        <v>40422</v>
      </c>
      <c r="P73">
        <v>40328</v>
      </c>
      <c r="R73">
        <v>22322</v>
      </c>
      <c r="S73">
        <v>28168</v>
      </c>
    </row>
    <row r="74" spans="1:19" x14ac:dyDescent="0.25">
      <c r="A74" s="6">
        <v>39448</v>
      </c>
      <c r="B74" s="5" t="s">
        <v>3</v>
      </c>
      <c r="C74" s="5">
        <v>88196</v>
      </c>
      <c r="F74" s="4">
        <v>40452</v>
      </c>
      <c r="G74" s="2"/>
      <c r="H74" s="2">
        <v>33340</v>
      </c>
      <c r="I74" s="2">
        <v>41549</v>
      </c>
      <c r="J74" s="2">
        <v>30002</v>
      </c>
      <c r="K74" s="2"/>
      <c r="L74" s="2">
        <v>104891</v>
      </c>
      <c r="O74" s="1">
        <v>40452</v>
      </c>
      <c r="P74">
        <v>41549</v>
      </c>
      <c r="R74">
        <v>30002</v>
      </c>
      <c r="S74">
        <v>33340</v>
      </c>
    </row>
    <row r="75" spans="1:19" x14ac:dyDescent="0.25">
      <c r="A75" s="6">
        <v>39448</v>
      </c>
      <c r="B75" s="5" t="s">
        <v>4</v>
      </c>
      <c r="C75" s="5">
        <v>20897</v>
      </c>
      <c r="F75" s="4">
        <v>40483</v>
      </c>
      <c r="G75" s="2"/>
      <c r="H75" s="2">
        <v>38106</v>
      </c>
      <c r="I75" s="2">
        <v>37451</v>
      </c>
      <c r="J75" s="2">
        <v>30869</v>
      </c>
      <c r="K75" s="2"/>
      <c r="L75" s="2">
        <v>106426</v>
      </c>
      <c r="O75" s="1">
        <v>40483</v>
      </c>
      <c r="P75">
        <v>37451</v>
      </c>
      <c r="R75">
        <v>30869</v>
      </c>
      <c r="S75">
        <v>38106</v>
      </c>
    </row>
    <row r="76" spans="1:19" x14ac:dyDescent="0.25">
      <c r="A76" s="6">
        <v>39479</v>
      </c>
      <c r="B76" s="5" t="s">
        <v>4</v>
      </c>
      <c r="C76" s="5">
        <v>30555</v>
      </c>
      <c r="F76" s="4">
        <v>40513</v>
      </c>
      <c r="G76" s="2"/>
      <c r="H76" s="2">
        <v>43237</v>
      </c>
      <c r="I76" s="2">
        <v>38965</v>
      </c>
      <c r="J76" s="2">
        <v>34888</v>
      </c>
      <c r="K76" s="2"/>
      <c r="L76" s="2">
        <v>117090</v>
      </c>
      <c r="O76" s="1">
        <v>40513</v>
      </c>
      <c r="P76">
        <v>38965</v>
      </c>
      <c r="R76">
        <v>34888</v>
      </c>
      <c r="S76">
        <v>43237</v>
      </c>
    </row>
    <row r="77" spans="1:19" x14ac:dyDescent="0.25">
      <c r="A77" s="6">
        <v>39479</v>
      </c>
      <c r="B77" s="5" t="s">
        <v>3</v>
      </c>
      <c r="C77" s="5">
        <v>95942</v>
      </c>
      <c r="F77" s="4">
        <v>40544</v>
      </c>
      <c r="G77" s="2"/>
      <c r="H77" s="2">
        <v>44477</v>
      </c>
      <c r="I77" s="2">
        <v>36931</v>
      </c>
      <c r="J77" s="2">
        <v>33215</v>
      </c>
      <c r="K77" s="2"/>
      <c r="L77" s="2">
        <v>114623</v>
      </c>
      <c r="O77" s="1">
        <v>40544</v>
      </c>
      <c r="P77">
        <v>36931</v>
      </c>
      <c r="R77">
        <v>33215</v>
      </c>
      <c r="S77">
        <v>44477</v>
      </c>
    </row>
    <row r="78" spans="1:19" x14ac:dyDescent="0.25">
      <c r="A78" s="6">
        <v>39508</v>
      </c>
      <c r="B78" s="5" t="s">
        <v>4</v>
      </c>
      <c r="C78" s="5">
        <v>34268</v>
      </c>
      <c r="F78" s="4">
        <v>40575</v>
      </c>
      <c r="G78" s="2"/>
      <c r="H78" s="2">
        <v>37323</v>
      </c>
      <c r="I78" s="2">
        <v>41383</v>
      </c>
      <c r="J78" s="2">
        <v>30768</v>
      </c>
      <c r="K78" s="2"/>
      <c r="L78" s="2">
        <v>109474</v>
      </c>
      <c r="O78" s="1">
        <v>40575</v>
      </c>
      <c r="P78">
        <v>41383</v>
      </c>
      <c r="R78">
        <v>30768</v>
      </c>
      <c r="S78">
        <v>37323</v>
      </c>
    </row>
    <row r="79" spans="1:19" x14ac:dyDescent="0.25">
      <c r="A79" s="6">
        <v>39508</v>
      </c>
      <c r="B79" s="5" t="s">
        <v>3</v>
      </c>
      <c r="C79" s="5">
        <v>78250</v>
      </c>
      <c r="F79" s="4">
        <v>40603</v>
      </c>
      <c r="G79" s="2"/>
      <c r="H79" s="2">
        <v>32289</v>
      </c>
      <c r="I79" s="2">
        <v>32412</v>
      </c>
      <c r="J79" s="2">
        <v>20081</v>
      </c>
      <c r="K79" s="2"/>
      <c r="L79" s="2">
        <v>84782</v>
      </c>
      <c r="O79" s="1">
        <v>40603</v>
      </c>
      <c r="P79">
        <v>32412</v>
      </c>
      <c r="R79">
        <v>20081</v>
      </c>
      <c r="S79">
        <v>32289</v>
      </c>
    </row>
    <row r="80" spans="1:19" x14ac:dyDescent="0.25">
      <c r="A80" s="6">
        <v>39539</v>
      </c>
      <c r="B80" s="5" t="s">
        <v>4</v>
      </c>
      <c r="C80" s="5">
        <v>60058</v>
      </c>
      <c r="F80" s="4">
        <v>40634</v>
      </c>
      <c r="G80" s="2"/>
      <c r="H80" s="2">
        <v>21224</v>
      </c>
      <c r="I80" s="2">
        <v>22609</v>
      </c>
      <c r="J80" s="2">
        <v>10793</v>
      </c>
      <c r="K80" s="2"/>
      <c r="L80" s="2">
        <v>54626</v>
      </c>
      <c r="O80" s="1">
        <v>40634</v>
      </c>
      <c r="P80">
        <v>22609</v>
      </c>
      <c r="R80">
        <v>10793</v>
      </c>
      <c r="S80">
        <v>21224</v>
      </c>
    </row>
    <row r="81" spans="1:19" x14ac:dyDescent="0.25">
      <c r="A81" s="6">
        <v>39539</v>
      </c>
      <c r="B81" s="5" t="s">
        <v>3</v>
      </c>
      <c r="C81" s="5">
        <v>99187</v>
      </c>
      <c r="F81" s="4">
        <v>40664</v>
      </c>
      <c r="G81" s="2"/>
      <c r="H81" s="2">
        <v>14491</v>
      </c>
      <c r="I81" s="2">
        <v>29812</v>
      </c>
      <c r="J81" s="2">
        <v>9553</v>
      </c>
      <c r="K81" s="2"/>
      <c r="L81" s="2">
        <v>53856</v>
      </c>
      <c r="O81" s="1">
        <v>40664</v>
      </c>
      <c r="P81">
        <v>29812</v>
      </c>
      <c r="R81">
        <v>9553</v>
      </c>
      <c r="S81">
        <v>14491</v>
      </c>
    </row>
    <row r="82" spans="1:19" x14ac:dyDescent="0.25">
      <c r="A82" s="6">
        <v>39569</v>
      </c>
      <c r="B82" s="5" t="s">
        <v>3</v>
      </c>
      <c r="C82" s="5">
        <v>102401</v>
      </c>
      <c r="F82" s="4">
        <v>40695</v>
      </c>
      <c r="G82" s="2"/>
      <c r="H82" s="2">
        <v>13261</v>
      </c>
      <c r="I82" s="2">
        <v>30453</v>
      </c>
      <c r="J82" s="2">
        <v>7592</v>
      </c>
      <c r="K82" s="2"/>
      <c r="L82" s="2">
        <v>51306</v>
      </c>
      <c r="O82" s="1">
        <v>40695</v>
      </c>
      <c r="P82">
        <v>30453</v>
      </c>
      <c r="R82">
        <v>7592</v>
      </c>
      <c r="S82">
        <v>13261</v>
      </c>
    </row>
    <row r="83" spans="1:19" x14ac:dyDescent="0.25">
      <c r="A83" s="6">
        <v>39569</v>
      </c>
      <c r="B83" s="5" t="s">
        <v>4</v>
      </c>
      <c r="C83" s="5">
        <v>41596</v>
      </c>
      <c r="F83" s="4">
        <v>40725</v>
      </c>
      <c r="G83" s="2"/>
      <c r="H83" s="2">
        <v>11117</v>
      </c>
      <c r="I83" s="2">
        <v>31434</v>
      </c>
      <c r="J83" s="2">
        <v>6380</v>
      </c>
      <c r="K83" s="2"/>
      <c r="L83" s="2">
        <v>48931</v>
      </c>
      <c r="O83" s="1">
        <v>40725</v>
      </c>
      <c r="P83">
        <v>31434</v>
      </c>
      <c r="R83">
        <v>6380</v>
      </c>
      <c r="S83">
        <v>11117</v>
      </c>
    </row>
    <row r="84" spans="1:19" x14ac:dyDescent="0.25">
      <c r="A84" s="6">
        <v>39600</v>
      </c>
      <c r="B84" s="5" t="s">
        <v>4</v>
      </c>
      <c r="C84" s="5">
        <v>38213</v>
      </c>
      <c r="F84" s="4">
        <v>40756</v>
      </c>
      <c r="G84" s="2"/>
      <c r="H84" s="2">
        <v>12492</v>
      </c>
      <c r="I84" s="2">
        <v>41640</v>
      </c>
      <c r="J84" s="2">
        <v>8952</v>
      </c>
      <c r="K84" s="2"/>
      <c r="L84" s="2">
        <v>63084</v>
      </c>
      <c r="O84" s="1">
        <v>40756</v>
      </c>
      <c r="P84">
        <v>41640</v>
      </c>
      <c r="R84">
        <v>8952</v>
      </c>
      <c r="S84">
        <v>12492</v>
      </c>
    </row>
    <row r="85" spans="1:19" x14ac:dyDescent="0.25">
      <c r="A85" s="6">
        <v>39600</v>
      </c>
      <c r="B85" s="5" t="s">
        <v>3</v>
      </c>
      <c r="C85" s="5">
        <v>98366</v>
      </c>
      <c r="F85" s="4">
        <v>40787</v>
      </c>
      <c r="G85" s="2"/>
      <c r="H85" s="2">
        <v>14123</v>
      </c>
      <c r="I85" s="2">
        <v>37088</v>
      </c>
      <c r="J85" s="2">
        <v>9875</v>
      </c>
      <c r="K85" s="2"/>
      <c r="L85" s="2">
        <v>61086</v>
      </c>
      <c r="O85" s="1">
        <v>40787</v>
      </c>
      <c r="P85">
        <v>37088</v>
      </c>
      <c r="R85">
        <v>9875</v>
      </c>
      <c r="S85">
        <v>14123</v>
      </c>
    </row>
    <row r="86" spans="1:19" x14ac:dyDescent="0.25">
      <c r="A86" s="6">
        <v>39630</v>
      </c>
      <c r="B86" s="5" t="s">
        <v>3</v>
      </c>
      <c r="C86" s="5">
        <v>81925</v>
      </c>
      <c r="F86" s="4">
        <v>40817</v>
      </c>
      <c r="G86" s="2"/>
      <c r="H86" s="2">
        <v>14085</v>
      </c>
      <c r="I86" s="2">
        <v>36313</v>
      </c>
      <c r="J86" s="2">
        <v>11433</v>
      </c>
      <c r="K86" s="2"/>
      <c r="L86" s="2">
        <v>61831</v>
      </c>
      <c r="O86" s="1">
        <v>40817</v>
      </c>
      <c r="P86">
        <v>36313</v>
      </c>
      <c r="R86">
        <v>11433</v>
      </c>
      <c r="S86">
        <v>14085</v>
      </c>
    </row>
    <row r="87" spans="1:19" x14ac:dyDescent="0.25">
      <c r="A87" s="6">
        <v>39630</v>
      </c>
      <c r="B87" s="5" t="s">
        <v>4</v>
      </c>
      <c r="C87" s="5">
        <v>23471</v>
      </c>
      <c r="F87" s="4">
        <v>40848</v>
      </c>
      <c r="G87" s="2"/>
      <c r="H87" s="2">
        <v>17552</v>
      </c>
      <c r="I87" s="2">
        <v>32247</v>
      </c>
      <c r="J87" s="2">
        <v>22206</v>
      </c>
      <c r="K87" s="2"/>
      <c r="L87" s="2">
        <v>72005</v>
      </c>
      <c r="O87" s="1">
        <v>40848</v>
      </c>
      <c r="P87">
        <v>32247</v>
      </c>
      <c r="R87">
        <v>22206</v>
      </c>
      <c r="S87">
        <v>17552</v>
      </c>
    </row>
    <row r="88" spans="1:19" x14ac:dyDescent="0.25">
      <c r="A88" s="6">
        <v>39661</v>
      </c>
      <c r="B88" s="5" t="s">
        <v>4</v>
      </c>
      <c r="C88" s="5">
        <v>17448</v>
      </c>
      <c r="F88" s="4">
        <v>40878</v>
      </c>
      <c r="G88" s="2"/>
      <c r="H88" s="2">
        <v>20154</v>
      </c>
      <c r="I88" s="2">
        <v>24463</v>
      </c>
      <c r="J88" s="2">
        <v>21822</v>
      </c>
      <c r="K88" s="2"/>
      <c r="L88" s="2">
        <v>66439</v>
      </c>
      <c r="O88" s="1">
        <v>40878</v>
      </c>
      <c r="P88">
        <v>24463</v>
      </c>
      <c r="R88">
        <v>21822</v>
      </c>
      <c r="S88">
        <v>20154</v>
      </c>
    </row>
    <row r="89" spans="1:19" x14ac:dyDescent="0.25">
      <c r="A89" s="6">
        <v>39661</v>
      </c>
      <c r="B89" s="5" t="s">
        <v>3</v>
      </c>
      <c r="C89" s="5">
        <v>80739</v>
      </c>
      <c r="F89" s="4">
        <v>40909</v>
      </c>
      <c r="G89" s="2"/>
      <c r="H89" s="2">
        <v>21858</v>
      </c>
      <c r="I89" s="2">
        <v>25528</v>
      </c>
      <c r="J89" s="2">
        <v>22762</v>
      </c>
      <c r="K89" s="2"/>
      <c r="L89" s="2">
        <v>70148</v>
      </c>
      <c r="O89" s="1">
        <v>40909</v>
      </c>
      <c r="P89">
        <v>25528</v>
      </c>
      <c r="R89">
        <v>22762</v>
      </c>
      <c r="S89">
        <v>21858</v>
      </c>
    </row>
    <row r="90" spans="1:19" x14ac:dyDescent="0.25">
      <c r="A90" s="6">
        <v>39692</v>
      </c>
      <c r="B90" s="5" t="s">
        <v>3</v>
      </c>
      <c r="C90" s="5">
        <v>67217</v>
      </c>
      <c r="F90" s="4">
        <v>40940</v>
      </c>
      <c r="G90" s="2"/>
      <c r="H90" s="2">
        <v>18923</v>
      </c>
      <c r="I90" s="2">
        <v>30766</v>
      </c>
      <c r="J90" s="2">
        <v>25465</v>
      </c>
      <c r="K90" s="2"/>
      <c r="L90" s="2">
        <v>75154</v>
      </c>
      <c r="O90" s="1">
        <v>40940</v>
      </c>
      <c r="P90">
        <v>30766</v>
      </c>
      <c r="R90">
        <v>25465</v>
      </c>
      <c r="S90">
        <v>18923</v>
      </c>
    </row>
    <row r="91" spans="1:19" x14ac:dyDescent="0.25">
      <c r="A91" s="6">
        <v>39692</v>
      </c>
      <c r="B91" s="5" t="s">
        <v>4</v>
      </c>
      <c r="C91" s="5">
        <v>11583</v>
      </c>
      <c r="F91" s="4">
        <v>40969</v>
      </c>
      <c r="G91" s="2"/>
      <c r="H91" s="2">
        <v>20650</v>
      </c>
      <c r="I91" s="2">
        <v>21030</v>
      </c>
      <c r="J91" s="2">
        <v>22392</v>
      </c>
      <c r="K91" s="2"/>
      <c r="L91" s="2">
        <v>64072</v>
      </c>
      <c r="O91" s="1">
        <v>40969</v>
      </c>
      <c r="P91">
        <v>21030</v>
      </c>
      <c r="R91">
        <v>22392</v>
      </c>
      <c r="S91">
        <v>20650</v>
      </c>
    </row>
    <row r="92" spans="1:19" x14ac:dyDescent="0.25">
      <c r="A92" s="6">
        <v>39722</v>
      </c>
      <c r="B92" s="5" t="s">
        <v>3</v>
      </c>
      <c r="C92" s="5">
        <v>45118</v>
      </c>
      <c r="F92" s="4">
        <v>41000</v>
      </c>
      <c r="G92" s="2"/>
      <c r="H92" s="2">
        <v>23750</v>
      </c>
      <c r="I92" s="2">
        <v>20238</v>
      </c>
      <c r="J92" s="2">
        <v>22169</v>
      </c>
      <c r="K92" s="2"/>
      <c r="L92" s="2">
        <v>66157</v>
      </c>
      <c r="O92" s="1">
        <v>41000</v>
      </c>
      <c r="P92">
        <v>20238</v>
      </c>
      <c r="R92">
        <v>22169</v>
      </c>
      <c r="S92">
        <v>23750</v>
      </c>
    </row>
    <row r="93" spans="1:19" x14ac:dyDescent="0.25">
      <c r="A93" s="6">
        <v>39722</v>
      </c>
      <c r="B93" s="5" t="s">
        <v>4</v>
      </c>
      <c r="C93" s="5">
        <v>7202</v>
      </c>
      <c r="F93" s="4">
        <v>41030</v>
      </c>
      <c r="G93" s="2"/>
      <c r="H93" s="2">
        <v>22147</v>
      </c>
      <c r="I93" s="2">
        <v>24409</v>
      </c>
      <c r="J93" s="2">
        <v>21904</v>
      </c>
      <c r="K93" s="2"/>
      <c r="L93" s="2">
        <v>68460</v>
      </c>
      <c r="O93" s="1">
        <v>41030</v>
      </c>
      <c r="P93">
        <v>24409</v>
      </c>
      <c r="R93">
        <v>21904</v>
      </c>
      <c r="S93">
        <v>22147</v>
      </c>
    </row>
    <row r="94" spans="1:19" x14ac:dyDescent="0.25">
      <c r="A94" s="6">
        <v>39753</v>
      </c>
      <c r="B94" s="5" t="s">
        <v>3</v>
      </c>
      <c r="C94" s="5">
        <v>50695</v>
      </c>
      <c r="F94" s="4">
        <v>41061</v>
      </c>
      <c r="G94" s="2"/>
      <c r="H94" s="2">
        <v>20132</v>
      </c>
      <c r="I94" s="2">
        <v>32503</v>
      </c>
      <c r="J94" s="2">
        <v>18591</v>
      </c>
      <c r="K94" s="2"/>
      <c r="L94" s="2">
        <v>71226</v>
      </c>
      <c r="O94" s="1">
        <v>41061</v>
      </c>
      <c r="P94">
        <v>32503</v>
      </c>
      <c r="R94">
        <v>18591</v>
      </c>
      <c r="S94">
        <v>20132</v>
      </c>
    </row>
    <row r="95" spans="1:19" x14ac:dyDescent="0.25">
      <c r="A95" s="6">
        <v>39753</v>
      </c>
      <c r="B95" s="5" t="s">
        <v>4</v>
      </c>
      <c r="C95" s="5">
        <v>10585</v>
      </c>
      <c r="F95" s="4">
        <v>41091</v>
      </c>
      <c r="G95" s="2"/>
      <c r="H95" s="2">
        <v>20818</v>
      </c>
      <c r="I95" s="2">
        <v>40917</v>
      </c>
      <c r="J95" s="2">
        <v>20169</v>
      </c>
      <c r="K95" s="2"/>
      <c r="L95" s="2">
        <v>81904</v>
      </c>
      <c r="O95" s="1">
        <v>41091</v>
      </c>
      <c r="P95">
        <v>40917</v>
      </c>
      <c r="R95">
        <v>20169</v>
      </c>
      <c r="S95">
        <v>20818</v>
      </c>
    </row>
    <row r="96" spans="1:19" x14ac:dyDescent="0.25">
      <c r="A96" s="6">
        <v>39783</v>
      </c>
      <c r="B96" s="5" t="s">
        <v>4</v>
      </c>
      <c r="C96" s="5">
        <v>15821</v>
      </c>
      <c r="F96" s="4">
        <v>41122</v>
      </c>
      <c r="G96" s="2"/>
      <c r="H96" s="2">
        <v>21157</v>
      </c>
      <c r="I96" s="2">
        <v>40189</v>
      </c>
      <c r="J96" s="2">
        <v>20467</v>
      </c>
      <c r="K96" s="2"/>
      <c r="L96" s="2">
        <v>81813</v>
      </c>
      <c r="O96" s="1">
        <v>41122</v>
      </c>
      <c r="P96">
        <v>40189</v>
      </c>
      <c r="R96">
        <v>20467</v>
      </c>
      <c r="S96">
        <v>21157</v>
      </c>
    </row>
    <row r="97" spans="1:19" x14ac:dyDescent="0.25">
      <c r="A97" s="6">
        <v>39783</v>
      </c>
      <c r="B97" s="5" t="s">
        <v>3</v>
      </c>
      <c r="C97" s="5">
        <v>52104</v>
      </c>
      <c r="F97" s="4">
        <v>41153</v>
      </c>
      <c r="G97" s="2"/>
      <c r="H97" s="2">
        <v>23362</v>
      </c>
      <c r="I97" s="2">
        <v>43003</v>
      </c>
      <c r="J97" s="2">
        <v>25359</v>
      </c>
      <c r="K97" s="2"/>
      <c r="L97" s="2">
        <v>91724</v>
      </c>
      <c r="O97" s="1">
        <v>41153</v>
      </c>
      <c r="P97">
        <v>43003</v>
      </c>
      <c r="R97">
        <v>25359</v>
      </c>
      <c r="S97">
        <v>23362</v>
      </c>
    </row>
    <row r="98" spans="1:19" x14ac:dyDescent="0.25">
      <c r="A98" s="6">
        <v>39814</v>
      </c>
      <c r="B98" s="5" t="s">
        <v>3</v>
      </c>
      <c r="C98" s="5">
        <v>32449</v>
      </c>
      <c r="F98" s="4">
        <v>41183</v>
      </c>
      <c r="G98" s="2"/>
      <c r="H98" s="2">
        <v>24936</v>
      </c>
      <c r="I98" s="2">
        <v>47014</v>
      </c>
      <c r="J98" s="2">
        <v>33904</v>
      </c>
      <c r="K98" s="2"/>
      <c r="L98" s="2">
        <v>105854</v>
      </c>
      <c r="O98" s="1">
        <v>41183</v>
      </c>
      <c r="P98">
        <v>47014</v>
      </c>
      <c r="R98">
        <v>33904</v>
      </c>
      <c r="S98">
        <v>24936</v>
      </c>
    </row>
    <row r="99" spans="1:19" x14ac:dyDescent="0.25">
      <c r="A99" s="6">
        <v>39814</v>
      </c>
      <c r="B99" s="5" t="s">
        <v>4</v>
      </c>
      <c r="C99" s="5">
        <v>7542</v>
      </c>
      <c r="F99" s="4">
        <v>41214</v>
      </c>
      <c r="G99" s="2"/>
      <c r="H99" s="2">
        <v>26328</v>
      </c>
      <c r="I99" s="2">
        <v>49818</v>
      </c>
      <c r="J99" s="2">
        <v>40037</v>
      </c>
      <c r="K99" s="2"/>
      <c r="L99" s="2">
        <v>116183</v>
      </c>
      <c r="O99" s="1">
        <v>41214</v>
      </c>
      <c r="P99">
        <v>49818</v>
      </c>
      <c r="R99">
        <v>40037</v>
      </c>
      <c r="S99">
        <v>26328</v>
      </c>
    </row>
    <row r="100" spans="1:19" x14ac:dyDescent="0.25">
      <c r="A100" s="6">
        <v>39845</v>
      </c>
      <c r="B100" s="5" t="s">
        <v>4</v>
      </c>
      <c r="C100" s="5">
        <v>32323</v>
      </c>
      <c r="F100" s="4">
        <v>41244</v>
      </c>
      <c r="G100" s="2"/>
      <c r="H100" s="2">
        <v>29752</v>
      </c>
      <c r="I100" s="2">
        <v>49998</v>
      </c>
      <c r="J100" s="2">
        <v>40485</v>
      </c>
      <c r="K100" s="2"/>
      <c r="L100" s="2">
        <v>120235</v>
      </c>
      <c r="O100" s="1">
        <v>41244</v>
      </c>
      <c r="P100">
        <v>49998</v>
      </c>
      <c r="R100">
        <v>40485</v>
      </c>
      <c r="S100">
        <v>29752</v>
      </c>
    </row>
    <row r="101" spans="1:19" x14ac:dyDescent="0.25">
      <c r="A101" s="6">
        <v>39845</v>
      </c>
      <c r="B101" s="5" t="s">
        <v>3</v>
      </c>
      <c r="C101" s="5">
        <v>52470</v>
      </c>
      <c r="F101" s="4">
        <v>41275</v>
      </c>
      <c r="G101" s="2"/>
      <c r="H101" s="2">
        <v>26821</v>
      </c>
      <c r="I101" s="2">
        <v>39738</v>
      </c>
      <c r="J101" s="2">
        <v>36497</v>
      </c>
      <c r="K101" s="2"/>
      <c r="L101" s="2">
        <v>103056</v>
      </c>
      <c r="O101" s="1">
        <v>41275</v>
      </c>
      <c r="P101">
        <v>39738</v>
      </c>
      <c r="R101">
        <v>36497</v>
      </c>
      <c r="S101">
        <v>26821</v>
      </c>
    </row>
    <row r="102" spans="1:19" x14ac:dyDescent="0.25">
      <c r="A102" s="6">
        <v>39873</v>
      </c>
      <c r="B102" s="5" t="s">
        <v>4</v>
      </c>
      <c r="C102" s="5">
        <v>81506</v>
      </c>
      <c r="F102" s="4">
        <v>41306</v>
      </c>
      <c r="G102" s="2"/>
      <c r="H102" s="2">
        <v>27440</v>
      </c>
      <c r="I102" s="2">
        <v>44263</v>
      </c>
      <c r="J102" s="2">
        <v>41281</v>
      </c>
      <c r="K102" s="2"/>
      <c r="L102" s="2">
        <v>112984</v>
      </c>
      <c r="O102" s="1">
        <v>41306</v>
      </c>
      <c r="P102">
        <v>44263</v>
      </c>
      <c r="R102">
        <v>41281</v>
      </c>
      <c r="S102">
        <v>27440</v>
      </c>
    </row>
    <row r="103" spans="1:19" x14ac:dyDescent="0.25">
      <c r="A103" s="6">
        <v>39873</v>
      </c>
      <c r="B103" s="5" t="s">
        <v>3</v>
      </c>
      <c r="C103" s="5">
        <v>58125</v>
      </c>
      <c r="F103" s="4">
        <v>41334</v>
      </c>
      <c r="G103" s="2"/>
      <c r="H103" s="2">
        <v>29625</v>
      </c>
      <c r="I103" s="2">
        <v>42588</v>
      </c>
      <c r="J103" s="2">
        <v>45862</v>
      </c>
      <c r="K103" s="2"/>
      <c r="L103" s="2">
        <v>118075</v>
      </c>
      <c r="O103" s="1">
        <v>41334</v>
      </c>
      <c r="P103">
        <v>42588</v>
      </c>
      <c r="R103">
        <v>45862</v>
      </c>
      <c r="S103">
        <v>29625</v>
      </c>
    </row>
    <row r="104" spans="1:19" x14ac:dyDescent="0.25">
      <c r="A104" s="6">
        <v>39904</v>
      </c>
      <c r="B104" s="5" t="s">
        <v>4</v>
      </c>
      <c r="C104" s="5">
        <v>104826</v>
      </c>
      <c r="F104" s="4">
        <v>41365</v>
      </c>
      <c r="G104" s="2"/>
      <c r="H104" s="2">
        <v>29886</v>
      </c>
      <c r="I104" s="2">
        <v>46379</v>
      </c>
      <c r="J104" s="2">
        <v>40421</v>
      </c>
      <c r="K104" s="2"/>
      <c r="L104" s="2">
        <v>116686</v>
      </c>
      <c r="O104" s="1">
        <v>41365</v>
      </c>
      <c r="P104">
        <v>46379</v>
      </c>
      <c r="R104">
        <v>40421</v>
      </c>
      <c r="S104">
        <v>29886</v>
      </c>
    </row>
    <row r="105" spans="1:19" x14ac:dyDescent="0.25">
      <c r="A105" s="6">
        <v>39904</v>
      </c>
      <c r="B105" s="5" t="s">
        <v>3</v>
      </c>
      <c r="C105" s="5">
        <v>72314</v>
      </c>
      <c r="F105" s="4">
        <v>41395</v>
      </c>
      <c r="G105" s="2"/>
      <c r="H105" s="2">
        <v>30221</v>
      </c>
      <c r="I105" s="2">
        <v>47961</v>
      </c>
      <c r="J105" s="2">
        <v>30711</v>
      </c>
      <c r="K105" s="2"/>
      <c r="L105" s="2">
        <v>108893</v>
      </c>
      <c r="O105" s="1">
        <v>41395</v>
      </c>
      <c r="P105">
        <v>47961</v>
      </c>
      <c r="R105">
        <v>30711</v>
      </c>
      <c r="S105">
        <v>30221</v>
      </c>
    </row>
    <row r="106" spans="1:19" x14ac:dyDescent="0.25">
      <c r="A106" s="6">
        <v>39934</v>
      </c>
      <c r="B106" s="5" t="s">
        <v>3</v>
      </c>
      <c r="C106" s="5">
        <v>87478</v>
      </c>
      <c r="F106" s="4">
        <v>41426</v>
      </c>
      <c r="G106" s="2"/>
      <c r="H106" s="2">
        <v>28245</v>
      </c>
      <c r="I106" s="2">
        <v>48520</v>
      </c>
      <c r="J106" s="2">
        <v>26806</v>
      </c>
      <c r="K106" s="2"/>
      <c r="L106" s="2">
        <v>103571</v>
      </c>
      <c r="O106" s="1">
        <v>41426</v>
      </c>
      <c r="P106">
        <v>48520</v>
      </c>
      <c r="R106">
        <v>26806</v>
      </c>
      <c r="S106">
        <v>28245</v>
      </c>
    </row>
    <row r="107" spans="1:19" x14ac:dyDescent="0.25">
      <c r="A107" s="6">
        <v>39934</v>
      </c>
      <c r="B107" s="5" t="s">
        <v>4</v>
      </c>
      <c r="C107" s="5">
        <v>108692</v>
      </c>
      <c r="F107" s="4">
        <v>41456</v>
      </c>
      <c r="G107" s="2"/>
      <c r="H107" s="2">
        <v>26789</v>
      </c>
      <c r="I107" s="2">
        <v>62247</v>
      </c>
      <c r="J107" s="2">
        <v>32722</v>
      </c>
      <c r="K107" s="2"/>
      <c r="L107" s="2">
        <v>121758</v>
      </c>
      <c r="O107" s="1">
        <v>41456</v>
      </c>
      <c r="P107">
        <v>62247</v>
      </c>
      <c r="R107">
        <v>32722</v>
      </c>
      <c r="S107">
        <v>26789</v>
      </c>
    </row>
    <row r="108" spans="1:19" x14ac:dyDescent="0.25">
      <c r="A108" s="6">
        <v>39965</v>
      </c>
      <c r="B108" s="5" t="s">
        <v>3</v>
      </c>
      <c r="C108" s="5">
        <v>80977</v>
      </c>
      <c r="F108" s="4">
        <v>41487</v>
      </c>
      <c r="G108" s="2"/>
      <c r="H108" s="2">
        <v>23013</v>
      </c>
      <c r="I108" s="2">
        <v>60521</v>
      </c>
      <c r="J108" s="2">
        <v>27485</v>
      </c>
      <c r="K108" s="2"/>
      <c r="L108" s="2">
        <v>111019</v>
      </c>
      <c r="O108" s="1">
        <v>41487</v>
      </c>
      <c r="P108">
        <v>60521</v>
      </c>
      <c r="R108">
        <v>27485</v>
      </c>
      <c r="S108">
        <v>23013</v>
      </c>
    </row>
    <row r="109" spans="1:19" x14ac:dyDescent="0.25">
      <c r="A109" s="6">
        <v>39965</v>
      </c>
      <c r="B109" s="5" t="s">
        <v>5</v>
      </c>
      <c r="C109" s="5">
        <v>10383</v>
      </c>
      <c r="F109" s="4">
        <v>41518</v>
      </c>
      <c r="G109" s="2"/>
      <c r="H109" s="2">
        <v>20542</v>
      </c>
      <c r="I109" s="2">
        <v>56084</v>
      </c>
      <c r="J109" s="2">
        <v>19112</v>
      </c>
      <c r="K109" s="2"/>
      <c r="L109" s="2">
        <v>95738</v>
      </c>
      <c r="O109" s="1">
        <v>41518</v>
      </c>
      <c r="P109">
        <v>56084</v>
      </c>
      <c r="R109">
        <v>19112</v>
      </c>
      <c r="S109">
        <v>20542</v>
      </c>
    </row>
    <row r="110" spans="1:19" x14ac:dyDescent="0.25">
      <c r="A110" s="6">
        <v>39965</v>
      </c>
      <c r="B110" s="5" t="s">
        <v>6</v>
      </c>
      <c r="C110" s="5">
        <v>94312</v>
      </c>
      <c r="F110" s="4">
        <v>41548</v>
      </c>
      <c r="G110" s="2"/>
      <c r="H110" s="2">
        <v>15993</v>
      </c>
      <c r="I110" s="2">
        <v>49158</v>
      </c>
      <c r="J110" s="2">
        <v>11604</v>
      </c>
      <c r="K110" s="2"/>
      <c r="L110" s="2">
        <v>76755</v>
      </c>
      <c r="O110" s="1">
        <v>41548</v>
      </c>
      <c r="P110">
        <v>49158</v>
      </c>
      <c r="R110">
        <v>11604</v>
      </c>
      <c r="S110">
        <v>15993</v>
      </c>
    </row>
    <row r="111" spans="1:19" x14ac:dyDescent="0.25">
      <c r="A111" s="6">
        <v>39995</v>
      </c>
      <c r="B111" s="5" t="s">
        <v>6</v>
      </c>
      <c r="C111" s="5">
        <v>90531</v>
      </c>
      <c r="F111" s="4">
        <v>41579</v>
      </c>
      <c r="G111" s="2"/>
      <c r="H111" s="2">
        <v>12082</v>
      </c>
      <c r="I111" s="2">
        <v>41648</v>
      </c>
      <c r="J111" s="2">
        <v>7900</v>
      </c>
      <c r="K111" s="2"/>
      <c r="L111" s="2">
        <v>61630</v>
      </c>
      <c r="O111" s="1">
        <v>41579</v>
      </c>
      <c r="P111">
        <v>41648</v>
      </c>
      <c r="R111">
        <v>7900</v>
      </c>
      <c r="S111">
        <v>12082</v>
      </c>
    </row>
    <row r="112" spans="1:19" x14ac:dyDescent="0.25">
      <c r="A112" s="6">
        <v>39995</v>
      </c>
      <c r="B112" s="5" t="s">
        <v>3</v>
      </c>
      <c r="C112" s="5">
        <v>82570</v>
      </c>
      <c r="F112" s="4">
        <v>41609</v>
      </c>
      <c r="G112" s="2"/>
      <c r="H112" s="2">
        <v>10922</v>
      </c>
      <c r="I112" s="2">
        <v>45669</v>
      </c>
      <c r="J112" s="2">
        <v>8033</v>
      </c>
      <c r="K112" s="2"/>
      <c r="L112" s="2">
        <v>64624</v>
      </c>
      <c r="O112" s="1">
        <v>41609</v>
      </c>
      <c r="P112">
        <v>45669</v>
      </c>
      <c r="R112">
        <v>8033</v>
      </c>
      <c r="S112">
        <v>10922</v>
      </c>
    </row>
    <row r="113" spans="1:20" x14ac:dyDescent="0.25">
      <c r="A113" s="6">
        <v>39995</v>
      </c>
      <c r="B113" s="5" t="s">
        <v>5</v>
      </c>
      <c r="C113" s="5">
        <v>16311</v>
      </c>
      <c r="F113" s="4">
        <v>41640</v>
      </c>
      <c r="G113" s="2"/>
      <c r="H113" s="2">
        <v>9752</v>
      </c>
      <c r="I113" s="2">
        <v>45743</v>
      </c>
      <c r="J113" s="2">
        <v>9674</v>
      </c>
      <c r="K113" s="2"/>
      <c r="L113" s="2">
        <v>65169</v>
      </c>
      <c r="O113" s="1">
        <v>41640</v>
      </c>
      <c r="P113">
        <v>45743</v>
      </c>
      <c r="R113">
        <v>9674</v>
      </c>
      <c r="S113">
        <v>9752</v>
      </c>
    </row>
    <row r="114" spans="1:20" x14ac:dyDescent="0.25">
      <c r="A114" s="6">
        <v>40026</v>
      </c>
      <c r="B114" s="5" t="s">
        <v>3</v>
      </c>
      <c r="C114" s="5">
        <v>89410</v>
      </c>
      <c r="F114" s="4">
        <v>41671</v>
      </c>
      <c r="G114" s="2"/>
      <c r="H114" s="2">
        <v>9671</v>
      </c>
      <c r="I114" s="2">
        <v>48084</v>
      </c>
      <c r="J114" s="2">
        <v>9770</v>
      </c>
      <c r="K114" s="2"/>
      <c r="L114" s="2">
        <v>67525</v>
      </c>
      <c r="O114" s="1">
        <v>41671</v>
      </c>
      <c r="P114">
        <v>48084</v>
      </c>
      <c r="R114">
        <v>9770</v>
      </c>
      <c r="S114">
        <v>9671</v>
      </c>
    </row>
    <row r="115" spans="1:20" x14ac:dyDescent="0.25">
      <c r="A115" s="6">
        <v>40026</v>
      </c>
      <c r="B115" s="5" t="s">
        <v>6</v>
      </c>
      <c r="C115" s="5">
        <v>71783</v>
      </c>
      <c r="F115" s="4">
        <v>41699</v>
      </c>
      <c r="G115" s="2"/>
      <c r="H115" s="2">
        <v>8095</v>
      </c>
      <c r="I115" s="2">
        <v>32181</v>
      </c>
      <c r="J115" s="2">
        <v>6582</v>
      </c>
      <c r="K115" s="2">
        <v>6</v>
      </c>
      <c r="L115" s="2">
        <v>46864</v>
      </c>
      <c r="O115" s="1">
        <v>41699</v>
      </c>
      <c r="P115">
        <v>32181</v>
      </c>
      <c r="R115">
        <v>6582</v>
      </c>
      <c r="S115">
        <v>8095</v>
      </c>
      <c r="T115">
        <v>6</v>
      </c>
    </row>
    <row r="116" spans="1:20" x14ac:dyDescent="0.25">
      <c r="A116" s="6">
        <v>40026</v>
      </c>
      <c r="B116" s="5" t="s">
        <v>5</v>
      </c>
      <c r="C116" s="5">
        <v>25480</v>
      </c>
      <c r="F116" s="4">
        <v>41730</v>
      </c>
      <c r="G116" s="2"/>
      <c r="H116" s="2"/>
      <c r="I116" s="2">
        <v>34463</v>
      </c>
      <c r="J116" s="2"/>
      <c r="K116" s="2">
        <v>12788</v>
      </c>
      <c r="L116" s="2">
        <v>47251</v>
      </c>
      <c r="O116" s="1">
        <v>41730</v>
      </c>
      <c r="P116">
        <v>34463</v>
      </c>
      <c r="T116">
        <v>12788</v>
      </c>
    </row>
    <row r="117" spans="1:20" x14ac:dyDescent="0.25">
      <c r="A117" s="6">
        <v>40057</v>
      </c>
      <c r="B117" s="5" t="s">
        <v>3</v>
      </c>
      <c r="C117" s="5">
        <v>83867</v>
      </c>
      <c r="F117" s="4">
        <v>41760</v>
      </c>
      <c r="G117" s="2"/>
      <c r="H117" s="2"/>
      <c r="I117" s="2">
        <v>46338</v>
      </c>
      <c r="J117" s="2"/>
      <c r="K117" s="2">
        <v>14986</v>
      </c>
      <c r="L117" s="2">
        <v>61324</v>
      </c>
      <c r="O117" s="1">
        <v>41760</v>
      </c>
      <c r="P117">
        <v>46338</v>
      </c>
      <c r="T117">
        <v>14986</v>
      </c>
    </row>
    <row r="118" spans="1:20" x14ac:dyDescent="0.25">
      <c r="A118" s="6">
        <v>40057</v>
      </c>
      <c r="B118" s="5" t="s">
        <v>6</v>
      </c>
      <c r="C118" s="5">
        <v>45076</v>
      </c>
      <c r="F118" s="4">
        <v>41791</v>
      </c>
      <c r="G118" s="2"/>
      <c r="H118" s="2"/>
      <c r="I118" s="2">
        <v>49506</v>
      </c>
      <c r="J118" s="2"/>
      <c r="K118" s="2">
        <v>14482</v>
      </c>
      <c r="L118" s="2">
        <v>63988</v>
      </c>
      <c r="O118" s="1">
        <v>41791</v>
      </c>
      <c r="P118">
        <v>49506</v>
      </c>
      <c r="T118">
        <v>14482</v>
      </c>
    </row>
    <row r="119" spans="1:20" x14ac:dyDescent="0.25">
      <c r="A119" s="6">
        <v>40057</v>
      </c>
      <c r="B119" s="5" t="s">
        <v>5</v>
      </c>
      <c r="C119" s="5">
        <v>22620</v>
      </c>
      <c r="F119" s="4">
        <v>41821</v>
      </c>
      <c r="G119" s="2"/>
      <c r="H119" s="2"/>
      <c r="I119" s="2">
        <v>55296</v>
      </c>
      <c r="J119" s="2"/>
      <c r="K119" s="2">
        <v>13324</v>
      </c>
      <c r="L119" s="2">
        <v>68620</v>
      </c>
      <c r="O119" s="1">
        <v>41821</v>
      </c>
      <c r="P119">
        <v>55296</v>
      </c>
      <c r="T119">
        <v>13324</v>
      </c>
    </row>
    <row r="120" spans="1:20" x14ac:dyDescent="0.25">
      <c r="A120" s="6">
        <v>40087</v>
      </c>
      <c r="B120" s="5" t="s">
        <v>3</v>
      </c>
      <c r="C120" s="5">
        <v>62931</v>
      </c>
      <c r="F120" s="4">
        <v>41852</v>
      </c>
      <c r="G120" s="2"/>
      <c r="H120" s="2"/>
      <c r="I120" s="2">
        <v>65987</v>
      </c>
      <c r="J120" s="2"/>
      <c r="K120" s="2">
        <v>15877</v>
      </c>
      <c r="L120" s="2">
        <v>81864</v>
      </c>
      <c r="O120" s="1">
        <v>41852</v>
      </c>
      <c r="P120">
        <v>65987</v>
      </c>
      <c r="T120">
        <v>15877</v>
      </c>
    </row>
    <row r="121" spans="1:20" x14ac:dyDescent="0.25">
      <c r="A121" s="6">
        <v>40087</v>
      </c>
      <c r="B121" s="5" t="s">
        <v>6</v>
      </c>
      <c r="C121" s="5">
        <v>24616</v>
      </c>
      <c r="F121" s="4">
        <v>41883</v>
      </c>
      <c r="G121" s="2"/>
      <c r="H121" s="2"/>
      <c r="I121" s="2">
        <v>67292</v>
      </c>
      <c r="J121" s="2"/>
      <c r="K121" s="2">
        <v>16493</v>
      </c>
      <c r="L121" s="2">
        <v>83785</v>
      </c>
      <c r="O121" s="1">
        <v>41883</v>
      </c>
      <c r="P121">
        <v>67292</v>
      </c>
      <c r="T121">
        <v>16493</v>
      </c>
    </row>
    <row r="122" spans="1:20" x14ac:dyDescent="0.25">
      <c r="A122" s="6">
        <v>40087</v>
      </c>
      <c r="B122" s="5" t="s">
        <v>5</v>
      </c>
      <c r="C122" s="5">
        <v>16406</v>
      </c>
      <c r="F122" s="4">
        <v>41913</v>
      </c>
      <c r="G122" s="2"/>
      <c r="H122" s="2"/>
      <c r="I122" s="2">
        <v>63700</v>
      </c>
      <c r="J122" s="2"/>
      <c r="K122" s="2">
        <v>16731</v>
      </c>
      <c r="L122" s="2">
        <v>80431</v>
      </c>
      <c r="O122" s="1">
        <v>41913</v>
      </c>
      <c r="P122">
        <v>63700</v>
      </c>
      <c r="T122">
        <v>16731</v>
      </c>
    </row>
    <row r="123" spans="1:20" x14ac:dyDescent="0.25">
      <c r="A123" s="6">
        <v>40118</v>
      </c>
      <c r="B123" s="5" t="s">
        <v>3</v>
      </c>
      <c r="C123" s="5">
        <v>58846</v>
      </c>
      <c r="F123" s="4">
        <v>41944</v>
      </c>
      <c r="G123" s="2"/>
      <c r="H123" s="2"/>
      <c r="I123" s="2">
        <v>59685</v>
      </c>
      <c r="J123" s="2"/>
      <c r="K123" s="2">
        <v>17725</v>
      </c>
      <c r="L123" s="2">
        <v>77410</v>
      </c>
      <c r="O123" s="1">
        <v>41944</v>
      </c>
      <c r="P123">
        <v>59685</v>
      </c>
      <c r="T123">
        <v>17725</v>
      </c>
    </row>
    <row r="124" spans="1:20" x14ac:dyDescent="0.25">
      <c r="A124" s="6">
        <v>40118</v>
      </c>
      <c r="B124" s="5" t="s">
        <v>6</v>
      </c>
      <c r="C124" s="5">
        <v>20958</v>
      </c>
      <c r="F124" s="4">
        <v>41974</v>
      </c>
      <c r="G124" s="2"/>
      <c r="H124" s="2"/>
      <c r="I124" s="2">
        <v>54342</v>
      </c>
      <c r="J124" s="2"/>
      <c r="K124" s="2">
        <v>18168</v>
      </c>
      <c r="L124" s="2">
        <v>72510</v>
      </c>
      <c r="O124" s="1">
        <v>41974</v>
      </c>
      <c r="P124">
        <v>54342</v>
      </c>
      <c r="T124">
        <v>18168</v>
      </c>
    </row>
    <row r="125" spans="1:20" x14ac:dyDescent="0.25">
      <c r="A125" s="6">
        <v>40118</v>
      </c>
      <c r="B125" s="5" t="s">
        <v>5</v>
      </c>
      <c r="C125" s="5">
        <v>13051</v>
      </c>
      <c r="F125" s="4">
        <v>42005</v>
      </c>
      <c r="G125" s="2"/>
      <c r="H125" s="2"/>
      <c r="I125" s="2">
        <v>47250</v>
      </c>
      <c r="J125" s="2"/>
      <c r="K125" s="2">
        <v>21476</v>
      </c>
      <c r="L125" s="2">
        <v>68726</v>
      </c>
      <c r="O125" s="1">
        <v>42005</v>
      </c>
      <c r="P125">
        <v>47250</v>
      </c>
      <c r="T125">
        <v>21476</v>
      </c>
    </row>
    <row r="126" spans="1:20" x14ac:dyDescent="0.25">
      <c r="A126" s="6">
        <v>40148</v>
      </c>
      <c r="B126" s="5" t="s">
        <v>3</v>
      </c>
      <c r="C126" s="5">
        <v>62802</v>
      </c>
      <c r="F126" s="4">
        <v>42036</v>
      </c>
      <c r="G126" s="2"/>
      <c r="H126" s="2"/>
      <c r="I126" s="2">
        <v>50078</v>
      </c>
      <c r="J126" s="2"/>
      <c r="K126" s="2">
        <v>20938</v>
      </c>
      <c r="L126" s="2">
        <v>71016</v>
      </c>
      <c r="O126" s="1">
        <v>42036</v>
      </c>
      <c r="P126">
        <v>50078</v>
      </c>
      <c r="T126">
        <v>20938</v>
      </c>
    </row>
    <row r="127" spans="1:20" x14ac:dyDescent="0.25">
      <c r="A127" s="6">
        <v>40148</v>
      </c>
      <c r="B127" s="5" t="s">
        <v>6</v>
      </c>
      <c r="C127" s="5">
        <v>26484</v>
      </c>
      <c r="F127" s="4">
        <v>42064</v>
      </c>
      <c r="G127" s="2"/>
      <c r="H127" s="2"/>
      <c r="I127" s="2">
        <v>39431</v>
      </c>
      <c r="J127" s="2"/>
      <c r="K127" s="2">
        <v>24131</v>
      </c>
      <c r="L127" s="2">
        <v>63562</v>
      </c>
      <c r="O127" s="1">
        <v>42064</v>
      </c>
      <c r="P127">
        <v>39431</v>
      </c>
      <c r="T127">
        <v>24131</v>
      </c>
    </row>
    <row r="128" spans="1:20" x14ac:dyDescent="0.25">
      <c r="A128" s="6">
        <v>40148</v>
      </c>
      <c r="B128" s="5" t="s">
        <v>5</v>
      </c>
      <c r="C128" s="5">
        <v>18179</v>
      </c>
      <c r="F128" s="4">
        <v>42095</v>
      </c>
      <c r="G128" s="2"/>
      <c r="H128" s="2"/>
      <c r="I128" s="2">
        <v>45767</v>
      </c>
      <c r="J128" s="2"/>
      <c r="K128" s="2">
        <v>35016</v>
      </c>
      <c r="L128" s="2">
        <v>80783</v>
      </c>
      <c r="O128" s="1">
        <v>42095</v>
      </c>
      <c r="P128">
        <v>45767</v>
      </c>
      <c r="T128">
        <v>35016</v>
      </c>
    </row>
    <row r="129" spans="1:20" x14ac:dyDescent="0.25">
      <c r="A129" s="6">
        <v>40179</v>
      </c>
      <c r="B129" s="5" t="s">
        <v>3</v>
      </c>
      <c r="C129" s="5">
        <v>60390</v>
      </c>
      <c r="F129" s="4">
        <v>42125</v>
      </c>
      <c r="G129" s="2"/>
      <c r="H129" s="2"/>
      <c r="I129" s="2">
        <v>63289</v>
      </c>
      <c r="J129" s="2"/>
      <c r="K129" s="2">
        <v>39618</v>
      </c>
      <c r="L129" s="2">
        <v>102907</v>
      </c>
      <c r="O129" s="1">
        <v>42125</v>
      </c>
      <c r="P129">
        <v>63289</v>
      </c>
      <c r="T129">
        <v>39618</v>
      </c>
    </row>
    <row r="130" spans="1:20" x14ac:dyDescent="0.25">
      <c r="A130" s="6">
        <v>40179</v>
      </c>
      <c r="B130" s="5" t="s">
        <v>6</v>
      </c>
      <c r="C130" s="5">
        <v>27562</v>
      </c>
      <c r="F130" s="4">
        <v>42156</v>
      </c>
      <c r="G130" s="2"/>
      <c r="H130" s="2"/>
      <c r="I130" s="2">
        <v>66830</v>
      </c>
      <c r="J130" s="2"/>
      <c r="K130" s="2">
        <v>30540</v>
      </c>
      <c r="L130" s="2">
        <v>97370</v>
      </c>
      <c r="O130" s="1">
        <v>42156</v>
      </c>
      <c r="P130">
        <v>66830</v>
      </c>
      <c r="T130">
        <v>30540</v>
      </c>
    </row>
    <row r="131" spans="1:20" x14ac:dyDescent="0.25">
      <c r="A131" s="6">
        <v>40179</v>
      </c>
      <c r="B131" s="5" t="s">
        <v>5</v>
      </c>
      <c r="C131" s="5">
        <v>23590</v>
      </c>
      <c r="F131" s="4">
        <v>42186</v>
      </c>
      <c r="G131" s="2"/>
      <c r="H131" s="2"/>
      <c r="I131" s="2">
        <v>70156</v>
      </c>
      <c r="J131" s="2"/>
      <c r="K131" s="2">
        <v>26241</v>
      </c>
      <c r="L131" s="2">
        <v>96397</v>
      </c>
      <c r="O131" s="1">
        <v>42186</v>
      </c>
      <c r="P131">
        <v>70156</v>
      </c>
      <c r="T131">
        <v>26241</v>
      </c>
    </row>
    <row r="132" spans="1:20" x14ac:dyDescent="0.25">
      <c r="A132" s="6">
        <v>40210</v>
      </c>
      <c r="B132" s="5" t="s">
        <v>3</v>
      </c>
      <c r="C132" s="5">
        <v>54738</v>
      </c>
      <c r="F132" s="4">
        <v>42217</v>
      </c>
      <c r="G132" s="2"/>
      <c r="H132" s="2"/>
      <c r="I132" s="2">
        <v>73092</v>
      </c>
      <c r="J132" s="2"/>
      <c r="K132" s="2">
        <v>21405</v>
      </c>
      <c r="L132" s="2">
        <v>94497</v>
      </c>
      <c r="O132" s="1">
        <v>42217</v>
      </c>
      <c r="P132">
        <v>73092</v>
      </c>
      <c r="T132">
        <v>21405</v>
      </c>
    </row>
    <row r="133" spans="1:20" x14ac:dyDescent="0.25">
      <c r="A133" s="6">
        <v>40210</v>
      </c>
      <c r="B133" s="5" t="s">
        <v>6</v>
      </c>
      <c r="C133" s="5">
        <v>29806</v>
      </c>
      <c r="F133" s="4">
        <v>42248</v>
      </c>
      <c r="G133" s="2"/>
      <c r="H133" s="2"/>
      <c r="I133" s="2">
        <v>71669</v>
      </c>
      <c r="J133" s="2"/>
      <c r="K133" s="2">
        <v>17182</v>
      </c>
      <c r="L133" s="2">
        <v>88851</v>
      </c>
      <c r="O133" s="1">
        <v>42248</v>
      </c>
      <c r="P133">
        <v>71669</v>
      </c>
      <c r="T133">
        <v>17182</v>
      </c>
    </row>
    <row r="134" spans="1:20" x14ac:dyDescent="0.25">
      <c r="A134" s="6">
        <v>40210</v>
      </c>
      <c r="B134" s="5" t="s">
        <v>5</v>
      </c>
      <c r="C134" s="5">
        <v>26564</v>
      </c>
      <c r="F134" s="4">
        <v>42278</v>
      </c>
      <c r="G134" s="2"/>
      <c r="H134" s="2"/>
      <c r="I134" s="2">
        <v>69113</v>
      </c>
      <c r="J134" s="2"/>
      <c r="K134" s="2">
        <v>16547</v>
      </c>
      <c r="L134" s="2">
        <v>85660</v>
      </c>
      <c r="O134" s="1">
        <v>42278</v>
      </c>
      <c r="P134">
        <v>69113</v>
      </c>
      <c r="T134">
        <v>16547</v>
      </c>
    </row>
    <row r="135" spans="1:20" x14ac:dyDescent="0.25">
      <c r="A135" s="6">
        <v>40238</v>
      </c>
      <c r="B135" s="5" t="s">
        <v>3</v>
      </c>
      <c r="C135" s="5">
        <v>43730</v>
      </c>
      <c r="F135" s="4">
        <v>42309</v>
      </c>
      <c r="G135" s="2"/>
      <c r="H135" s="2"/>
      <c r="I135" s="2">
        <v>65422</v>
      </c>
      <c r="J135" s="2"/>
      <c r="K135" s="2">
        <v>17651</v>
      </c>
      <c r="L135" s="2">
        <v>83073</v>
      </c>
      <c r="O135" s="1">
        <v>42309</v>
      </c>
      <c r="P135">
        <v>65422</v>
      </c>
      <c r="T135">
        <v>17651</v>
      </c>
    </row>
    <row r="136" spans="1:20" x14ac:dyDescent="0.25">
      <c r="A136" s="6">
        <v>40238</v>
      </c>
      <c r="B136" s="5" t="s">
        <v>6</v>
      </c>
      <c r="C136" s="5">
        <v>25134</v>
      </c>
      <c r="F136" s="4">
        <v>42339</v>
      </c>
      <c r="G136" s="2"/>
      <c r="H136" s="2"/>
      <c r="I136" s="2">
        <v>62442</v>
      </c>
      <c r="J136" s="2"/>
      <c r="K136" s="2">
        <v>18707</v>
      </c>
      <c r="L136" s="2">
        <v>81149</v>
      </c>
      <c r="O136" s="1">
        <v>42339</v>
      </c>
      <c r="P136">
        <v>62442</v>
      </c>
      <c r="T136">
        <v>18707</v>
      </c>
    </row>
    <row r="137" spans="1:20" x14ac:dyDescent="0.25">
      <c r="A137" s="6">
        <v>40238</v>
      </c>
      <c r="B137" s="5" t="s">
        <v>5</v>
      </c>
      <c r="C137" s="5">
        <v>24648</v>
      </c>
      <c r="F137" s="4">
        <v>42370</v>
      </c>
      <c r="G137" s="2"/>
      <c r="H137" s="2"/>
      <c r="I137" s="2">
        <v>48675</v>
      </c>
      <c r="J137" s="2"/>
      <c r="K137" s="2">
        <v>16500</v>
      </c>
      <c r="L137" s="2">
        <v>65175</v>
      </c>
      <c r="O137" s="1">
        <v>42370</v>
      </c>
      <c r="P137">
        <v>48675</v>
      </c>
      <c r="T137">
        <v>16500</v>
      </c>
    </row>
    <row r="138" spans="1:20" x14ac:dyDescent="0.25">
      <c r="A138" s="6">
        <v>40269</v>
      </c>
      <c r="B138" s="5" t="s">
        <v>3</v>
      </c>
      <c r="C138" s="5">
        <v>42612</v>
      </c>
      <c r="F138" s="4">
        <v>42401</v>
      </c>
      <c r="G138" s="2"/>
      <c r="H138" s="2"/>
      <c r="I138" s="2">
        <v>31604</v>
      </c>
      <c r="J138" s="2"/>
      <c r="K138" s="2">
        <v>9715</v>
      </c>
      <c r="L138" s="2">
        <v>41319</v>
      </c>
    </row>
    <row r="139" spans="1:20" x14ac:dyDescent="0.25">
      <c r="A139" s="6">
        <v>40269</v>
      </c>
      <c r="B139" s="5" t="s">
        <v>6</v>
      </c>
      <c r="C139" s="5">
        <v>17800</v>
      </c>
      <c r="F139" s="4">
        <v>42430</v>
      </c>
      <c r="G139" s="2"/>
      <c r="H139" s="2"/>
      <c r="I139" s="2">
        <v>1561</v>
      </c>
      <c r="J139" s="2"/>
      <c r="K139" s="2">
        <v>669</v>
      </c>
      <c r="L139" s="2">
        <v>2230</v>
      </c>
    </row>
    <row r="140" spans="1:20" x14ac:dyDescent="0.25">
      <c r="A140" s="6">
        <v>40269</v>
      </c>
      <c r="B140" s="5" t="s">
        <v>5</v>
      </c>
      <c r="C140" s="5">
        <v>17440</v>
      </c>
      <c r="F140" s="4" t="s">
        <v>10</v>
      </c>
      <c r="G140" s="2">
        <v>1054171</v>
      </c>
      <c r="H140" s="2">
        <v>1270061</v>
      </c>
      <c r="I140" s="2">
        <v>7720665</v>
      </c>
      <c r="J140" s="2">
        <v>1512868</v>
      </c>
      <c r="K140" s="2">
        <v>456916</v>
      </c>
      <c r="L140" s="2">
        <v>12014681</v>
      </c>
    </row>
    <row r="141" spans="1:20" x14ac:dyDescent="0.25">
      <c r="A141" s="6">
        <v>40299</v>
      </c>
      <c r="B141" s="5" t="s">
        <v>3</v>
      </c>
      <c r="C141" s="5">
        <v>46376</v>
      </c>
    </row>
    <row r="142" spans="1:20" x14ac:dyDescent="0.25">
      <c r="A142" s="6">
        <v>40299</v>
      </c>
      <c r="B142" s="5" t="s">
        <v>6</v>
      </c>
      <c r="C142" s="5">
        <v>16829</v>
      </c>
    </row>
    <row r="143" spans="1:20" x14ac:dyDescent="0.25">
      <c r="A143" s="6">
        <v>40299</v>
      </c>
      <c r="B143" s="5" t="s">
        <v>5</v>
      </c>
      <c r="C143" s="5">
        <v>21045</v>
      </c>
    </row>
    <row r="144" spans="1:20" x14ac:dyDescent="0.25">
      <c r="A144" s="6">
        <v>40330</v>
      </c>
      <c r="B144" s="5" t="s">
        <v>3</v>
      </c>
      <c r="C144" s="5">
        <v>49599</v>
      </c>
    </row>
    <row r="145" spans="1:3" x14ac:dyDescent="0.25">
      <c r="A145" s="6">
        <v>40330</v>
      </c>
      <c r="B145" s="5" t="s">
        <v>6</v>
      </c>
      <c r="C145" s="5">
        <v>14699</v>
      </c>
    </row>
    <row r="146" spans="1:3" x14ac:dyDescent="0.25">
      <c r="A146" s="6">
        <v>40330</v>
      </c>
      <c r="B146" s="5" t="s">
        <v>5</v>
      </c>
      <c r="C146" s="5">
        <v>19445</v>
      </c>
    </row>
    <row r="147" spans="1:3" x14ac:dyDescent="0.25">
      <c r="A147" s="6">
        <v>40360</v>
      </c>
      <c r="B147" s="5" t="s">
        <v>3</v>
      </c>
      <c r="C147" s="5">
        <v>51493</v>
      </c>
    </row>
    <row r="148" spans="1:3" x14ac:dyDescent="0.25">
      <c r="A148" s="6">
        <v>40360</v>
      </c>
      <c r="B148" s="5" t="s">
        <v>6</v>
      </c>
      <c r="C148" s="5">
        <v>11907</v>
      </c>
    </row>
    <row r="149" spans="1:3" x14ac:dyDescent="0.25">
      <c r="A149" s="6">
        <v>40360</v>
      </c>
      <c r="B149" s="5" t="s">
        <v>5</v>
      </c>
      <c r="C149" s="5">
        <v>15205</v>
      </c>
    </row>
    <row r="150" spans="1:3" x14ac:dyDescent="0.25">
      <c r="A150" s="6">
        <v>40391</v>
      </c>
      <c r="B150" s="5" t="s">
        <v>3</v>
      </c>
      <c r="C150" s="5">
        <v>55048</v>
      </c>
    </row>
    <row r="151" spans="1:3" x14ac:dyDescent="0.25">
      <c r="A151" s="6">
        <v>40391</v>
      </c>
      <c r="B151" s="5" t="s">
        <v>6</v>
      </c>
      <c r="C151" s="5">
        <v>16456</v>
      </c>
    </row>
    <row r="152" spans="1:3" x14ac:dyDescent="0.25">
      <c r="A152" s="6">
        <v>40391</v>
      </c>
      <c r="B152" s="5" t="s">
        <v>5</v>
      </c>
      <c r="C152" s="5">
        <v>21345</v>
      </c>
    </row>
    <row r="153" spans="1:3" x14ac:dyDescent="0.25">
      <c r="A153" s="6">
        <v>40422</v>
      </c>
      <c r="B153" s="5" t="s">
        <v>3</v>
      </c>
      <c r="C153" s="5">
        <v>40328</v>
      </c>
    </row>
    <row r="154" spans="1:3" x14ac:dyDescent="0.25">
      <c r="A154" s="6">
        <v>40422</v>
      </c>
      <c r="B154" s="5" t="s">
        <v>6</v>
      </c>
      <c r="C154" s="5">
        <v>22322</v>
      </c>
    </row>
    <row r="155" spans="1:3" x14ac:dyDescent="0.25">
      <c r="A155" s="6">
        <v>40422</v>
      </c>
      <c r="B155" s="5" t="s">
        <v>5</v>
      </c>
      <c r="C155" s="5">
        <v>28168</v>
      </c>
    </row>
    <row r="156" spans="1:3" x14ac:dyDescent="0.25">
      <c r="A156" s="6">
        <v>40452</v>
      </c>
      <c r="B156" s="5" t="s">
        <v>6</v>
      </c>
      <c r="C156" s="5">
        <v>30002</v>
      </c>
    </row>
    <row r="157" spans="1:3" x14ac:dyDescent="0.25">
      <c r="A157" s="6">
        <v>40452</v>
      </c>
      <c r="B157" s="5" t="s">
        <v>3</v>
      </c>
      <c r="C157" s="5">
        <v>41549</v>
      </c>
    </row>
    <row r="158" spans="1:3" x14ac:dyDescent="0.25">
      <c r="A158" s="6">
        <v>40452</v>
      </c>
      <c r="B158" s="5" t="s">
        <v>5</v>
      </c>
      <c r="C158" s="5">
        <v>33340</v>
      </c>
    </row>
    <row r="159" spans="1:3" x14ac:dyDescent="0.25">
      <c r="A159" s="6">
        <v>40483</v>
      </c>
      <c r="B159" s="5" t="s">
        <v>5</v>
      </c>
      <c r="C159" s="5">
        <v>38106</v>
      </c>
    </row>
    <row r="160" spans="1:3" x14ac:dyDescent="0.25">
      <c r="A160" s="6">
        <v>40483</v>
      </c>
      <c r="B160" s="5" t="s">
        <v>6</v>
      </c>
      <c r="C160" s="5">
        <v>30869</v>
      </c>
    </row>
    <row r="161" spans="1:3" x14ac:dyDescent="0.25">
      <c r="A161" s="6">
        <v>40483</v>
      </c>
      <c r="B161" s="5" t="s">
        <v>3</v>
      </c>
      <c r="C161" s="5">
        <v>37451</v>
      </c>
    </row>
    <row r="162" spans="1:3" x14ac:dyDescent="0.25">
      <c r="A162" s="6">
        <v>40513</v>
      </c>
      <c r="B162" s="5" t="s">
        <v>6</v>
      </c>
      <c r="C162" s="5">
        <v>34888</v>
      </c>
    </row>
    <row r="163" spans="1:3" x14ac:dyDescent="0.25">
      <c r="A163" s="6">
        <v>40513</v>
      </c>
      <c r="B163" s="5" t="s">
        <v>5</v>
      </c>
      <c r="C163" s="5">
        <v>43237</v>
      </c>
    </row>
    <row r="164" spans="1:3" x14ac:dyDescent="0.25">
      <c r="A164" s="6">
        <v>40513</v>
      </c>
      <c r="B164" s="5" t="s">
        <v>3</v>
      </c>
      <c r="C164" s="5">
        <v>38965</v>
      </c>
    </row>
    <row r="165" spans="1:3" x14ac:dyDescent="0.25">
      <c r="A165" s="6">
        <v>40544</v>
      </c>
      <c r="B165" s="5" t="s">
        <v>5</v>
      </c>
      <c r="C165" s="5">
        <v>44477</v>
      </c>
    </row>
    <row r="166" spans="1:3" x14ac:dyDescent="0.25">
      <c r="A166" s="6">
        <v>40544</v>
      </c>
      <c r="B166" s="5" t="s">
        <v>6</v>
      </c>
      <c r="C166" s="5">
        <v>33215</v>
      </c>
    </row>
    <row r="167" spans="1:3" x14ac:dyDescent="0.25">
      <c r="A167" s="6">
        <v>40544</v>
      </c>
      <c r="B167" s="5" t="s">
        <v>3</v>
      </c>
      <c r="C167" s="5">
        <v>36931</v>
      </c>
    </row>
    <row r="168" spans="1:3" x14ac:dyDescent="0.25">
      <c r="A168" s="6">
        <v>40575</v>
      </c>
      <c r="B168" s="5" t="s">
        <v>3</v>
      </c>
      <c r="C168" s="5">
        <v>41383</v>
      </c>
    </row>
    <row r="169" spans="1:3" x14ac:dyDescent="0.25">
      <c r="A169" s="6">
        <v>40575</v>
      </c>
      <c r="B169" s="5" t="s">
        <v>6</v>
      </c>
      <c r="C169" s="5">
        <v>30768</v>
      </c>
    </row>
    <row r="170" spans="1:3" x14ac:dyDescent="0.25">
      <c r="A170" s="6">
        <v>40575</v>
      </c>
      <c r="B170" s="5" t="s">
        <v>5</v>
      </c>
      <c r="C170" s="5">
        <v>37323</v>
      </c>
    </row>
    <row r="171" spans="1:3" x14ac:dyDescent="0.25">
      <c r="A171" s="6">
        <v>40603</v>
      </c>
      <c r="B171" s="5" t="s">
        <v>3</v>
      </c>
      <c r="C171" s="5">
        <v>32412</v>
      </c>
    </row>
    <row r="172" spans="1:3" x14ac:dyDescent="0.25">
      <c r="A172" s="6">
        <v>40603</v>
      </c>
      <c r="B172" s="5" t="s">
        <v>5</v>
      </c>
      <c r="C172" s="5">
        <v>32289</v>
      </c>
    </row>
    <row r="173" spans="1:3" x14ac:dyDescent="0.25">
      <c r="A173" s="6">
        <v>40603</v>
      </c>
      <c r="B173" s="5" t="s">
        <v>6</v>
      </c>
      <c r="C173" s="5">
        <v>20081</v>
      </c>
    </row>
    <row r="174" spans="1:3" x14ac:dyDescent="0.25">
      <c r="A174" s="6">
        <v>40634</v>
      </c>
      <c r="B174" s="5" t="s">
        <v>6</v>
      </c>
      <c r="C174" s="5">
        <v>10793</v>
      </c>
    </row>
    <row r="175" spans="1:3" x14ac:dyDescent="0.25">
      <c r="A175" s="6">
        <v>40634</v>
      </c>
      <c r="B175" s="5" t="s">
        <v>3</v>
      </c>
      <c r="C175" s="5">
        <v>22609</v>
      </c>
    </row>
    <row r="176" spans="1:3" x14ac:dyDescent="0.25">
      <c r="A176" s="6">
        <v>40634</v>
      </c>
      <c r="B176" s="5" t="s">
        <v>5</v>
      </c>
      <c r="C176" s="5">
        <v>21224</v>
      </c>
    </row>
    <row r="177" spans="1:3" x14ac:dyDescent="0.25">
      <c r="A177" s="6">
        <v>40664</v>
      </c>
      <c r="B177" s="5" t="s">
        <v>5</v>
      </c>
      <c r="C177" s="5">
        <v>14491</v>
      </c>
    </row>
    <row r="178" spans="1:3" x14ac:dyDescent="0.25">
      <c r="A178" s="6">
        <v>40664</v>
      </c>
      <c r="B178" s="5" t="s">
        <v>6</v>
      </c>
      <c r="C178" s="5">
        <v>9553</v>
      </c>
    </row>
    <row r="179" spans="1:3" x14ac:dyDescent="0.25">
      <c r="A179" s="6">
        <v>40664</v>
      </c>
      <c r="B179" s="5" t="s">
        <v>3</v>
      </c>
      <c r="C179" s="5">
        <v>29812</v>
      </c>
    </row>
    <row r="180" spans="1:3" x14ac:dyDescent="0.25">
      <c r="A180" s="6">
        <v>40695</v>
      </c>
      <c r="B180" s="5" t="s">
        <v>5</v>
      </c>
      <c r="C180" s="5">
        <v>13261</v>
      </c>
    </row>
    <row r="181" spans="1:3" x14ac:dyDescent="0.25">
      <c r="A181" s="6">
        <v>40695</v>
      </c>
      <c r="B181" s="5" t="s">
        <v>6</v>
      </c>
      <c r="C181" s="5">
        <v>7592</v>
      </c>
    </row>
    <row r="182" spans="1:3" x14ac:dyDescent="0.25">
      <c r="A182" s="6">
        <v>40695</v>
      </c>
      <c r="B182" s="5" t="s">
        <v>3</v>
      </c>
      <c r="C182" s="5">
        <v>30453</v>
      </c>
    </row>
    <row r="183" spans="1:3" x14ac:dyDescent="0.25">
      <c r="A183" s="6">
        <v>40725</v>
      </c>
      <c r="B183" s="5" t="s">
        <v>3</v>
      </c>
      <c r="C183" s="5">
        <v>31434</v>
      </c>
    </row>
    <row r="184" spans="1:3" x14ac:dyDescent="0.25">
      <c r="A184" s="6">
        <v>40725</v>
      </c>
      <c r="B184" s="5" t="s">
        <v>5</v>
      </c>
      <c r="C184" s="5">
        <v>11117</v>
      </c>
    </row>
    <row r="185" spans="1:3" x14ac:dyDescent="0.25">
      <c r="A185" s="6">
        <v>40725</v>
      </c>
      <c r="B185" s="5" t="s">
        <v>6</v>
      </c>
      <c r="C185" s="5">
        <v>6380</v>
      </c>
    </row>
    <row r="186" spans="1:3" x14ac:dyDescent="0.25">
      <c r="A186" s="6">
        <v>40756</v>
      </c>
      <c r="B186" s="5" t="s">
        <v>5</v>
      </c>
      <c r="C186" s="5">
        <v>12492</v>
      </c>
    </row>
    <row r="187" spans="1:3" x14ac:dyDescent="0.25">
      <c r="A187" s="6">
        <v>40756</v>
      </c>
      <c r="B187" s="5" t="s">
        <v>6</v>
      </c>
      <c r="C187" s="5">
        <v>8952</v>
      </c>
    </row>
    <row r="188" spans="1:3" x14ac:dyDescent="0.25">
      <c r="A188" s="6">
        <v>40756</v>
      </c>
      <c r="B188" s="5" t="s">
        <v>3</v>
      </c>
      <c r="C188" s="5">
        <v>41640</v>
      </c>
    </row>
    <row r="189" spans="1:3" x14ac:dyDescent="0.25">
      <c r="A189" s="6">
        <v>40787</v>
      </c>
      <c r="B189" s="5" t="s">
        <v>3</v>
      </c>
      <c r="C189" s="5">
        <v>37088</v>
      </c>
    </row>
    <row r="190" spans="1:3" x14ac:dyDescent="0.25">
      <c r="A190" s="6">
        <v>40787</v>
      </c>
      <c r="B190" s="5" t="s">
        <v>6</v>
      </c>
      <c r="C190" s="5">
        <v>9875</v>
      </c>
    </row>
    <row r="191" spans="1:3" x14ac:dyDescent="0.25">
      <c r="A191" s="6">
        <v>40787</v>
      </c>
      <c r="B191" s="5" t="s">
        <v>5</v>
      </c>
      <c r="C191" s="5">
        <v>14123</v>
      </c>
    </row>
    <row r="192" spans="1:3" x14ac:dyDescent="0.25">
      <c r="A192" s="6">
        <v>40817</v>
      </c>
      <c r="B192" s="5" t="s">
        <v>3</v>
      </c>
      <c r="C192" s="5">
        <v>36313</v>
      </c>
    </row>
    <row r="193" spans="1:3" x14ac:dyDescent="0.25">
      <c r="A193" s="6">
        <v>40817</v>
      </c>
      <c r="B193" s="5" t="s">
        <v>6</v>
      </c>
      <c r="C193" s="5">
        <v>11433</v>
      </c>
    </row>
    <row r="194" spans="1:3" x14ac:dyDescent="0.25">
      <c r="A194" s="6">
        <v>40817</v>
      </c>
      <c r="B194" s="5" t="s">
        <v>5</v>
      </c>
      <c r="C194" s="5">
        <v>14085</v>
      </c>
    </row>
    <row r="195" spans="1:3" x14ac:dyDescent="0.25">
      <c r="A195" s="6">
        <v>40848</v>
      </c>
      <c r="B195" s="5" t="s">
        <v>3</v>
      </c>
      <c r="C195" s="5">
        <v>32247</v>
      </c>
    </row>
    <row r="196" spans="1:3" x14ac:dyDescent="0.25">
      <c r="A196" s="6">
        <v>40848</v>
      </c>
      <c r="B196" s="5" t="s">
        <v>6</v>
      </c>
      <c r="C196" s="5">
        <v>22206</v>
      </c>
    </row>
    <row r="197" spans="1:3" x14ac:dyDescent="0.25">
      <c r="A197" s="6">
        <v>40848</v>
      </c>
      <c r="B197" s="5" t="s">
        <v>5</v>
      </c>
      <c r="C197" s="5">
        <v>17552</v>
      </c>
    </row>
    <row r="198" spans="1:3" x14ac:dyDescent="0.25">
      <c r="A198" s="6">
        <v>40878</v>
      </c>
      <c r="B198" s="5" t="s">
        <v>3</v>
      </c>
      <c r="C198" s="5">
        <v>24463</v>
      </c>
    </row>
    <row r="199" spans="1:3" x14ac:dyDescent="0.25">
      <c r="A199" s="6">
        <v>40878</v>
      </c>
      <c r="B199" s="5" t="s">
        <v>6</v>
      </c>
      <c r="C199" s="5">
        <v>21822</v>
      </c>
    </row>
    <row r="200" spans="1:3" x14ac:dyDescent="0.25">
      <c r="A200" s="6">
        <v>40878</v>
      </c>
      <c r="B200" s="5" t="s">
        <v>5</v>
      </c>
      <c r="C200" s="5">
        <v>20154</v>
      </c>
    </row>
    <row r="201" spans="1:3" x14ac:dyDescent="0.25">
      <c r="A201" s="6">
        <v>40909</v>
      </c>
      <c r="B201" s="5" t="s">
        <v>3</v>
      </c>
      <c r="C201" s="5">
        <v>25528</v>
      </c>
    </row>
    <row r="202" spans="1:3" x14ac:dyDescent="0.25">
      <c r="A202" s="6">
        <v>40909</v>
      </c>
      <c r="B202" s="5" t="s">
        <v>6</v>
      </c>
      <c r="C202" s="5">
        <v>22762</v>
      </c>
    </row>
    <row r="203" spans="1:3" x14ac:dyDescent="0.25">
      <c r="A203" s="6">
        <v>40909</v>
      </c>
      <c r="B203" s="5" t="s">
        <v>5</v>
      </c>
      <c r="C203" s="5">
        <v>21858</v>
      </c>
    </row>
    <row r="204" spans="1:3" x14ac:dyDescent="0.25">
      <c r="A204" s="6">
        <v>40940</v>
      </c>
      <c r="B204" s="5" t="s">
        <v>3</v>
      </c>
      <c r="C204" s="5">
        <v>30766</v>
      </c>
    </row>
    <row r="205" spans="1:3" x14ac:dyDescent="0.25">
      <c r="A205" s="6">
        <v>40940</v>
      </c>
      <c r="B205" s="5" t="s">
        <v>6</v>
      </c>
      <c r="C205" s="5">
        <v>25465</v>
      </c>
    </row>
    <row r="206" spans="1:3" x14ac:dyDescent="0.25">
      <c r="A206" s="6">
        <v>40940</v>
      </c>
      <c r="B206" s="5" t="s">
        <v>5</v>
      </c>
      <c r="C206" s="5">
        <v>18923</v>
      </c>
    </row>
    <row r="207" spans="1:3" x14ac:dyDescent="0.25">
      <c r="A207" s="6">
        <v>40969</v>
      </c>
      <c r="B207" s="5" t="s">
        <v>3</v>
      </c>
      <c r="C207" s="5">
        <v>21030</v>
      </c>
    </row>
    <row r="208" spans="1:3" x14ac:dyDescent="0.25">
      <c r="A208" s="6">
        <v>40969</v>
      </c>
      <c r="B208" s="5" t="s">
        <v>6</v>
      </c>
      <c r="C208" s="5">
        <v>22392</v>
      </c>
    </row>
    <row r="209" spans="1:3" x14ac:dyDescent="0.25">
      <c r="A209" s="6">
        <v>40969</v>
      </c>
      <c r="B209" s="5" t="s">
        <v>5</v>
      </c>
      <c r="C209" s="5">
        <v>20650</v>
      </c>
    </row>
    <row r="210" spans="1:3" x14ac:dyDescent="0.25">
      <c r="A210" s="6">
        <v>41000</v>
      </c>
      <c r="B210" s="5" t="s">
        <v>3</v>
      </c>
      <c r="C210" s="5">
        <v>20238</v>
      </c>
    </row>
    <row r="211" spans="1:3" x14ac:dyDescent="0.25">
      <c r="A211" s="6">
        <v>41000</v>
      </c>
      <c r="B211" s="5" t="s">
        <v>6</v>
      </c>
      <c r="C211" s="5">
        <v>22169</v>
      </c>
    </row>
    <row r="212" spans="1:3" x14ac:dyDescent="0.25">
      <c r="A212" s="6">
        <v>41000</v>
      </c>
      <c r="B212" s="5" t="s">
        <v>5</v>
      </c>
      <c r="C212" s="5">
        <v>23750</v>
      </c>
    </row>
    <row r="213" spans="1:3" x14ac:dyDescent="0.25">
      <c r="A213" s="6">
        <v>41030</v>
      </c>
      <c r="B213" s="5" t="s">
        <v>3</v>
      </c>
      <c r="C213" s="5">
        <v>24409</v>
      </c>
    </row>
    <row r="214" spans="1:3" x14ac:dyDescent="0.25">
      <c r="A214" s="6">
        <v>41030</v>
      </c>
      <c r="B214" s="5" t="s">
        <v>5</v>
      </c>
      <c r="C214" s="5">
        <v>22147</v>
      </c>
    </row>
    <row r="215" spans="1:3" x14ac:dyDescent="0.25">
      <c r="A215" s="6">
        <v>41030</v>
      </c>
      <c r="B215" s="5" t="s">
        <v>6</v>
      </c>
      <c r="C215" s="5">
        <v>21904</v>
      </c>
    </row>
    <row r="216" spans="1:3" x14ac:dyDescent="0.25">
      <c r="A216" s="6">
        <v>41061</v>
      </c>
      <c r="B216" s="5" t="s">
        <v>5</v>
      </c>
      <c r="C216" s="5">
        <v>20132</v>
      </c>
    </row>
    <row r="217" spans="1:3" x14ac:dyDescent="0.25">
      <c r="A217" s="6">
        <v>41061</v>
      </c>
      <c r="B217" s="5" t="s">
        <v>6</v>
      </c>
      <c r="C217" s="5">
        <v>18591</v>
      </c>
    </row>
    <row r="218" spans="1:3" x14ac:dyDescent="0.25">
      <c r="A218" s="6">
        <v>41061</v>
      </c>
      <c r="B218" s="5" t="s">
        <v>3</v>
      </c>
      <c r="C218" s="5">
        <v>32503</v>
      </c>
    </row>
    <row r="219" spans="1:3" x14ac:dyDescent="0.25">
      <c r="A219" s="6">
        <v>41091</v>
      </c>
      <c r="B219" s="5" t="s">
        <v>3</v>
      </c>
      <c r="C219" s="5">
        <v>40917</v>
      </c>
    </row>
    <row r="220" spans="1:3" x14ac:dyDescent="0.25">
      <c r="A220" s="6">
        <v>41091</v>
      </c>
      <c r="B220" s="5" t="s">
        <v>6</v>
      </c>
      <c r="C220" s="5">
        <v>20169</v>
      </c>
    </row>
    <row r="221" spans="1:3" x14ac:dyDescent="0.25">
      <c r="A221" s="6">
        <v>41091</v>
      </c>
      <c r="B221" s="5" t="s">
        <v>5</v>
      </c>
      <c r="C221" s="5">
        <v>20818</v>
      </c>
    </row>
    <row r="222" spans="1:3" x14ac:dyDescent="0.25">
      <c r="A222" s="6">
        <v>41122</v>
      </c>
      <c r="B222" s="5" t="s">
        <v>3</v>
      </c>
      <c r="C222" s="5">
        <v>40189</v>
      </c>
    </row>
    <row r="223" spans="1:3" x14ac:dyDescent="0.25">
      <c r="A223" s="6">
        <v>41122</v>
      </c>
      <c r="B223" s="5" t="s">
        <v>6</v>
      </c>
      <c r="C223" s="5">
        <v>20467</v>
      </c>
    </row>
    <row r="224" spans="1:3" x14ac:dyDescent="0.25">
      <c r="A224" s="6">
        <v>41122</v>
      </c>
      <c r="B224" s="5" t="s">
        <v>5</v>
      </c>
      <c r="C224" s="5">
        <v>21157</v>
      </c>
    </row>
    <row r="225" spans="1:3" x14ac:dyDescent="0.25">
      <c r="A225" s="6">
        <v>41153</v>
      </c>
      <c r="B225" s="5" t="s">
        <v>3</v>
      </c>
      <c r="C225" s="5">
        <v>43003</v>
      </c>
    </row>
    <row r="226" spans="1:3" x14ac:dyDescent="0.25">
      <c r="A226" s="6">
        <v>41153</v>
      </c>
      <c r="B226" s="5" t="s">
        <v>6</v>
      </c>
      <c r="C226" s="5">
        <v>25359</v>
      </c>
    </row>
    <row r="227" spans="1:3" x14ac:dyDescent="0.25">
      <c r="A227" s="6">
        <v>41153</v>
      </c>
      <c r="B227" s="5" t="s">
        <v>5</v>
      </c>
      <c r="C227" s="5">
        <v>23362</v>
      </c>
    </row>
    <row r="228" spans="1:3" x14ac:dyDescent="0.25">
      <c r="A228" s="6">
        <v>41183</v>
      </c>
      <c r="B228" s="5" t="s">
        <v>3</v>
      </c>
      <c r="C228" s="5">
        <v>47014</v>
      </c>
    </row>
    <row r="229" spans="1:3" x14ac:dyDescent="0.25">
      <c r="A229" s="6">
        <v>41183</v>
      </c>
      <c r="B229" s="5" t="s">
        <v>6</v>
      </c>
      <c r="C229" s="5">
        <v>33904</v>
      </c>
    </row>
    <row r="230" spans="1:3" x14ac:dyDescent="0.25">
      <c r="A230" s="6">
        <v>41183</v>
      </c>
      <c r="B230" s="5" t="s">
        <v>5</v>
      </c>
      <c r="C230" s="5">
        <v>24936</v>
      </c>
    </row>
    <row r="231" spans="1:3" x14ac:dyDescent="0.25">
      <c r="A231" s="6">
        <v>41214</v>
      </c>
      <c r="B231" s="5" t="s">
        <v>3</v>
      </c>
      <c r="C231" s="5">
        <v>49818</v>
      </c>
    </row>
    <row r="232" spans="1:3" x14ac:dyDescent="0.25">
      <c r="A232" s="6">
        <v>41214</v>
      </c>
      <c r="B232" s="5" t="s">
        <v>6</v>
      </c>
      <c r="C232" s="5">
        <v>40037</v>
      </c>
    </row>
    <row r="233" spans="1:3" x14ac:dyDescent="0.25">
      <c r="A233" s="6">
        <v>41214</v>
      </c>
      <c r="B233" s="5" t="s">
        <v>5</v>
      </c>
      <c r="C233" s="5">
        <v>26328</v>
      </c>
    </row>
    <row r="234" spans="1:3" x14ac:dyDescent="0.25">
      <c r="A234" s="6">
        <v>41244</v>
      </c>
      <c r="B234" s="5" t="s">
        <v>3</v>
      </c>
      <c r="C234" s="5">
        <v>49998</v>
      </c>
    </row>
    <row r="235" spans="1:3" x14ac:dyDescent="0.25">
      <c r="A235" s="6">
        <v>41244</v>
      </c>
      <c r="B235" s="5" t="s">
        <v>6</v>
      </c>
      <c r="C235" s="5">
        <v>40485</v>
      </c>
    </row>
    <row r="236" spans="1:3" x14ac:dyDescent="0.25">
      <c r="A236" s="6">
        <v>41244</v>
      </c>
      <c r="B236" s="5" t="s">
        <v>5</v>
      </c>
      <c r="C236" s="5">
        <v>29752</v>
      </c>
    </row>
    <row r="237" spans="1:3" x14ac:dyDescent="0.25">
      <c r="A237" s="6">
        <v>41275</v>
      </c>
      <c r="B237" s="5" t="s">
        <v>3</v>
      </c>
      <c r="C237" s="5">
        <v>39738</v>
      </c>
    </row>
    <row r="238" spans="1:3" x14ac:dyDescent="0.25">
      <c r="A238" s="6">
        <v>41275</v>
      </c>
      <c r="B238" s="5" t="s">
        <v>6</v>
      </c>
      <c r="C238" s="5">
        <v>36497</v>
      </c>
    </row>
    <row r="239" spans="1:3" x14ac:dyDescent="0.25">
      <c r="A239" s="6">
        <v>41275</v>
      </c>
      <c r="B239" s="5" t="s">
        <v>5</v>
      </c>
      <c r="C239" s="5">
        <v>26821</v>
      </c>
    </row>
    <row r="240" spans="1:3" x14ac:dyDescent="0.25">
      <c r="A240" s="6">
        <v>41306</v>
      </c>
      <c r="B240" s="5" t="s">
        <v>3</v>
      </c>
      <c r="C240" s="5">
        <v>44263</v>
      </c>
    </row>
    <row r="241" spans="1:3" x14ac:dyDescent="0.25">
      <c r="A241" s="6">
        <v>41306</v>
      </c>
      <c r="B241" s="5" t="s">
        <v>6</v>
      </c>
      <c r="C241" s="5">
        <v>41281</v>
      </c>
    </row>
    <row r="242" spans="1:3" x14ac:dyDescent="0.25">
      <c r="A242" s="6">
        <v>41306</v>
      </c>
      <c r="B242" s="5" t="s">
        <v>5</v>
      </c>
      <c r="C242" s="5">
        <v>27440</v>
      </c>
    </row>
    <row r="243" spans="1:3" x14ac:dyDescent="0.25">
      <c r="A243" s="6">
        <v>41334</v>
      </c>
      <c r="B243" s="5" t="s">
        <v>3</v>
      </c>
      <c r="C243" s="5">
        <v>42588</v>
      </c>
    </row>
    <row r="244" spans="1:3" x14ac:dyDescent="0.25">
      <c r="A244" s="6">
        <v>41334</v>
      </c>
      <c r="B244" s="5" t="s">
        <v>6</v>
      </c>
      <c r="C244" s="5">
        <v>45862</v>
      </c>
    </row>
    <row r="245" spans="1:3" x14ac:dyDescent="0.25">
      <c r="A245" s="6">
        <v>41334</v>
      </c>
      <c r="B245" s="5" t="s">
        <v>5</v>
      </c>
      <c r="C245" s="5">
        <v>29625</v>
      </c>
    </row>
    <row r="246" spans="1:3" x14ac:dyDescent="0.25">
      <c r="A246" s="6">
        <v>41365</v>
      </c>
      <c r="B246" s="5" t="s">
        <v>3</v>
      </c>
      <c r="C246" s="5">
        <v>46379</v>
      </c>
    </row>
    <row r="247" spans="1:3" x14ac:dyDescent="0.25">
      <c r="A247" s="6">
        <v>41365</v>
      </c>
      <c r="B247" s="5" t="s">
        <v>6</v>
      </c>
      <c r="C247" s="5">
        <v>40421</v>
      </c>
    </row>
    <row r="248" spans="1:3" x14ac:dyDescent="0.25">
      <c r="A248" s="6">
        <v>41365</v>
      </c>
      <c r="B248" s="5" t="s">
        <v>5</v>
      </c>
      <c r="C248" s="5">
        <v>29886</v>
      </c>
    </row>
    <row r="249" spans="1:3" x14ac:dyDescent="0.25">
      <c r="A249" s="6">
        <v>41395</v>
      </c>
      <c r="B249" s="5" t="s">
        <v>3</v>
      </c>
      <c r="C249" s="5">
        <v>47961</v>
      </c>
    </row>
    <row r="250" spans="1:3" x14ac:dyDescent="0.25">
      <c r="A250" s="6">
        <v>41395</v>
      </c>
      <c r="B250" s="5" t="s">
        <v>6</v>
      </c>
      <c r="C250" s="5">
        <v>30711</v>
      </c>
    </row>
    <row r="251" spans="1:3" x14ac:dyDescent="0.25">
      <c r="A251" s="6">
        <v>41395</v>
      </c>
      <c r="B251" s="5" t="s">
        <v>5</v>
      </c>
      <c r="C251" s="5">
        <v>30221</v>
      </c>
    </row>
    <row r="252" spans="1:3" x14ac:dyDescent="0.25">
      <c r="A252" s="6">
        <v>41426</v>
      </c>
      <c r="B252" s="5" t="s">
        <v>3</v>
      </c>
      <c r="C252" s="5">
        <v>48520</v>
      </c>
    </row>
    <row r="253" spans="1:3" x14ac:dyDescent="0.25">
      <c r="A253" s="6">
        <v>41426</v>
      </c>
      <c r="B253" s="5" t="s">
        <v>6</v>
      </c>
      <c r="C253" s="5">
        <v>26806</v>
      </c>
    </row>
    <row r="254" spans="1:3" x14ac:dyDescent="0.25">
      <c r="A254" s="6">
        <v>41426</v>
      </c>
      <c r="B254" s="5" t="s">
        <v>5</v>
      </c>
      <c r="C254" s="5">
        <v>28245</v>
      </c>
    </row>
    <row r="255" spans="1:3" x14ac:dyDescent="0.25">
      <c r="A255" s="6">
        <v>41456</v>
      </c>
      <c r="B255" s="5" t="s">
        <v>5</v>
      </c>
      <c r="C255" s="5">
        <v>26789</v>
      </c>
    </row>
    <row r="256" spans="1:3" x14ac:dyDescent="0.25">
      <c r="A256" s="6">
        <v>41456</v>
      </c>
      <c r="B256" s="5" t="s">
        <v>6</v>
      </c>
      <c r="C256" s="5">
        <v>32722</v>
      </c>
    </row>
    <row r="257" spans="1:3" x14ac:dyDescent="0.25">
      <c r="A257" s="6">
        <v>41456</v>
      </c>
      <c r="B257" s="5" t="s">
        <v>3</v>
      </c>
      <c r="C257" s="5">
        <v>62247</v>
      </c>
    </row>
    <row r="258" spans="1:3" x14ac:dyDescent="0.25">
      <c r="A258" s="6">
        <v>41487</v>
      </c>
      <c r="B258" s="5" t="s">
        <v>5</v>
      </c>
      <c r="C258" s="5">
        <v>23013</v>
      </c>
    </row>
    <row r="259" spans="1:3" x14ac:dyDescent="0.25">
      <c r="A259" s="6">
        <v>41487</v>
      </c>
      <c r="B259" s="5" t="s">
        <v>6</v>
      </c>
      <c r="C259" s="5">
        <v>27485</v>
      </c>
    </row>
    <row r="260" spans="1:3" x14ac:dyDescent="0.25">
      <c r="A260" s="6">
        <v>41487</v>
      </c>
      <c r="B260" s="5" t="s">
        <v>3</v>
      </c>
      <c r="C260" s="5">
        <v>60521</v>
      </c>
    </row>
    <row r="261" spans="1:3" x14ac:dyDescent="0.25">
      <c r="A261" s="6">
        <v>41518</v>
      </c>
      <c r="B261" s="5" t="s">
        <v>3</v>
      </c>
      <c r="C261" s="5">
        <v>56084</v>
      </c>
    </row>
    <row r="262" spans="1:3" x14ac:dyDescent="0.25">
      <c r="A262" s="6">
        <v>41518</v>
      </c>
      <c r="B262" s="5" t="s">
        <v>5</v>
      </c>
      <c r="C262" s="5">
        <v>20542</v>
      </c>
    </row>
    <row r="263" spans="1:3" x14ac:dyDescent="0.25">
      <c r="A263" s="6">
        <v>41518</v>
      </c>
      <c r="B263" s="5" t="s">
        <v>6</v>
      </c>
      <c r="C263" s="5">
        <v>19112</v>
      </c>
    </row>
    <row r="264" spans="1:3" x14ac:dyDescent="0.25">
      <c r="A264" s="6">
        <v>41548</v>
      </c>
      <c r="B264" s="5" t="s">
        <v>6</v>
      </c>
      <c r="C264" s="5">
        <v>11604</v>
      </c>
    </row>
    <row r="265" spans="1:3" x14ac:dyDescent="0.25">
      <c r="A265" s="6">
        <v>41548</v>
      </c>
      <c r="B265" s="5" t="s">
        <v>5</v>
      </c>
      <c r="C265" s="5">
        <v>15993</v>
      </c>
    </row>
    <row r="266" spans="1:3" x14ac:dyDescent="0.25">
      <c r="A266" s="6">
        <v>41548</v>
      </c>
      <c r="B266" s="5" t="s">
        <v>3</v>
      </c>
      <c r="C266" s="5">
        <v>49158</v>
      </c>
    </row>
    <row r="267" spans="1:3" x14ac:dyDescent="0.25">
      <c r="A267" s="6">
        <v>41579</v>
      </c>
      <c r="B267" s="5" t="s">
        <v>5</v>
      </c>
      <c r="C267" s="5">
        <v>12082</v>
      </c>
    </row>
    <row r="268" spans="1:3" x14ac:dyDescent="0.25">
      <c r="A268" s="6">
        <v>41579</v>
      </c>
      <c r="B268" s="5" t="s">
        <v>6</v>
      </c>
      <c r="C268" s="5">
        <v>7900</v>
      </c>
    </row>
    <row r="269" spans="1:3" x14ac:dyDescent="0.25">
      <c r="A269" s="6">
        <v>41579</v>
      </c>
      <c r="B269" s="5" t="s">
        <v>3</v>
      </c>
      <c r="C269" s="5">
        <v>41648</v>
      </c>
    </row>
    <row r="270" spans="1:3" x14ac:dyDescent="0.25">
      <c r="A270" s="6">
        <v>41609</v>
      </c>
      <c r="B270" s="5" t="s">
        <v>3</v>
      </c>
      <c r="C270" s="5">
        <v>45669</v>
      </c>
    </row>
    <row r="271" spans="1:3" x14ac:dyDescent="0.25">
      <c r="A271" s="6">
        <v>41609</v>
      </c>
      <c r="B271" s="5" t="s">
        <v>5</v>
      </c>
      <c r="C271" s="5">
        <v>10922</v>
      </c>
    </row>
    <row r="272" spans="1:3" x14ac:dyDescent="0.25">
      <c r="A272" s="6">
        <v>41609</v>
      </c>
      <c r="B272" s="5" t="s">
        <v>6</v>
      </c>
      <c r="C272" s="5">
        <v>8033</v>
      </c>
    </row>
    <row r="273" spans="1:3" x14ac:dyDescent="0.25">
      <c r="A273" s="6">
        <v>41640</v>
      </c>
      <c r="B273" s="5" t="s">
        <v>5</v>
      </c>
      <c r="C273" s="5">
        <v>9752</v>
      </c>
    </row>
    <row r="274" spans="1:3" x14ac:dyDescent="0.25">
      <c r="A274" s="6">
        <v>41640</v>
      </c>
      <c r="B274" s="5" t="s">
        <v>6</v>
      </c>
      <c r="C274" s="5">
        <v>9674</v>
      </c>
    </row>
    <row r="275" spans="1:3" x14ac:dyDescent="0.25">
      <c r="A275" s="6">
        <v>41640</v>
      </c>
      <c r="B275" s="5" t="s">
        <v>3</v>
      </c>
      <c r="C275" s="5">
        <v>45743</v>
      </c>
    </row>
    <row r="276" spans="1:3" x14ac:dyDescent="0.25">
      <c r="A276" s="6">
        <v>41671</v>
      </c>
      <c r="B276" s="5" t="s">
        <v>3</v>
      </c>
      <c r="C276" s="5">
        <v>48084</v>
      </c>
    </row>
    <row r="277" spans="1:3" x14ac:dyDescent="0.25">
      <c r="A277" s="6">
        <v>41671</v>
      </c>
      <c r="B277" s="5" t="s">
        <v>6</v>
      </c>
      <c r="C277" s="5">
        <v>9770</v>
      </c>
    </row>
    <row r="278" spans="1:3" x14ac:dyDescent="0.25">
      <c r="A278" s="6">
        <v>41671</v>
      </c>
      <c r="B278" s="5" t="s">
        <v>5</v>
      </c>
      <c r="C278" s="5">
        <v>9671</v>
      </c>
    </row>
    <row r="279" spans="1:3" x14ac:dyDescent="0.25">
      <c r="A279" s="6">
        <v>41699</v>
      </c>
      <c r="B279" s="5" t="s">
        <v>7</v>
      </c>
      <c r="C279" s="5">
        <v>6</v>
      </c>
    </row>
    <row r="280" spans="1:3" x14ac:dyDescent="0.25">
      <c r="A280" s="6">
        <v>41699</v>
      </c>
      <c r="B280" s="5" t="s">
        <v>3</v>
      </c>
      <c r="C280" s="5">
        <v>32181</v>
      </c>
    </row>
    <row r="281" spans="1:3" x14ac:dyDescent="0.25">
      <c r="A281" s="6">
        <v>41699</v>
      </c>
      <c r="B281" s="5" t="s">
        <v>5</v>
      </c>
      <c r="C281" s="5">
        <v>8095</v>
      </c>
    </row>
    <row r="282" spans="1:3" x14ac:dyDescent="0.25">
      <c r="A282" s="6">
        <v>41699</v>
      </c>
      <c r="B282" s="5" t="s">
        <v>6</v>
      </c>
      <c r="C282" s="5">
        <v>6582</v>
      </c>
    </row>
    <row r="283" spans="1:3" x14ac:dyDescent="0.25">
      <c r="A283" s="6">
        <v>41730</v>
      </c>
      <c r="B283" s="5" t="s">
        <v>3</v>
      </c>
      <c r="C283" s="5">
        <v>34463</v>
      </c>
    </row>
    <row r="284" spans="1:3" x14ac:dyDescent="0.25">
      <c r="A284" s="6">
        <v>41730</v>
      </c>
      <c r="B284" s="5" t="s">
        <v>7</v>
      </c>
      <c r="C284" s="5">
        <v>12788</v>
      </c>
    </row>
    <row r="285" spans="1:3" x14ac:dyDescent="0.25">
      <c r="A285" s="6">
        <v>41760</v>
      </c>
      <c r="B285" s="5" t="s">
        <v>7</v>
      </c>
      <c r="C285" s="5">
        <v>14986</v>
      </c>
    </row>
    <row r="286" spans="1:3" x14ac:dyDescent="0.25">
      <c r="A286" s="6">
        <v>41760</v>
      </c>
      <c r="B286" s="5" t="s">
        <v>3</v>
      </c>
      <c r="C286" s="5">
        <v>46338</v>
      </c>
    </row>
    <row r="287" spans="1:3" x14ac:dyDescent="0.25">
      <c r="A287" s="6">
        <v>41791</v>
      </c>
      <c r="B287" s="5" t="s">
        <v>3</v>
      </c>
      <c r="C287" s="5">
        <v>49506</v>
      </c>
    </row>
    <row r="288" spans="1:3" x14ac:dyDescent="0.25">
      <c r="A288" s="6">
        <v>41791</v>
      </c>
      <c r="B288" s="5" t="s">
        <v>7</v>
      </c>
      <c r="C288" s="5">
        <v>14482</v>
      </c>
    </row>
    <row r="289" spans="1:3" x14ac:dyDescent="0.25">
      <c r="A289" s="6">
        <v>41821</v>
      </c>
      <c r="B289" s="5" t="s">
        <v>3</v>
      </c>
      <c r="C289" s="5">
        <v>55296</v>
      </c>
    </row>
    <row r="290" spans="1:3" x14ac:dyDescent="0.25">
      <c r="A290" s="6">
        <v>41821</v>
      </c>
      <c r="B290" s="5" t="s">
        <v>7</v>
      </c>
      <c r="C290" s="5">
        <v>13324</v>
      </c>
    </row>
    <row r="291" spans="1:3" x14ac:dyDescent="0.25">
      <c r="A291" s="6">
        <v>41852</v>
      </c>
      <c r="B291" s="5" t="s">
        <v>3</v>
      </c>
      <c r="C291" s="5">
        <v>65987</v>
      </c>
    </row>
    <row r="292" spans="1:3" x14ac:dyDescent="0.25">
      <c r="A292" s="6">
        <v>41852</v>
      </c>
      <c r="B292" s="5" t="s">
        <v>7</v>
      </c>
      <c r="C292" s="5">
        <v>15877</v>
      </c>
    </row>
    <row r="293" spans="1:3" x14ac:dyDescent="0.25">
      <c r="A293" s="6">
        <v>41883</v>
      </c>
      <c r="B293" s="5" t="s">
        <v>3</v>
      </c>
      <c r="C293" s="5">
        <v>67292</v>
      </c>
    </row>
    <row r="294" spans="1:3" x14ac:dyDescent="0.25">
      <c r="A294" s="6">
        <v>41883</v>
      </c>
      <c r="B294" s="5" t="s">
        <v>7</v>
      </c>
      <c r="C294" s="5">
        <v>16493</v>
      </c>
    </row>
    <row r="295" spans="1:3" x14ac:dyDescent="0.25">
      <c r="A295" s="6">
        <v>41913</v>
      </c>
      <c r="B295" s="5" t="s">
        <v>3</v>
      </c>
      <c r="C295" s="5">
        <v>63700</v>
      </c>
    </row>
    <row r="296" spans="1:3" x14ac:dyDescent="0.25">
      <c r="A296" s="6">
        <v>41913</v>
      </c>
      <c r="B296" s="5" t="s">
        <v>7</v>
      </c>
      <c r="C296" s="5">
        <v>16731</v>
      </c>
    </row>
    <row r="297" spans="1:3" x14ac:dyDescent="0.25">
      <c r="A297" s="6">
        <v>41944</v>
      </c>
      <c r="B297" s="5" t="s">
        <v>3</v>
      </c>
      <c r="C297" s="5">
        <v>59685</v>
      </c>
    </row>
    <row r="298" spans="1:3" x14ac:dyDescent="0.25">
      <c r="A298" s="6">
        <v>41944</v>
      </c>
      <c r="B298" s="5" t="s">
        <v>7</v>
      </c>
      <c r="C298" s="5">
        <v>17725</v>
      </c>
    </row>
    <row r="299" spans="1:3" x14ac:dyDescent="0.25">
      <c r="A299" s="6">
        <v>41974</v>
      </c>
      <c r="B299" s="5" t="s">
        <v>3</v>
      </c>
      <c r="C299" s="5">
        <v>54342</v>
      </c>
    </row>
    <row r="300" spans="1:3" x14ac:dyDescent="0.25">
      <c r="A300" s="6">
        <v>41974</v>
      </c>
      <c r="B300" s="5" t="s">
        <v>7</v>
      </c>
      <c r="C300" s="5">
        <v>18168</v>
      </c>
    </row>
    <row r="301" spans="1:3" x14ac:dyDescent="0.25">
      <c r="A301" s="6">
        <v>42005</v>
      </c>
      <c r="B301" s="5" t="s">
        <v>3</v>
      </c>
      <c r="C301" s="5">
        <v>47250</v>
      </c>
    </row>
    <row r="302" spans="1:3" x14ac:dyDescent="0.25">
      <c r="A302" s="6">
        <v>42005</v>
      </c>
      <c r="B302" s="5" t="s">
        <v>7</v>
      </c>
      <c r="C302" s="5">
        <v>21476</v>
      </c>
    </row>
    <row r="303" spans="1:3" x14ac:dyDescent="0.25">
      <c r="A303" s="6">
        <v>42036</v>
      </c>
      <c r="B303" s="5" t="s">
        <v>3</v>
      </c>
      <c r="C303" s="5">
        <v>50078</v>
      </c>
    </row>
    <row r="304" spans="1:3" x14ac:dyDescent="0.25">
      <c r="A304" s="6">
        <v>42036</v>
      </c>
      <c r="B304" s="5" t="s">
        <v>7</v>
      </c>
      <c r="C304" s="5">
        <v>20938</v>
      </c>
    </row>
    <row r="305" spans="1:3" x14ac:dyDescent="0.25">
      <c r="A305" s="6">
        <v>42064</v>
      </c>
      <c r="B305" s="5" t="s">
        <v>3</v>
      </c>
      <c r="C305" s="5">
        <v>39431</v>
      </c>
    </row>
    <row r="306" spans="1:3" x14ac:dyDescent="0.25">
      <c r="A306" s="6">
        <v>42064</v>
      </c>
      <c r="B306" s="5" t="s">
        <v>7</v>
      </c>
      <c r="C306" s="5">
        <v>24131</v>
      </c>
    </row>
    <row r="307" spans="1:3" x14ac:dyDescent="0.25">
      <c r="A307" s="6">
        <v>42095</v>
      </c>
      <c r="B307" s="5" t="s">
        <v>7</v>
      </c>
      <c r="C307" s="5">
        <v>35016</v>
      </c>
    </row>
    <row r="308" spans="1:3" x14ac:dyDescent="0.25">
      <c r="A308" s="6">
        <v>42095</v>
      </c>
      <c r="B308" s="5" t="s">
        <v>3</v>
      </c>
      <c r="C308" s="5">
        <v>45767</v>
      </c>
    </row>
    <row r="309" spans="1:3" x14ac:dyDescent="0.25">
      <c r="A309" s="6">
        <v>42125</v>
      </c>
      <c r="B309" s="5" t="s">
        <v>7</v>
      </c>
      <c r="C309" s="5">
        <v>39618</v>
      </c>
    </row>
    <row r="310" spans="1:3" x14ac:dyDescent="0.25">
      <c r="A310" s="6">
        <v>42125</v>
      </c>
      <c r="B310" s="5" t="s">
        <v>3</v>
      </c>
      <c r="C310" s="5">
        <v>63289</v>
      </c>
    </row>
    <row r="311" spans="1:3" x14ac:dyDescent="0.25">
      <c r="A311" s="6">
        <v>42156</v>
      </c>
      <c r="B311" s="5" t="s">
        <v>3</v>
      </c>
      <c r="C311" s="5">
        <v>66830</v>
      </c>
    </row>
    <row r="312" spans="1:3" x14ac:dyDescent="0.25">
      <c r="A312" s="6">
        <v>42156</v>
      </c>
      <c r="B312" s="5" t="s">
        <v>7</v>
      </c>
      <c r="C312" s="5">
        <v>30540</v>
      </c>
    </row>
    <row r="313" spans="1:3" x14ac:dyDescent="0.25">
      <c r="A313" s="6">
        <v>42186</v>
      </c>
      <c r="B313" s="5" t="s">
        <v>7</v>
      </c>
      <c r="C313" s="5">
        <v>26241</v>
      </c>
    </row>
    <row r="314" spans="1:3" x14ac:dyDescent="0.25">
      <c r="A314" s="6">
        <v>42186</v>
      </c>
      <c r="B314" s="5" t="s">
        <v>3</v>
      </c>
      <c r="C314" s="5">
        <v>70156</v>
      </c>
    </row>
    <row r="315" spans="1:3" x14ac:dyDescent="0.25">
      <c r="A315" s="6">
        <v>42217</v>
      </c>
      <c r="B315" s="5" t="s">
        <v>7</v>
      </c>
      <c r="C315" s="5">
        <v>21405</v>
      </c>
    </row>
    <row r="316" spans="1:3" x14ac:dyDescent="0.25">
      <c r="A316" s="6">
        <v>42217</v>
      </c>
      <c r="B316" s="5" t="s">
        <v>3</v>
      </c>
      <c r="C316" s="5">
        <v>73092</v>
      </c>
    </row>
    <row r="317" spans="1:3" x14ac:dyDescent="0.25">
      <c r="A317" s="6">
        <v>42248</v>
      </c>
      <c r="B317" s="5" t="s">
        <v>7</v>
      </c>
      <c r="C317" s="5">
        <v>17182</v>
      </c>
    </row>
    <row r="318" spans="1:3" x14ac:dyDescent="0.25">
      <c r="A318" s="6">
        <v>42248</v>
      </c>
      <c r="B318" s="5" t="s">
        <v>3</v>
      </c>
      <c r="C318" s="5">
        <v>71669</v>
      </c>
    </row>
    <row r="319" spans="1:3" x14ac:dyDescent="0.25">
      <c r="A319" s="6">
        <v>42278</v>
      </c>
      <c r="B319" s="5" t="s">
        <v>3</v>
      </c>
      <c r="C319" s="5">
        <v>69113</v>
      </c>
    </row>
    <row r="320" spans="1:3" x14ac:dyDescent="0.25">
      <c r="A320" s="6">
        <v>42278</v>
      </c>
      <c r="B320" s="5" t="s">
        <v>7</v>
      </c>
      <c r="C320" s="5">
        <v>16547</v>
      </c>
    </row>
    <row r="321" spans="1:3" x14ac:dyDescent="0.25">
      <c r="A321" s="6">
        <v>42309</v>
      </c>
      <c r="B321" s="5" t="s">
        <v>7</v>
      </c>
      <c r="C321" s="5">
        <v>17651</v>
      </c>
    </row>
    <row r="322" spans="1:3" x14ac:dyDescent="0.25">
      <c r="A322" s="6">
        <v>42309</v>
      </c>
      <c r="B322" s="5" t="s">
        <v>3</v>
      </c>
      <c r="C322" s="5">
        <v>65422</v>
      </c>
    </row>
    <row r="323" spans="1:3" x14ac:dyDescent="0.25">
      <c r="A323" s="6">
        <v>42339</v>
      </c>
      <c r="B323" s="5" t="s">
        <v>3</v>
      </c>
      <c r="C323" s="5">
        <v>62442</v>
      </c>
    </row>
    <row r="324" spans="1:3" x14ac:dyDescent="0.25">
      <c r="A324" s="6">
        <v>42339</v>
      </c>
      <c r="B324" s="5" t="s">
        <v>7</v>
      </c>
      <c r="C324" s="5">
        <v>18707</v>
      </c>
    </row>
    <row r="325" spans="1:3" x14ac:dyDescent="0.25">
      <c r="A325" s="6">
        <v>42370</v>
      </c>
      <c r="B325" s="5" t="s">
        <v>7</v>
      </c>
      <c r="C325" s="5">
        <v>16500</v>
      </c>
    </row>
    <row r="326" spans="1:3" x14ac:dyDescent="0.25">
      <c r="A326" s="6">
        <v>42370</v>
      </c>
      <c r="B326" s="5" t="s">
        <v>3</v>
      </c>
      <c r="C326" s="5">
        <v>48675</v>
      </c>
    </row>
    <row r="327" spans="1:3" x14ac:dyDescent="0.25">
      <c r="A327" s="6">
        <v>42401</v>
      </c>
      <c r="B327" s="5" t="s">
        <v>3</v>
      </c>
      <c r="C327" s="5">
        <v>31604</v>
      </c>
    </row>
    <row r="328" spans="1:3" x14ac:dyDescent="0.25">
      <c r="A328" s="6">
        <v>42401</v>
      </c>
      <c r="B328" s="5" t="s">
        <v>7</v>
      </c>
      <c r="C328" s="5">
        <v>9715</v>
      </c>
    </row>
    <row r="329" spans="1:3" x14ac:dyDescent="0.25">
      <c r="A329" s="6">
        <v>42430</v>
      </c>
      <c r="B329" s="5" t="s">
        <v>7</v>
      </c>
      <c r="C329" s="5">
        <v>669</v>
      </c>
    </row>
    <row r="330" spans="1:3" x14ac:dyDescent="0.25">
      <c r="A330" s="6">
        <v>42430</v>
      </c>
      <c r="B330" s="5" t="s">
        <v>3</v>
      </c>
      <c r="C330" s="5">
        <v>1561</v>
      </c>
    </row>
    <row r="331" spans="1:3" x14ac:dyDescent="0.25">
      <c r="A331" s="1"/>
    </row>
  </sheetData>
  <pageMargins left="0.7" right="0.7" top="0.75" bottom="0.75" header="0.3" footer="0.3"/>
  <pageSetup orientation="portrait" horizontalDpi="1200" verticalDpi="120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9"/>
  <sheetViews>
    <sheetView topLeftCell="A57" workbookViewId="0">
      <selection activeCell="AA100" sqref="AA100"/>
    </sheetView>
  </sheetViews>
  <sheetFormatPr defaultRowHeight="15" x14ac:dyDescent="0.25"/>
  <cols>
    <col min="6" max="6" width="17.28515625" bestFit="1" customWidth="1"/>
    <col min="7" max="7" width="16.28515625" customWidth="1"/>
    <col min="8" max="8" width="10.7109375" customWidth="1"/>
    <col min="9" max="9" width="12.5703125" customWidth="1"/>
    <col min="10" max="10" width="14.140625" customWidth="1"/>
    <col min="11" max="12" width="11.28515625" customWidth="1"/>
    <col min="13" max="14" width="11.28515625" bestFit="1" customWidth="1"/>
    <col min="16" max="16" width="9.7109375" style="1" bestFit="1" customWidth="1"/>
  </cols>
  <sheetData>
    <row r="1" spans="1:26" x14ac:dyDescent="0.25">
      <c r="A1" s="5" t="s">
        <v>0</v>
      </c>
      <c r="B1" s="5" t="s">
        <v>2</v>
      </c>
      <c r="C1" s="5" t="s">
        <v>18</v>
      </c>
      <c r="O1" s="1"/>
      <c r="P1"/>
    </row>
    <row r="2" spans="1:26" x14ac:dyDescent="0.25">
      <c r="A2" s="6">
        <v>38353</v>
      </c>
      <c r="B2" s="5">
        <v>1751</v>
      </c>
      <c r="C2" s="7" t="s">
        <v>13</v>
      </c>
      <c r="O2" s="1"/>
      <c r="P2"/>
      <c r="W2" t="s">
        <v>23</v>
      </c>
      <c r="X2">
        <v>0.35</v>
      </c>
    </row>
    <row r="3" spans="1:26" x14ac:dyDescent="0.25">
      <c r="A3" s="6">
        <v>38353</v>
      </c>
      <c r="B3" s="5">
        <v>226</v>
      </c>
      <c r="C3" s="7" t="s">
        <v>19</v>
      </c>
      <c r="F3" s="3" t="s">
        <v>8</v>
      </c>
      <c r="G3" s="3" t="s">
        <v>9</v>
      </c>
      <c r="O3" s="1"/>
      <c r="P3"/>
    </row>
    <row r="4" spans="1:26" x14ac:dyDescent="0.25">
      <c r="A4" s="6">
        <v>38384</v>
      </c>
      <c r="B4" s="5">
        <v>237</v>
      </c>
      <c r="C4" s="7" t="s">
        <v>19</v>
      </c>
      <c r="F4" s="3" t="s">
        <v>11</v>
      </c>
      <c r="G4" t="s">
        <v>22</v>
      </c>
      <c r="H4" t="s">
        <v>20</v>
      </c>
      <c r="I4" t="s">
        <v>13</v>
      </c>
      <c r="J4" t="s">
        <v>21</v>
      </c>
      <c r="K4" t="s">
        <v>19</v>
      </c>
      <c r="L4" t="s">
        <v>10</v>
      </c>
      <c r="O4" s="1" t="s">
        <v>11</v>
      </c>
      <c r="P4" t="s">
        <v>22</v>
      </c>
      <c r="Q4" t="s">
        <v>20</v>
      </c>
      <c r="R4" t="s">
        <v>13</v>
      </c>
      <c r="S4" t="s">
        <v>21</v>
      </c>
      <c r="T4" t="s">
        <v>19</v>
      </c>
      <c r="V4" s="1"/>
      <c r="W4" t="s">
        <v>17</v>
      </c>
      <c r="X4" t="s">
        <v>15</v>
      </c>
      <c r="Y4" t="s">
        <v>16</v>
      </c>
      <c r="Z4" t="s">
        <v>12</v>
      </c>
    </row>
    <row r="5" spans="1:26" x14ac:dyDescent="0.25">
      <c r="A5" s="6">
        <v>38384</v>
      </c>
      <c r="B5" s="5">
        <v>1713</v>
      </c>
      <c r="C5" s="7" t="s">
        <v>13</v>
      </c>
      <c r="F5" s="4">
        <v>38353</v>
      </c>
      <c r="G5" s="2"/>
      <c r="H5" s="2"/>
      <c r="I5" s="2">
        <v>1751</v>
      </c>
      <c r="J5" s="2"/>
      <c r="K5" s="2">
        <v>226</v>
      </c>
      <c r="L5" s="2">
        <v>1977</v>
      </c>
      <c r="O5" s="1">
        <v>38353</v>
      </c>
      <c r="P5"/>
      <c r="R5">
        <v>1751</v>
      </c>
      <c r="T5">
        <v>226</v>
      </c>
      <c r="V5" s="1">
        <f t="shared" ref="V5:V68" si="0">O5</f>
        <v>38353</v>
      </c>
      <c r="W5">
        <f>R5</f>
        <v>1751</v>
      </c>
      <c r="X5">
        <f>T5</f>
        <v>226</v>
      </c>
      <c r="Y5">
        <f>S5+(1-$X$2)*P5</f>
        <v>0</v>
      </c>
      <c r="Z5">
        <f>Q5+$X$2*P5</f>
        <v>0</v>
      </c>
    </row>
    <row r="6" spans="1:26" x14ac:dyDescent="0.25">
      <c r="A6" s="6">
        <v>38412</v>
      </c>
      <c r="B6" s="5">
        <v>1379</v>
      </c>
      <c r="C6" s="7" t="s">
        <v>13</v>
      </c>
      <c r="F6" s="4">
        <v>38384</v>
      </c>
      <c r="G6" s="2"/>
      <c r="H6" s="2"/>
      <c r="I6" s="2">
        <v>1713</v>
      </c>
      <c r="J6" s="2"/>
      <c r="K6" s="2">
        <v>237</v>
      </c>
      <c r="L6" s="2">
        <v>1950</v>
      </c>
      <c r="O6" s="1">
        <v>38384</v>
      </c>
      <c r="P6"/>
      <c r="R6">
        <v>1713</v>
      </c>
      <c r="T6">
        <v>237</v>
      </c>
      <c r="V6" s="1">
        <f t="shared" si="0"/>
        <v>38384</v>
      </c>
      <c r="W6">
        <f t="shared" ref="W6:W69" si="1">R6</f>
        <v>1713</v>
      </c>
      <c r="X6">
        <f t="shared" ref="X6:X69" si="2">T6</f>
        <v>237</v>
      </c>
      <c r="Y6">
        <f t="shared" ref="Y6:Y69" si="3">S6+(1-$X$2)*P6</f>
        <v>0</v>
      </c>
      <c r="Z6">
        <f t="shared" ref="Z6:Z69" si="4">Q6+$X$2*P6</f>
        <v>0</v>
      </c>
    </row>
    <row r="7" spans="1:26" x14ac:dyDescent="0.25">
      <c r="A7" s="6">
        <v>38412</v>
      </c>
      <c r="B7" s="5">
        <v>165</v>
      </c>
      <c r="C7" s="7" t="s">
        <v>19</v>
      </c>
      <c r="F7" s="4">
        <v>38412</v>
      </c>
      <c r="G7" s="2"/>
      <c r="H7" s="2"/>
      <c r="I7" s="2">
        <v>1379</v>
      </c>
      <c r="J7" s="2"/>
      <c r="K7" s="2">
        <v>165</v>
      </c>
      <c r="L7" s="2">
        <v>1544</v>
      </c>
      <c r="O7" s="1">
        <v>38412</v>
      </c>
      <c r="P7"/>
      <c r="R7">
        <v>1379</v>
      </c>
      <c r="T7">
        <v>165</v>
      </c>
      <c r="V7" s="1">
        <f t="shared" si="0"/>
        <v>38412</v>
      </c>
      <c r="W7">
        <f t="shared" si="1"/>
        <v>1379</v>
      </c>
      <c r="X7">
        <f t="shared" si="2"/>
        <v>165</v>
      </c>
      <c r="Y7">
        <f t="shared" si="3"/>
        <v>0</v>
      </c>
      <c r="Z7">
        <f t="shared" si="4"/>
        <v>0</v>
      </c>
    </row>
    <row r="8" spans="1:26" x14ac:dyDescent="0.25">
      <c r="A8" s="6">
        <v>38443</v>
      </c>
      <c r="B8" s="5">
        <v>248</v>
      </c>
      <c r="C8" s="7" t="s">
        <v>19</v>
      </c>
      <c r="F8" s="4">
        <v>38443</v>
      </c>
      <c r="G8" s="2"/>
      <c r="H8" s="2"/>
      <c r="I8" s="2">
        <v>1407</v>
      </c>
      <c r="J8" s="2"/>
      <c r="K8" s="2">
        <v>248</v>
      </c>
      <c r="L8" s="2">
        <v>1655</v>
      </c>
      <c r="O8" s="1">
        <v>38443</v>
      </c>
      <c r="P8"/>
      <c r="R8">
        <v>1407</v>
      </c>
      <c r="T8">
        <v>248</v>
      </c>
      <c r="V8" s="1">
        <f t="shared" si="0"/>
        <v>38443</v>
      </c>
      <c r="W8">
        <f t="shared" si="1"/>
        <v>1407</v>
      </c>
      <c r="X8">
        <f t="shared" si="2"/>
        <v>248</v>
      </c>
      <c r="Y8">
        <f t="shared" si="3"/>
        <v>0</v>
      </c>
      <c r="Z8">
        <f t="shared" si="4"/>
        <v>0</v>
      </c>
    </row>
    <row r="9" spans="1:26" x14ac:dyDescent="0.25">
      <c r="A9" s="6">
        <v>38443</v>
      </c>
      <c r="B9" s="5">
        <v>1407</v>
      </c>
      <c r="C9" s="7" t="s">
        <v>13</v>
      </c>
      <c r="F9" s="4">
        <v>38473</v>
      </c>
      <c r="G9" s="2"/>
      <c r="H9" s="2"/>
      <c r="I9" s="2">
        <v>1954</v>
      </c>
      <c r="J9" s="2"/>
      <c r="K9" s="2">
        <v>357</v>
      </c>
      <c r="L9" s="2">
        <v>2311</v>
      </c>
      <c r="O9" s="1">
        <v>38473</v>
      </c>
      <c r="P9"/>
      <c r="R9">
        <v>1954</v>
      </c>
      <c r="T9">
        <v>357</v>
      </c>
      <c r="V9" s="1">
        <f t="shared" si="0"/>
        <v>38473</v>
      </c>
      <c r="W9">
        <f t="shared" si="1"/>
        <v>1954</v>
      </c>
      <c r="X9">
        <f t="shared" si="2"/>
        <v>357</v>
      </c>
      <c r="Y9">
        <f t="shared" si="3"/>
        <v>0</v>
      </c>
      <c r="Z9">
        <f t="shared" si="4"/>
        <v>0</v>
      </c>
    </row>
    <row r="10" spans="1:26" x14ac:dyDescent="0.25">
      <c r="A10" s="6">
        <v>38473</v>
      </c>
      <c r="B10" s="5">
        <v>1954</v>
      </c>
      <c r="C10" s="7" t="s">
        <v>13</v>
      </c>
      <c r="F10" s="4">
        <v>38504</v>
      </c>
      <c r="G10" s="2"/>
      <c r="H10" s="2"/>
      <c r="I10" s="2">
        <v>2080</v>
      </c>
      <c r="J10" s="2"/>
      <c r="K10" s="2">
        <v>256</v>
      </c>
      <c r="L10" s="2">
        <v>2336</v>
      </c>
      <c r="O10" s="1">
        <v>38504</v>
      </c>
      <c r="P10"/>
      <c r="R10">
        <v>2080</v>
      </c>
      <c r="T10">
        <v>256</v>
      </c>
      <c r="V10" s="1">
        <f t="shared" si="0"/>
        <v>38504</v>
      </c>
      <c r="W10">
        <f t="shared" si="1"/>
        <v>2080</v>
      </c>
      <c r="X10">
        <f t="shared" si="2"/>
        <v>256</v>
      </c>
      <c r="Y10">
        <f t="shared" si="3"/>
        <v>0</v>
      </c>
      <c r="Z10">
        <f t="shared" si="4"/>
        <v>0</v>
      </c>
    </row>
    <row r="11" spans="1:26" x14ac:dyDescent="0.25">
      <c r="A11" s="6">
        <v>38473</v>
      </c>
      <c r="B11" s="5">
        <v>357</v>
      </c>
      <c r="C11" s="7" t="s">
        <v>19</v>
      </c>
      <c r="F11" s="4">
        <v>38534</v>
      </c>
      <c r="G11" s="2"/>
      <c r="H11" s="2"/>
      <c r="I11" s="2">
        <v>2676</v>
      </c>
      <c r="J11" s="2"/>
      <c r="K11" s="2">
        <v>314</v>
      </c>
      <c r="L11" s="2">
        <v>2990</v>
      </c>
      <c r="O11" s="1">
        <v>38534</v>
      </c>
      <c r="P11"/>
      <c r="R11">
        <v>2676</v>
      </c>
      <c r="T11">
        <v>314</v>
      </c>
      <c r="V11" s="1">
        <f t="shared" si="0"/>
        <v>38534</v>
      </c>
      <c r="W11">
        <f t="shared" si="1"/>
        <v>2676</v>
      </c>
      <c r="X11">
        <f t="shared" si="2"/>
        <v>314</v>
      </c>
      <c r="Y11">
        <f t="shared" si="3"/>
        <v>0</v>
      </c>
      <c r="Z11">
        <f t="shared" si="4"/>
        <v>0</v>
      </c>
    </row>
    <row r="12" spans="1:26" x14ac:dyDescent="0.25">
      <c r="A12" s="6">
        <v>38504</v>
      </c>
      <c r="B12" s="5">
        <v>256</v>
      </c>
      <c r="C12" s="7" t="s">
        <v>19</v>
      </c>
      <c r="F12" s="4">
        <v>38565</v>
      </c>
      <c r="G12" s="2"/>
      <c r="H12" s="2"/>
      <c r="I12" s="2">
        <v>3213</v>
      </c>
      <c r="J12" s="2"/>
      <c r="K12" s="2">
        <v>373</v>
      </c>
      <c r="L12" s="2">
        <v>3586</v>
      </c>
      <c r="O12" s="1">
        <v>38565</v>
      </c>
      <c r="P12"/>
      <c r="R12">
        <v>3213</v>
      </c>
      <c r="T12">
        <v>373</v>
      </c>
      <c r="V12" s="1">
        <f t="shared" si="0"/>
        <v>38565</v>
      </c>
      <c r="W12">
        <f t="shared" si="1"/>
        <v>3213</v>
      </c>
      <c r="X12">
        <f t="shared" si="2"/>
        <v>373</v>
      </c>
      <c r="Y12">
        <f t="shared" si="3"/>
        <v>0</v>
      </c>
      <c r="Z12">
        <f t="shared" si="4"/>
        <v>0</v>
      </c>
    </row>
    <row r="13" spans="1:26" x14ac:dyDescent="0.25">
      <c r="A13" s="6">
        <v>38504</v>
      </c>
      <c r="B13" s="5">
        <v>2080</v>
      </c>
      <c r="C13" s="7" t="s">
        <v>13</v>
      </c>
      <c r="F13" s="4">
        <v>38596</v>
      </c>
      <c r="G13" s="2"/>
      <c r="H13" s="2"/>
      <c r="I13" s="2">
        <v>4049</v>
      </c>
      <c r="J13" s="2"/>
      <c r="K13" s="2">
        <v>618</v>
      </c>
      <c r="L13" s="2">
        <v>4667</v>
      </c>
      <c r="O13" s="1">
        <v>38596</v>
      </c>
      <c r="P13"/>
      <c r="R13">
        <v>4049</v>
      </c>
      <c r="T13">
        <v>618</v>
      </c>
      <c r="V13" s="1">
        <f t="shared" si="0"/>
        <v>38596</v>
      </c>
      <c r="W13">
        <f t="shared" si="1"/>
        <v>4049</v>
      </c>
      <c r="X13">
        <f t="shared" si="2"/>
        <v>618</v>
      </c>
      <c r="Y13">
        <f t="shared" si="3"/>
        <v>0</v>
      </c>
      <c r="Z13">
        <f t="shared" si="4"/>
        <v>0</v>
      </c>
    </row>
    <row r="14" spans="1:26" x14ac:dyDescent="0.25">
      <c r="A14" s="6">
        <v>38534</v>
      </c>
      <c r="B14" s="5">
        <v>314</v>
      </c>
      <c r="C14" s="7" t="s">
        <v>19</v>
      </c>
      <c r="F14" s="4">
        <v>38626</v>
      </c>
      <c r="G14" s="2"/>
      <c r="H14" s="2"/>
      <c r="I14" s="2">
        <v>7482</v>
      </c>
      <c r="J14" s="2"/>
      <c r="K14" s="2">
        <v>996</v>
      </c>
      <c r="L14" s="2">
        <v>8478</v>
      </c>
      <c r="O14" s="1">
        <v>38626</v>
      </c>
      <c r="P14"/>
      <c r="R14">
        <v>7482</v>
      </c>
      <c r="T14">
        <v>996</v>
      </c>
      <c r="V14" s="1">
        <f t="shared" si="0"/>
        <v>38626</v>
      </c>
      <c r="W14">
        <f t="shared" si="1"/>
        <v>7482</v>
      </c>
      <c r="X14">
        <f t="shared" si="2"/>
        <v>996</v>
      </c>
      <c r="Y14">
        <f t="shared" si="3"/>
        <v>0</v>
      </c>
      <c r="Z14">
        <f t="shared" si="4"/>
        <v>0</v>
      </c>
    </row>
    <row r="15" spans="1:26" x14ac:dyDescent="0.25">
      <c r="A15" s="6">
        <v>38534</v>
      </c>
      <c r="B15" s="5">
        <v>2676</v>
      </c>
      <c r="C15" s="7" t="s">
        <v>13</v>
      </c>
      <c r="F15" s="4">
        <v>38657</v>
      </c>
      <c r="G15" s="2"/>
      <c r="H15" s="2"/>
      <c r="I15" s="2">
        <v>15992</v>
      </c>
      <c r="J15" s="2"/>
      <c r="K15" s="2">
        <v>2199</v>
      </c>
      <c r="L15" s="2">
        <v>18191</v>
      </c>
      <c r="O15" s="1">
        <v>38657</v>
      </c>
      <c r="P15"/>
      <c r="R15">
        <v>15992</v>
      </c>
      <c r="T15">
        <v>2199</v>
      </c>
      <c r="V15" s="1">
        <f t="shared" si="0"/>
        <v>38657</v>
      </c>
      <c r="W15">
        <f t="shared" si="1"/>
        <v>15992</v>
      </c>
      <c r="X15">
        <f t="shared" si="2"/>
        <v>2199</v>
      </c>
      <c r="Y15">
        <f t="shared" si="3"/>
        <v>0</v>
      </c>
      <c r="Z15">
        <f t="shared" si="4"/>
        <v>0</v>
      </c>
    </row>
    <row r="16" spans="1:26" x14ac:dyDescent="0.25">
      <c r="A16" s="6">
        <v>38565</v>
      </c>
      <c r="B16" s="5">
        <v>3213</v>
      </c>
      <c r="C16" s="7" t="s">
        <v>13</v>
      </c>
      <c r="F16" s="4">
        <v>38687</v>
      </c>
      <c r="G16" s="2"/>
      <c r="H16" s="2"/>
      <c r="I16" s="2">
        <v>58394</v>
      </c>
      <c r="J16" s="2"/>
      <c r="K16" s="2">
        <v>9660</v>
      </c>
      <c r="L16" s="2">
        <v>68054</v>
      </c>
      <c r="O16" s="1">
        <v>38687</v>
      </c>
      <c r="P16"/>
      <c r="R16">
        <v>58394</v>
      </c>
      <c r="T16">
        <v>9660</v>
      </c>
      <c r="V16" s="1">
        <f t="shared" si="0"/>
        <v>38687</v>
      </c>
      <c r="W16">
        <f t="shared" si="1"/>
        <v>58394</v>
      </c>
      <c r="X16">
        <f t="shared" si="2"/>
        <v>9660</v>
      </c>
      <c r="Y16">
        <f t="shared" si="3"/>
        <v>0</v>
      </c>
      <c r="Z16">
        <f t="shared" si="4"/>
        <v>0</v>
      </c>
    </row>
    <row r="17" spans="1:26" x14ac:dyDescent="0.25">
      <c r="A17" s="6">
        <v>38565</v>
      </c>
      <c r="B17" s="5">
        <v>373</v>
      </c>
      <c r="C17" s="7" t="s">
        <v>19</v>
      </c>
      <c r="F17" s="4">
        <v>38718</v>
      </c>
      <c r="G17" s="2"/>
      <c r="H17" s="2"/>
      <c r="I17" s="2">
        <v>96347</v>
      </c>
      <c r="J17" s="2"/>
      <c r="K17" s="2">
        <v>14686</v>
      </c>
      <c r="L17" s="2">
        <v>111033</v>
      </c>
      <c r="O17" s="1">
        <v>38718</v>
      </c>
      <c r="P17"/>
      <c r="R17">
        <v>96347</v>
      </c>
      <c r="T17">
        <v>14686</v>
      </c>
      <c r="V17" s="1">
        <f t="shared" si="0"/>
        <v>38718</v>
      </c>
      <c r="W17">
        <f t="shared" si="1"/>
        <v>96347</v>
      </c>
      <c r="X17">
        <f t="shared" si="2"/>
        <v>14686</v>
      </c>
      <c r="Y17">
        <f t="shared" si="3"/>
        <v>0</v>
      </c>
      <c r="Z17">
        <f t="shared" si="4"/>
        <v>0</v>
      </c>
    </row>
    <row r="18" spans="1:26" x14ac:dyDescent="0.25">
      <c r="A18" s="6">
        <v>38596</v>
      </c>
      <c r="B18" s="5">
        <v>4049</v>
      </c>
      <c r="C18" s="7" t="s">
        <v>13</v>
      </c>
      <c r="F18" s="4">
        <v>38749</v>
      </c>
      <c r="G18" s="2"/>
      <c r="H18" s="2"/>
      <c r="I18" s="2">
        <v>93070</v>
      </c>
      <c r="J18" s="2"/>
      <c r="K18" s="2">
        <v>13545</v>
      </c>
      <c r="L18" s="2">
        <v>106615</v>
      </c>
      <c r="O18" s="1">
        <v>38749</v>
      </c>
      <c r="P18"/>
      <c r="R18">
        <v>93070</v>
      </c>
      <c r="T18">
        <v>13545</v>
      </c>
      <c r="V18" s="1">
        <f t="shared" si="0"/>
        <v>38749</v>
      </c>
      <c r="W18">
        <f t="shared" si="1"/>
        <v>93070</v>
      </c>
      <c r="X18">
        <f t="shared" si="2"/>
        <v>13545</v>
      </c>
      <c r="Y18">
        <f t="shared" si="3"/>
        <v>0</v>
      </c>
      <c r="Z18">
        <f t="shared" si="4"/>
        <v>0</v>
      </c>
    </row>
    <row r="19" spans="1:26" x14ac:dyDescent="0.25">
      <c r="A19" s="6">
        <v>38596</v>
      </c>
      <c r="B19" s="5">
        <v>618</v>
      </c>
      <c r="C19" s="7" t="s">
        <v>19</v>
      </c>
      <c r="F19" s="4">
        <v>38777</v>
      </c>
      <c r="G19" s="2"/>
      <c r="H19" s="2"/>
      <c r="I19" s="2">
        <v>77021</v>
      </c>
      <c r="J19" s="2"/>
      <c r="K19" s="2">
        <v>12672</v>
      </c>
      <c r="L19" s="2">
        <v>89693</v>
      </c>
      <c r="O19" s="1">
        <v>38777</v>
      </c>
      <c r="P19"/>
      <c r="R19">
        <v>77021</v>
      </c>
      <c r="T19">
        <v>12672</v>
      </c>
      <c r="V19" s="1">
        <f t="shared" si="0"/>
        <v>38777</v>
      </c>
      <c r="W19">
        <f t="shared" si="1"/>
        <v>77021</v>
      </c>
      <c r="X19">
        <f t="shared" si="2"/>
        <v>12672</v>
      </c>
      <c r="Y19">
        <f t="shared" si="3"/>
        <v>0</v>
      </c>
      <c r="Z19">
        <f t="shared" si="4"/>
        <v>0</v>
      </c>
    </row>
    <row r="20" spans="1:26" x14ac:dyDescent="0.25">
      <c r="A20" s="6">
        <v>38626</v>
      </c>
      <c r="B20" s="5">
        <v>7482</v>
      </c>
      <c r="C20" s="7" t="s">
        <v>13</v>
      </c>
      <c r="F20" s="4">
        <v>38808</v>
      </c>
      <c r="G20" s="2"/>
      <c r="H20" s="2"/>
      <c r="I20" s="2">
        <v>86488</v>
      </c>
      <c r="J20" s="2"/>
      <c r="K20" s="2">
        <v>13588</v>
      </c>
      <c r="L20" s="2">
        <v>100076</v>
      </c>
      <c r="O20" s="1">
        <v>38808</v>
      </c>
      <c r="P20"/>
      <c r="R20">
        <v>86488</v>
      </c>
      <c r="T20">
        <v>13588</v>
      </c>
      <c r="V20" s="1">
        <f t="shared" si="0"/>
        <v>38808</v>
      </c>
      <c r="W20">
        <f t="shared" si="1"/>
        <v>86488</v>
      </c>
      <c r="X20">
        <f t="shared" si="2"/>
        <v>13588</v>
      </c>
      <c r="Y20">
        <f t="shared" si="3"/>
        <v>0</v>
      </c>
      <c r="Z20">
        <f t="shared" si="4"/>
        <v>0</v>
      </c>
    </row>
    <row r="21" spans="1:26" x14ac:dyDescent="0.25">
      <c r="A21" s="6">
        <v>38626</v>
      </c>
      <c r="B21" s="5">
        <v>996</v>
      </c>
      <c r="C21" s="7" t="s">
        <v>19</v>
      </c>
      <c r="F21" s="4">
        <v>38838</v>
      </c>
      <c r="G21" s="2"/>
      <c r="H21" s="2"/>
      <c r="I21" s="2">
        <v>99743</v>
      </c>
      <c r="J21" s="2"/>
      <c r="K21" s="2">
        <v>13902</v>
      </c>
      <c r="L21" s="2">
        <v>113645</v>
      </c>
      <c r="O21" s="1">
        <v>38838</v>
      </c>
      <c r="P21"/>
      <c r="R21">
        <v>99743</v>
      </c>
      <c r="T21">
        <v>13902</v>
      </c>
      <c r="V21" s="1">
        <f t="shared" si="0"/>
        <v>38838</v>
      </c>
      <c r="W21">
        <f t="shared" si="1"/>
        <v>99743</v>
      </c>
      <c r="X21">
        <f t="shared" si="2"/>
        <v>13902</v>
      </c>
      <c r="Y21">
        <f t="shared" si="3"/>
        <v>0</v>
      </c>
      <c r="Z21">
        <f t="shared" si="4"/>
        <v>0</v>
      </c>
    </row>
    <row r="22" spans="1:26" x14ac:dyDescent="0.25">
      <c r="A22" s="6">
        <v>38657</v>
      </c>
      <c r="B22" s="5">
        <v>15992</v>
      </c>
      <c r="C22" s="7" t="s">
        <v>13</v>
      </c>
      <c r="F22" s="4">
        <v>38869</v>
      </c>
      <c r="G22" s="2"/>
      <c r="H22" s="2"/>
      <c r="I22" s="2">
        <v>94688</v>
      </c>
      <c r="J22" s="2"/>
      <c r="K22" s="2">
        <v>12297</v>
      </c>
      <c r="L22" s="2">
        <v>106985</v>
      </c>
      <c r="O22" s="1">
        <v>38869</v>
      </c>
      <c r="P22"/>
      <c r="R22">
        <v>94688</v>
      </c>
      <c r="T22">
        <v>12297</v>
      </c>
      <c r="V22" s="1">
        <f t="shared" si="0"/>
        <v>38869</v>
      </c>
      <c r="W22">
        <f t="shared" si="1"/>
        <v>94688</v>
      </c>
      <c r="X22">
        <f t="shared" si="2"/>
        <v>12297</v>
      </c>
      <c r="Y22">
        <f t="shared" si="3"/>
        <v>0</v>
      </c>
      <c r="Z22">
        <f t="shared" si="4"/>
        <v>0</v>
      </c>
    </row>
    <row r="23" spans="1:26" x14ac:dyDescent="0.25">
      <c r="A23" s="6">
        <v>38657</v>
      </c>
      <c r="B23" s="5">
        <v>2199</v>
      </c>
      <c r="C23" s="7" t="s">
        <v>19</v>
      </c>
      <c r="F23" s="4">
        <v>38899</v>
      </c>
      <c r="G23" s="2"/>
      <c r="H23" s="2"/>
      <c r="I23" s="2">
        <v>102712</v>
      </c>
      <c r="J23" s="2"/>
      <c r="K23" s="2">
        <v>11912</v>
      </c>
      <c r="L23" s="2">
        <v>114624</v>
      </c>
      <c r="O23" s="1">
        <v>38899</v>
      </c>
      <c r="P23"/>
      <c r="R23">
        <v>102712</v>
      </c>
      <c r="T23">
        <v>11912</v>
      </c>
      <c r="V23" s="1">
        <f t="shared" si="0"/>
        <v>38899</v>
      </c>
      <c r="W23">
        <f t="shared" si="1"/>
        <v>102712</v>
      </c>
      <c r="X23">
        <f t="shared" si="2"/>
        <v>11912</v>
      </c>
      <c r="Y23">
        <f t="shared" si="3"/>
        <v>0</v>
      </c>
      <c r="Z23">
        <f t="shared" si="4"/>
        <v>0</v>
      </c>
    </row>
    <row r="24" spans="1:26" x14ac:dyDescent="0.25">
      <c r="A24" s="6">
        <v>38687</v>
      </c>
      <c r="B24" s="5">
        <v>58394</v>
      </c>
      <c r="C24" s="7" t="s">
        <v>13</v>
      </c>
      <c r="F24" s="4">
        <v>38930</v>
      </c>
      <c r="G24" s="2"/>
      <c r="H24" s="2"/>
      <c r="I24" s="2">
        <v>111391</v>
      </c>
      <c r="J24" s="2"/>
      <c r="K24" s="2">
        <v>11212</v>
      </c>
      <c r="L24" s="2">
        <v>122603</v>
      </c>
      <c r="O24" s="1">
        <v>38930</v>
      </c>
      <c r="P24"/>
      <c r="R24">
        <v>111391</v>
      </c>
      <c r="T24">
        <v>11212</v>
      </c>
      <c r="V24" s="1">
        <f t="shared" si="0"/>
        <v>38930</v>
      </c>
      <c r="W24">
        <f t="shared" si="1"/>
        <v>111391</v>
      </c>
      <c r="X24">
        <f t="shared" si="2"/>
        <v>11212</v>
      </c>
      <c r="Y24">
        <f t="shared" si="3"/>
        <v>0</v>
      </c>
      <c r="Z24">
        <f t="shared" si="4"/>
        <v>0</v>
      </c>
    </row>
    <row r="25" spans="1:26" x14ac:dyDescent="0.25">
      <c r="A25" s="6">
        <v>38687</v>
      </c>
      <c r="B25" s="5">
        <v>9660</v>
      </c>
      <c r="C25" s="7" t="s">
        <v>19</v>
      </c>
      <c r="F25" s="4">
        <v>38961</v>
      </c>
      <c r="G25" s="2"/>
      <c r="H25" s="2"/>
      <c r="I25" s="2">
        <v>101466</v>
      </c>
      <c r="J25" s="2"/>
      <c r="K25" s="2">
        <v>10662</v>
      </c>
      <c r="L25" s="2">
        <v>112128</v>
      </c>
      <c r="O25" s="1">
        <v>38961</v>
      </c>
      <c r="P25"/>
      <c r="R25">
        <v>101466</v>
      </c>
      <c r="T25">
        <v>10662</v>
      </c>
      <c r="V25" s="1">
        <f t="shared" si="0"/>
        <v>38961</v>
      </c>
      <c r="W25">
        <f t="shared" si="1"/>
        <v>101466</v>
      </c>
      <c r="X25">
        <f t="shared" si="2"/>
        <v>10662</v>
      </c>
      <c r="Y25">
        <f t="shared" si="3"/>
        <v>0</v>
      </c>
      <c r="Z25">
        <f t="shared" si="4"/>
        <v>0</v>
      </c>
    </row>
    <row r="26" spans="1:26" x14ac:dyDescent="0.25">
      <c r="A26" s="6">
        <v>38718</v>
      </c>
      <c r="B26" s="5">
        <v>14686</v>
      </c>
      <c r="C26" s="7" t="s">
        <v>19</v>
      </c>
      <c r="F26" s="4">
        <v>38991</v>
      </c>
      <c r="G26" s="2"/>
      <c r="H26" s="2"/>
      <c r="I26" s="2">
        <v>102383</v>
      </c>
      <c r="J26" s="2"/>
      <c r="K26" s="2">
        <v>11537</v>
      </c>
      <c r="L26" s="2">
        <v>113920</v>
      </c>
      <c r="O26" s="1">
        <v>38991</v>
      </c>
      <c r="P26"/>
      <c r="R26">
        <v>102383</v>
      </c>
      <c r="T26">
        <v>11537</v>
      </c>
      <c r="V26" s="1">
        <f t="shared" si="0"/>
        <v>38991</v>
      </c>
      <c r="W26">
        <f t="shared" si="1"/>
        <v>102383</v>
      </c>
      <c r="X26">
        <f t="shared" si="2"/>
        <v>11537</v>
      </c>
      <c r="Y26">
        <f t="shared" si="3"/>
        <v>0</v>
      </c>
      <c r="Z26">
        <f t="shared" si="4"/>
        <v>0</v>
      </c>
    </row>
    <row r="27" spans="1:26" x14ac:dyDescent="0.25">
      <c r="A27" s="6">
        <v>38718</v>
      </c>
      <c r="B27" s="5">
        <v>96347</v>
      </c>
      <c r="C27" s="7" t="s">
        <v>13</v>
      </c>
      <c r="F27" s="4">
        <v>39022</v>
      </c>
      <c r="G27" s="2"/>
      <c r="H27" s="2"/>
      <c r="I27" s="2">
        <v>96093</v>
      </c>
      <c r="J27" s="2"/>
      <c r="K27" s="2">
        <v>12948</v>
      </c>
      <c r="L27" s="2">
        <v>109041</v>
      </c>
      <c r="O27" s="1">
        <v>39022</v>
      </c>
      <c r="P27"/>
      <c r="R27">
        <v>96093</v>
      </c>
      <c r="T27">
        <v>12948</v>
      </c>
      <c r="V27" s="1">
        <f t="shared" si="0"/>
        <v>39022</v>
      </c>
      <c r="W27">
        <f t="shared" si="1"/>
        <v>96093</v>
      </c>
      <c r="X27">
        <f t="shared" si="2"/>
        <v>12948</v>
      </c>
      <c r="Y27">
        <f t="shared" si="3"/>
        <v>0</v>
      </c>
      <c r="Z27">
        <f t="shared" si="4"/>
        <v>0</v>
      </c>
    </row>
    <row r="28" spans="1:26" x14ac:dyDescent="0.25">
      <c r="A28" s="6">
        <v>38749</v>
      </c>
      <c r="B28" s="5">
        <v>93070</v>
      </c>
      <c r="C28" s="7" t="s">
        <v>13</v>
      </c>
      <c r="F28" s="4">
        <v>39052</v>
      </c>
      <c r="G28" s="2"/>
      <c r="H28" s="2"/>
      <c r="I28" s="2">
        <v>107333</v>
      </c>
      <c r="J28" s="2"/>
      <c r="K28" s="2">
        <v>17880</v>
      </c>
      <c r="L28" s="2">
        <v>125213</v>
      </c>
      <c r="O28" s="1">
        <v>39052</v>
      </c>
      <c r="P28"/>
      <c r="R28">
        <v>107333</v>
      </c>
      <c r="T28">
        <v>17880</v>
      </c>
      <c r="V28" s="1">
        <f t="shared" si="0"/>
        <v>39052</v>
      </c>
      <c r="W28">
        <f t="shared" si="1"/>
        <v>107333</v>
      </c>
      <c r="X28">
        <f t="shared" si="2"/>
        <v>17880</v>
      </c>
      <c r="Y28">
        <f t="shared" si="3"/>
        <v>0</v>
      </c>
      <c r="Z28">
        <f t="shared" si="4"/>
        <v>0</v>
      </c>
    </row>
    <row r="29" spans="1:26" x14ac:dyDescent="0.25">
      <c r="A29" s="6">
        <v>38749</v>
      </c>
      <c r="B29" s="5">
        <v>13545</v>
      </c>
      <c r="C29" s="7" t="s">
        <v>19</v>
      </c>
      <c r="F29" s="4">
        <v>39083</v>
      </c>
      <c r="G29" s="2"/>
      <c r="H29" s="2"/>
      <c r="I29" s="2">
        <v>98456</v>
      </c>
      <c r="J29" s="2"/>
      <c r="K29" s="2">
        <v>17232</v>
      </c>
      <c r="L29" s="2">
        <v>115688</v>
      </c>
      <c r="O29" s="1">
        <v>39083</v>
      </c>
      <c r="P29"/>
      <c r="R29">
        <v>98456</v>
      </c>
      <c r="T29">
        <v>17232</v>
      </c>
      <c r="V29" s="1">
        <f t="shared" si="0"/>
        <v>39083</v>
      </c>
      <c r="W29">
        <f t="shared" si="1"/>
        <v>98456</v>
      </c>
      <c r="X29">
        <f t="shared" si="2"/>
        <v>17232</v>
      </c>
      <c r="Y29">
        <f t="shared" si="3"/>
        <v>0</v>
      </c>
      <c r="Z29">
        <f t="shared" si="4"/>
        <v>0</v>
      </c>
    </row>
    <row r="30" spans="1:26" x14ac:dyDescent="0.25">
      <c r="A30" s="6">
        <v>38777</v>
      </c>
      <c r="B30" s="5">
        <v>77021</v>
      </c>
      <c r="C30" s="7" t="s">
        <v>13</v>
      </c>
      <c r="F30" s="4">
        <v>39114</v>
      </c>
      <c r="G30" s="2"/>
      <c r="H30" s="2"/>
      <c r="I30" s="2">
        <v>99305</v>
      </c>
      <c r="J30" s="2"/>
      <c r="K30" s="2">
        <v>21209</v>
      </c>
      <c r="L30" s="2">
        <v>120514</v>
      </c>
      <c r="O30" s="1">
        <v>39114</v>
      </c>
      <c r="P30"/>
      <c r="R30">
        <v>99305</v>
      </c>
      <c r="T30">
        <v>21209</v>
      </c>
      <c r="V30" s="1">
        <f t="shared" si="0"/>
        <v>39114</v>
      </c>
      <c r="W30">
        <f t="shared" si="1"/>
        <v>99305</v>
      </c>
      <c r="X30">
        <f t="shared" si="2"/>
        <v>21209</v>
      </c>
      <c r="Y30">
        <f t="shared" si="3"/>
        <v>0</v>
      </c>
      <c r="Z30">
        <f t="shared" si="4"/>
        <v>0</v>
      </c>
    </row>
    <row r="31" spans="1:26" x14ac:dyDescent="0.25">
      <c r="A31" s="6">
        <v>38777</v>
      </c>
      <c r="B31" s="5">
        <v>12672</v>
      </c>
      <c r="C31" s="7" t="s">
        <v>19</v>
      </c>
      <c r="F31" s="4">
        <v>39142</v>
      </c>
      <c r="G31" s="2"/>
      <c r="H31" s="2"/>
      <c r="I31" s="2">
        <v>86895</v>
      </c>
      <c r="J31" s="2"/>
      <c r="K31" s="2">
        <v>20923</v>
      </c>
      <c r="L31" s="2">
        <v>107818</v>
      </c>
      <c r="O31" s="1">
        <v>39142</v>
      </c>
      <c r="P31"/>
      <c r="R31">
        <v>86895</v>
      </c>
      <c r="T31">
        <v>20923</v>
      </c>
      <c r="V31" s="1">
        <f t="shared" si="0"/>
        <v>39142</v>
      </c>
      <c r="W31">
        <f t="shared" si="1"/>
        <v>86895</v>
      </c>
      <c r="X31">
        <f t="shared" si="2"/>
        <v>20923</v>
      </c>
      <c r="Y31">
        <f t="shared" si="3"/>
        <v>0</v>
      </c>
      <c r="Z31">
        <f t="shared" si="4"/>
        <v>0</v>
      </c>
    </row>
    <row r="32" spans="1:26" x14ac:dyDescent="0.25">
      <c r="A32" s="6">
        <v>38808</v>
      </c>
      <c r="B32" s="5">
        <v>86488</v>
      </c>
      <c r="C32" s="7" t="s">
        <v>13</v>
      </c>
      <c r="F32" s="4">
        <v>39173</v>
      </c>
      <c r="G32" s="2"/>
      <c r="H32" s="2"/>
      <c r="I32" s="2">
        <v>93294</v>
      </c>
      <c r="J32" s="2"/>
      <c r="K32" s="2">
        <v>18017</v>
      </c>
      <c r="L32" s="2">
        <v>111311</v>
      </c>
      <c r="O32" s="1">
        <v>39173</v>
      </c>
      <c r="P32"/>
      <c r="R32">
        <v>93294</v>
      </c>
      <c r="T32">
        <v>18017</v>
      </c>
      <c r="V32" s="1">
        <f t="shared" si="0"/>
        <v>39173</v>
      </c>
      <c r="W32">
        <f t="shared" si="1"/>
        <v>93294</v>
      </c>
      <c r="X32">
        <f t="shared" si="2"/>
        <v>18017</v>
      </c>
      <c r="Y32">
        <f t="shared" si="3"/>
        <v>0</v>
      </c>
      <c r="Z32">
        <f t="shared" si="4"/>
        <v>0</v>
      </c>
    </row>
    <row r="33" spans="1:26" x14ac:dyDescent="0.25">
      <c r="A33" s="6">
        <v>38808</v>
      </c>
      <c r="B33" s="5">
        <v>13588</v>
      </c>
      <c r="C33" s="7" t="s">
        <v>19</v>
      </c>
      <c r="F33" s="4">
        <v>39203</v>
      </c>
      <c r="G33" s="2"/>
      <c r="H33" s="2"/>
      <c r="I33" s="2">
        <v>118081</v>
      </c>
      <c r="J33" s="2"/>
      <c r="K33" s="2">
        <v>22875</v>
      </c>
      <c r="L33" s="2">
        <v>140956</v>
      </c>
      <c r="O33" s="1">
        <v>39203</v>
      </c>
      <c r="P33"/>
      <c r="R33">
        <v>118081</v>
      </c>
      <c r="T33">
        <v>22875</v>
      </c>
      <c r="V33" s="1">
        <f t="shared" si="0"/>
        <v>39203</v>
      </c>
      <c r="W33">
        <f t="shared" si="1"/>
        <v>118081</v>
      </c>
      <c r="X33">
        <f t="shared" si="2"/>
        <v>22875</v>
      </c>
      <c r="Y33">
        <f t="shared" si="3"/>
        <v>0</v>
      </c>
      <c r="Z33">
        <f t="shared" si="4"/>
        <v>0</v>
      </c>
    </row>
    <row r="34" spans="1:26" x14ac:dyDescent="0.25">
      <c r="A34" s="6">
        <v>38838</v>
      </c>
      <c r="B34" s="5">
        <v>99743</v>
      </c>
      <c r="C34" s="7" t="s">
        <v>13</v>
      </c>
      <c r="F34" s="4">
        <v>39234</v>
      </c>
      <c r="G34" s="2"/>
      <c r="H34" s="2"/>
      <c r="I34" s="2">
        <v>122699</v>
      </c>
      <c r="J34" s="2"/>
      <c r="K34" s="2">
        <v>24801</v>
      </c>
      <c r="L34" s="2">
        <v>147500</v>
      </c>
      <c r="O34" s="1">
        <v>39234</v>
      </c>
      <c r="P34"/>
      <c r="R34">
        <v>122699</v>
      </c>
      <c r="T34">
        <v>24801</v>
      </c>
      <c r="V34" s="1">
        <f t="shared" si="0"/>
        <v>39234</v>
      </c>
      <c r="W34">
        <f t="shared" si="1"/>
        <v>122699</v>
      </c>
      <c r="X34">
        <f t="shared" si="2"/>
        <v>24801</v>
      </c>
      <c r="Y34">
        <f t="shared" si="3"/>
        <v>0</v>
      </c>
      <c r="Z34">
        <f t="shared" si="4"/>
        <v>0</v>
      </c>
    </row>
    <row r="35" spans="1:26" x14ac:dyDescent="0.25">
      <c r="A35" s="6">
        <v>38838</v>
      </c>
      <c r="B35" s="5">
        <v>13902</v>
      </c>
      <c r="C35" s="7" t="s">
        <v>19</v>
      </c>
      <c r="F35" s="4">
        <v>39264</v>
      </c>
      <c r="G35" s="2"/>
      <c r="H35" s="2"/>
      <c r="I35" s="2">
        <v>125490</v>
      </c>
      <c r="J35" s="2"/>
      <c r="K35" s="2">
        <v>21810</v>
      </c>
      <c r="L35" s="2">
        <v>147300</v>
      </c>
      <c r="O35" s="1">
        <v>39264</v>
      </c>
      <c r="P35"/>
      <c r="R35">
        <v>125490</v>
      </c>
      <c r="T35">
        <v>21810</v>
      </c>
      <c r="V35" s="1">
        <f t="shared" si="0"/>
        <v>39264</v>
      </c>
      <c r="W35">
        <f t="shared" si="1"/>
        <v>125490</v>
      </c>
      <c r="X35">
        <f t="shared" si="2"/>
        <v>21810</v>
      </c>
      <c r="Y35">
        <f t="shared" si="3"/>
        <v>0</v>
      </c>
      <c r="Z35">
        <f t="shared" si="4"/>
        <v>0</v>
      </c>
    </row>
    <row r="36" spans="1:26" x14ac:dyDescent="0.25">
      <c r="A36" s="6">
        <v>38869</v>
      </c>
      <c r="B36" s="5">
        <v>94688</v>
      </c>
      <c r="C36" s="7" t="s">
        <v>13</v>
      </c>
      <c r="F36" s="4">
        <v>39295</v>
      </c>
      <c r="G36" s="2"/>
      <c r="H36" s="2"/>
      <c r="I36" s="2">
        <v>118350</v>
      </c>
      <c r="J36" s="2"/>
      <c r="K36" s="2">
        <v>17435</v>
      </c>
      <c r="L36" s="2">
        <v>135785</v>
      </c>
      <c r="O36" s="1">
        <v>39295</v>
      </c>
      <c r="P36"/>
      <c r="R36">
        <v>118350</v>
      </c>
      <c r="T36">
        <v>17435</v>
      </c>
      <c r="V36" s="1">
        <f t="shared" si="0"/>
        <v>39295</v>
      </c>
      <c r="W36">
        <f t="shared" si="1"/>
        <v>118350</v>
      </c>
      <c r="X36">
        <f t="shared" si="2"/>
        <v>17435</v>
      </c>
      <c r="Y36">
        <f t="shared" si="3"/>
        <v>0</v>
      </c>
      <c r="Z36">
        <f t="shared" si="4"/>
        <v>0</v>
      </c>
    </row>
    <row r="37" spans="1:26" x14ac:dyDescent="0.25">
      <c r="A37" s="6">
        <v>38869</v>
      </c>
      <c r="B37" s="5">
        <v>12297</v>
      </c>
      <c r="C37" s="7" t="s">
        <v>19</v>
      </c>
      <c r="F37" s="4">
        <v>39326</v>
      </c>
      <c r="G37" s="2"/>
      <c r="H37" s="2"/>
      <c r="I37" s="2">
        <v>113663</v>
      </c>
      <c r="J37" s="2"/>
      <c r="K37" s="2">
        <v>15468</v>
      </c>
      <c r="L37" s="2">
        <v>129131</v>
      </c>
      <c r="O37" s="1">
        <v>39326</v>
      </c>
      <c r="P37"/>
      <c r="R37">
        <v>113663</v>
      </c>
      <c r="T37">
        <v>15468</v>
      </c>
      <c r="V37" s="1">
        <f t="shared" si="0"/>
        <v>39326</v>
      </c>
      <c r="W37">
        <f t="shared" si="1"/>
        <v>113663</v>
      </c>
      <c r="X37">
        <f t="shared" si="2"/>
        <v>15468</v>
      </c>
      <c r="Y37">
        <f t="shared" si="3"/>
        <v>0</v>
      </c>
      <c r="Z37">
        <f t="shared" si="4"/>
        <v>0</v>
      </c>
    </row>
    <row r="38" spans="1:26" x14ac:dyDescent="0.25">
      <c r="A38" s="6">
        <v>38899</v>
      </c>
      <c r="B38" s="5">
        <v>102712</v>
      </c>
      <c r="C38" s="7" t="s">
        <v>13</v>
      </c>
      <c r="F38" s="4">
        <v>39356</v>
      </c>
      <c r="G38" s="2"/>
      <c r="H38" s="2"/>
      <c r="I38" s="2">
        <v>110255</v>
      </c>
      <c r="J38" s="2"/>
      <c r="K38" s="2">
        <v>15255</v>
      </c>
      <c r="L38" s="2">
        <v>125510</v>
      </c>
      <c r="O38" s="1">
        <v>39356</v>
      </c>
      <c r="P38"/>
      <c r="R38">
        <v>110255</v>
      </c>
      <c r="T38">
        <v>15255</v>
      </c>
      <c r="V38" s="1">
        <f t="shared" si="0"/>
        <v>39356</v>
      </c>
      <c r="W38">
        <f t="shared" si="1"/>
        <v>110255</v>
      </c>
      <c r="X38">
        <f t="shared" si="2"/>
        <v>15255</v>
      </c>
      <c r="Y38">
        <f t="shared" si="3"/>
        <v>0</v>
      </c>
      <c r="Z38">
        <f t="shared" si="4"/>
        <v>0</v>
      </c>
    </row>
    <row r="39" spans="1:26" x14ac:dyDescent="0.25">
      <c r="A39" s="6">
        <v>38899</v>
      </c>
      <c r="B39" s="5">
        <v>11912</v>
      </c>
      <c r="C39" s="7" t="s">
        <v>19</v>
      </c>
      <c r="F39" s="4">
        <v>39387</v>
      </c>
      <c r="G39" s="2"/>
      <c r="H39" s="2"/>
      <c r="I39" s="2">
        <v>99634</v>
      </c>
      <c r="J39" s="2"/>
      <c r="K39" s="2">
        <v>18097</v>
      </c>
      <c r="L39" s="2">
        <v>117731</v>
      </c>
      <c r="O39" s="1">
        <v>39387</v>
      </c>
      <c r="P39"/>
      <c r="R39">
        <v>99634</v>
      </c>
      <c r="T39">
        <v>18097</v>
      </c>
      <c r="V39" s="1">
        <f t="shared" si="0"/>
        <v>39387</v>
      </c>
      <c r="W39">
        <f t="shared" si="1"/>
        <v>99634</v>
      </c>
      <c r="X39">
        <f t="shared" si="2"/>
        <v>18097</v>
      </c>
      <c r="Y39">
        <f t="shared" si="3"/>
        <v>0</v>
      </c>
      <c r="Z39">
        <f t="shared" si="4"/>
        <v>0</v>
      </c>
    </row>
    <row r="40" spans="1:26" x14ac:dyDescent="0.25">
      <c r="A40" s="6">
        <v>38930</v>
      </c>
      <c r="B40" s="5">
        <v>11212</v>
      </c>
      <c r="C40" s="7" t="s">
        <v>19</v>
      </c>
      <c r="F40" s="4">
        <v>39417</v>
      </c>
      <c r="G40" s="2"/>
      <c r="H40" s="2"/>
      <c r="I40" s="2">
        <v>101090</v>
      </c>
      <c r="J40" s="2"/>
      <c r="K40" s="2">
        <v>21973</v>
      </c>
      <c r="L40" s="2">
        <v>123063</v>
      </c>
      <c r="O40" s="1">
        <v>39417</v>
      </c>
      <c r="P40"/>
      <c r="R40">
        <v>101090</v>
      </c>
      <c r="T40">
        <v>21973</v>
      </c>
      <c r="V40" s="1">
        <f t="shared" si="0"/>
        <v>39417</v>
      </c>
      <c r="W40">
        <f t="shared" si="1"/>
        <v>101090</v>
      </c>
      <c r="X40">
        <f t="shared" si="2"/>
        <v>21973</v>
      </c>
      <c r="Y40">
        <f t="shared" si="3"/>
        <v>0</v>
      </c>
      <c r="Z40">
        <f t="shared" si="4"/>
        <v>0</v>
      </c>
    </row>
    <row r="41" spans="1:26" x14ac:dyDescent="0.25">
      <c r="A41" s="6">
        <v>38930</v>
      </c>
      <c r="B41" s="5">
        <v>111391</v>
      </c>
      <c r="C41" s="7" t="s">
        <v>13</v>
      </c>
      <c r="F41" s="4">
        <v>39448</v>
      </c>
      <c r="G41" s="2"/>
      <c r="H41" s="2"/>
      <c r="I41" s="2">
        <v>88196</v>
      </c>
      <c r="J41" s="2"/>
      <c r="K41" s="2">
        <v>20897</v>
      </c>
      <c r="L41" s="2">
        <v>109093</v>
      </c>
      <c r="O41" s="1">
        <v>39448</v>
      </c>
      <c r="P41"/>
      <c r="R41">
        <v>88196</v>
      </c>
      <c r="T41">
        <v>20897</v>
      </c>
      <c r="V41" s="1">
        <f t="shared" si="0"/>
        <v>39448</v>
      </c>
      <c r="W41">
        <f t="shared" si="1"/>
        <v>88196</v>
      </c>
      <c r="X41">
        <f t="shared" si="2"/>
        <v>20897</v>
      </c>
      <c r="Y41">
        <f t="shared" si="3"/>
        <v>0</v>
      </c>
      <c r="Z41">
        <f t="shared" si="4"/>
        <v>0</v>
      </c>
    </row>
    <row r="42" spans="1:26" x14ac:dyDescent="0.25">
      <c r="A42" s="6">
        <v>38961</v>
      </c>
      <c r="B42" s="5">
        <v>10662</v>
      </c>
      <c r="C42" s="7" t="s">
        <v>19</v>
      </c>
      <c r="F42" s="4">
        <v>39479</v>
      </c>
      <c r="G42" s="2"/>
      <c r="H42" s="2"/>
      <c r="I42" s="2">
        <v>95942</v>
      </c>
      <c r="J42" s="2"/>
      <c r="K42" s="2">
        <v>30555</v>
      </c>
      <c r="L42" s="2">
        <v>126497</v>
      </c>
      <c r="O42" s="1">
        <v>39479</v>
      </c>
      <c r="P42"/>
      <c r="R42">
        <v>95942</v>
      </c>
      <c r="T42">
        <v>30555</v>
      </c>
      <c r="V42" s="1">
        <f t="shared" si="0"/>
        <v>39479</v>
      </c>
      <c r="W42">
        <f t="shared" si="1"/>
        <v>95942</v>
      </c>
      <c r="X42">
        <f t="shared" si="2"/>
        <v>30555</v>
      </c>
      <c r="Y42">
        <f t="shared" si="3"/>
        <v>0</v>
      </c>
      <c r="Z42">
        <f t="shared" si="4"/>
        <v>0</v>
      </c>
    </row>
    <row r="43" spans="1:26" x14ac:dyDescent="0.25">
      <c r="A43" s="6">
        <v>38961</v>
      </c>
      <c r="B43" s="5">
        <v>101466</v>
      </c>
      <c r="C43" s="7" t="s">
        <v>13</v>
      </c>
      <c r="F43" s="4">
        <v>39508</v>
      </c>
      <c r="G43" s="2"/>
      <c r="H43" s="2"/>
      <c r="I43" s="2">
        <v>78250</v>
      </c>
      <c r="J43" s="2"/>
      <c r="K43" s="2">
        <v>34268</v>
      </c>
      <c r="L43" s="2">
        <v>112518</v>
      </c>
      <c r="O43" s="1">
        <v>39508</v>
      </c>
      <c r="P43"/>
      <c r="R43">
        <v>78250</v>
      </c>
      <c r="T43">
        <v>34268</v>
      </c>
      <c r="V43" s="1">
        <f t="shared" si="0"/>
        <v>39508</v>
      </c>
      <c r="W43">
        <f t="shared" si="1"/>
        <v>78250</v>
      </c>
      <c r="X43">
        <f t="shared" si="2"/>
        <v>34268</v>
      </c>
      <c r="Y43">
        <f t="shared" si="3"/>
        <v>0</v>
      </c>
      <c r="Z43">
        <f t="shared" si="4"/>
        <v>0</v>
      </c>
    </row>
    <row r="44" spans="1:26" x14ac:dyDescent="0.25">
      <c r="A44" s="6">
        <v>38991</v>
      </c>
      <c r="B44" s="5">
        <v>102383</v>
      </c>
      <c r="C44" s="7" t="s">
        <v>13</v>
      </c>
      <c r="F44" s="4">
        <v>39539</v>
      </c>
      <c r="G44" s="2"/>
      <c r="H44" s="2"/>
      <c r="I44" s="2">
        <v>99187</v>
      </c>
      <c r="J44" s="2"/>
      <c r="K44" s="2">
        <v>60058</v>
      </c>
      <c r="L44" s="2">
        <v>159245</v>
      </c>
      <c r="O44" s="1">
        <v>39539</v>
      </c>
      <c r="P44"/>
      <c r="R44">
        <v>99187</v>
      </c>
      <c r="T44">
        <v>60058</v>
      </c>
      <c r="V44" s="1">
        <f t="shared" si="0"/>
        <v>39539</v>
      </c>
      <c r="W44">
        <f t="shared" si="1"/>
        <v>99187</v>
      </c>
      <c r="X44">
        <f t="shared" si="2"/>
        <v>60058</v>
      </c>
      <c r="Y44">
        <f t="shared" si="3"/>
        <v>0</v>
      </c>
      <c r="Z44">
        <f t="shared" si="4"/>
        <v>0</v>
      </c>
    </row>
    <row r="45" spans="1:26" x14ac:dyDescent="0.25">
      <c r="A45" s="6">
        <v>38991</v>
      </c>
      <c r="B45" s="5">
        <v>11537</v>
      </c>
      <c r="C45" s="7" t="s">
        <v>19</v>
      </c>
      <c r="F45" s="4">
        <v>39569</v>
      </c>
      <c r="G45" s="2"/>
      <c r="H45" s="2"/>
      <c r="I45" s="2">
        <v>102401</v>
      </c>
      <c r="J45" s="2"/>
      <c r="K45" s="2">
        <v>41596</v>
      </c>
      <c r="L45" s="2">
        <v>143997</v>
      </c>
      <c r="O45" s="1">
        <v>39569</v>
      </c>
      <c r="P45"/>
      <c r="R45">
        <v>102401</v>
      </c>
      <c r="T45">
        <v>41596</v>
      </c>
      <c r="V45" s="1">
        <f t="shared" si="0"/>
        <v>39569</v>
      </c>
      <c r="W45">
        <f t="shared" si="1"/>
        <v>102401</v>
      </c>
      <c r="X45">
        <f t="shared" si="2"/>
        <v>41596</v>
      </c>
      <c r="Y45">
        <f t="shared" si="3"/>
        <v>0</v>
      </c>
      <c r="Z45">
        <f t="shared" si="4"/>
        <v>0</v>
      </c>
    </row>
    <row r="46" spans="1:26" x14ac:dyDescent="0.25">
      <c r="A46" s="6">
        <v>39022</v>
      </c>
      <c r="B46" s="5">
        <v>12948</v>
      </c>
      <c r="C46" s="7" t="s">
        <v>19</v>
      </c>
      <c r="F46" s="4">
        <v>39600</v>
      </c>
      <c r="G46" s="2"/>
      <c r="H46" s="2"/>
      <c r="I46" s="2">
        <v>98366</v>
      </c>
      <c r="J46" s="2"/>
      <c r="K46" s="2">
        <v>38213</v>
      </c>
      <c r="L46" s="2">
        <v>136579</v>
      </c>
      <c r="O46" s="1">
        <v>39600</v>
      </c>
      <c r="P46"/>
      <c r="R46">
        <v>98366</v>
      </c>
      <c r="T46">
        <v>38213</v>
      </c>
      <c r="V46" s="1">
        <f t="shared" si="0"/>
        <v>39600</v>
      </c>
      <c r="W46">
        <f t="shared" si="1"/>
        <v>98366</v>
      </c>
      <c r="X46">
        <f t="shared" si="2"/>
        <v>38213</v>
      </c>
      <c r="Y46">
        <f t="shared" si="3"/>
        <v>0</v>
      </c>
      <c r="Z46">
        <f t="shared" si="4"/>
        <v>0</v>
      </c>
    </row>
    <row r="47" spans="1:26" x14ac:dyDescent="0.25">
      <c r="A47" s="6">
        <v>39022</v>
      </c>
      <c r="B47" s="5">
        <v>96093</v>
      </c>
      <c r="C47" s="7" t="s">
        <v>13</v>
      </c>
      <c r="F47" s="4">
        <v>39630</v>
      </c>
      <c r="G47" s="2"/>
      <c r="H47" s="2"/>
      <c r="I47" s="2">
        <v>81925</v>
      </c>
      <c r="J47" s="2"/>
      <c r="K47" s="2">
        <v>23471</v>
      </c>
      <c r="L47" s="2">
        <v>105396</v>
      </c>
      <c r="O47" s="1">
        <v>39630</v>
      </c>
      <c r="P47"/>
      <c r="R47">
        <v>81925</v>
      </c>
      <c r="T47">
        <v>23471</v>
      </c>
      <c r="V47" s="1">
        <f t="shared" si="0"/>
        <v>39630</v>
      </c>
      <c r="W47">
        <f t="shared" si="1"/>
        <v>81925</v>
      </c>
      <c r="X47">
        <f t="shared" si="2"/>
        <v>23471</v>
      </c>
      <c r="Y47">
        <f t="shared" si="3"/>
        <v>0</v>
      </c>
      <c r="Z47">
        <f t="shared" si="4"/>
        <v>0</v>
      </c>
    </row>
    <row r="48" spans="1:26" x14ac:dyDescent="0.25">
      <c r="A48" s="6">
        <v>39052</v>
      </c>
      <c r="B48" s="5">
        <v>107333</v>
      </c>
      <c r="C48" s="7" t="s">
        <v>13</v>
      </c>
      <c r="F48" s="4">
        <v>39661</v>
      </c>
      <c r="G48" s="2"/>
      <c r="H48" s="2"/>
      <c r="I48" s="2">
        <v>80739</v>
      </c>
      <c r="J48" s="2"/>
      <c r="K48" s="2">
        <v>17448</v>
      </c>
      <c r="L48" s="2">
        <v>98187</v>
      </c>
      <c r="O48" s="1">
        <v>39661</v>
      </c>
      <c r="P48"/>
      <c r="R48">
        <v>80739</v>
      </c>
      <c r="T48">
        <v>17448</v>
      </c>
      <c r="V48" s="1">
        <f t="shared" si="0"/>
        <v>39661</v>
      </c>
      <c r="W48">
        <f t="shared" si="1"/>
        <v>80739</v>
      </c>
      <c r="X48">
        <f t="shared" si="2"/>
        <v>17448</v>
      </c>
      <c r="Y48">
        <f t="shared" si="3"/>
        <v>0</v>
      </c>
      <c r="Z48">
        <f t="shared" si="4"/>
        <v>0</v>
      </c>
    </row>
    <row r="49" spans="1:26" x14ac:dyDescent="0.25">
      <c r="A49" s="6">
        <v>39052</v>
      </c>
      <c r="B49" s="5">
        <v>17880</v>
      </c>
      <c r="C49" s="7" t="s">
        <v>19</v>
      </c>
      <c r="F49" s="4">
        <v>39692</v>
      </c>
      <c r="G49" s="2"/>
      <c r="H49" s="2"/>
      <c r="I49" s="2">
        <v>67217</v>
      </c>
      <c r="J49" s="2"/>
      <c r="K49" s="2">
        <v>11583</v>
      </c>
      <c r="L49" s="2">
        <v>78800</v>
      </c>
      <c r="O49" s="1">
        <v>39692</v>
      </c>
      <c r="P49"/>
      <c r="R49">
        <v>67217</v>
      </c>
      <c r="T49">
        <v>11583</v>
      </c>
      <c r="V49" s="1">
        <f t="shared" si="0"/>
        <v>39692</v>
      </c>
      <c r="W49">
        <f t="shared" si="1"/>
        <v>67217</v>
      </c>
      <c r="X49">
        <f t="shared" si="2"/>
        <v>11583</v>
      </c>
      <c r="Y49">
        <f t="shared" si="3"/>
        <v>0</v>
      </c>
      <c r="Z49">
        <f t="shared" si="4"/>
        <v>0</v>
      </c>
    </row>
    <row r="50" spans="1:26" x14ac:dyDescent="0.25">
      <c r="A50" s="6">
        <v>39083</v>
      </c>
      <c r="B50" s="5">
        <v>17232</v>
      </c>
      <c r="C50" s="7" t="s">
        <v>19</v>
      </c>
      <c r="F50" s="4">
        <v>39722</v>
      </c>
      <c r="G50" s="2"/>
      <c r="H50" s="2"/>
      <c r="I50" s="2">
        <v>45118</v>
      </c>
      <c r="J50" s="2"/>
      <c r="K50" s="2">
        <v>7202</v>
      </c>
      <c r="L50" s="2">
        <v>52320</v>
      </c>
      <c r="O50" s="1">
        <v>39722</v>
      </c>
      <c r="P50"/>
      <c r="R50">
        <v>45118</v>
      </c>
      <c r="T50">
        <v>7202</v>
      </c>
      <c r="V50" s="1">
        <f t="shared" si="0"/>
        <v>39722</v>
      </c>
      <c r="W50">
        <f t="shared" si="1"/>
        <v>45118</v>
      </c>
      <c r="X50">
        <f t="shared" si="2"/>
        <v>7202</v>
      </c>
      <c r="Y50">
        <f t="shared" si="3"/>
        <v>0</v>
      </c>
      <c r="Z50">
        <f t="shared" si="4"/>
        <v>0</v>
      </c>
    </row>
    <row r="51" spans="1:26" x14ac:dyDescent="0.25">
      <c r="A51" s="6">
        <v>39083</v>
      </c>
      <c r="B51" s="5">
        <v>98456</v>
      </c>
      <c r="C51" s="7" t="s">
        <v>13</v>
      </c>
      <c r="F51" s="4">
        <v>39753</v>
      </c>
      <c r="G51" s="2"/>
      <c r="H51" s="2"/>
      <c r="I51" s="2">
        <v>50695</v>
      </c>
      <c r="J51" s="2"/>
      <c r="K51" s="2">
        <v>10585</v>
      </c>
      <c r="L51" s="2">
        <v>61280</v>
      </c>
      <c r="O51" s="1">
        <v>39753</v>
      </c>
      <c r="P51"/>
      <c r="R51">
        <v>50695</v>
      </c>
      <c r="T51">
        <v>10585</v>
      </c>
      <c r="V51" s="1">
        <f t="shared" si="0"/>
        <v>39753</v>
      </c>
      <c r="W51">
        <f t="shared" si="1"/>
        <v>50695</v>
      </c>
      <c r="X51">
        <f t="shared" si="2"/>
        <v>10585</v>
      </c>
      <c r="Y51">
        <f t="shared" si="3"/>
        <v>0</v>
      </c>
      <c r="Z51">
        <f t="shared" si="4"/>
        <v>0</v>
      </c>
    </row>
    <row r="52" spans="1:26" x14ac:dyDescent="0.25">
      <c r="A52" s="6">
        <v>39114</v>
      </c>
      <c r="B52" s="5">
        <v>99305</v>
      </c>
      <c r="C52" s="7" t="s">
        <v>13</v>
      </c>
      <c r="F52" s="4">
        <v>39783</v>
      </c>
      <c r="G52" s="2"/>
      <c r="H52" s="2"/>
      <c r="I52" s="2">
        <v>52104</v>
      </c>
      <c r="J52" s="2"/>
      <c r="K52" s="2">
        <v>15821</v>
      </c>
      <c r="L52" s="2">
        <v>67925</v>
      </c>
      <c r="O52" s="1">
        <v>39783</v>
      </c>
      <c r="P52"/>
      <c r="R52">
        <v>52104</v>
      </c>
      <c r="T52">
        <v>15821</v>
      </c>
      <c r="V52" s="1">
        <f t="shared" si="0"/>
        <v>39783</v>
      </c>
      <c r="W52">
        <f t="shared" si="1"/>
        <v>52104</v>
      </c>
      <c r="X52">
        <f t="shared" si="2"/>
        <v>15821</v>
      </c>
      <c r="Y52">
        <f t="shared" si="3"/>
        <v>0</v>
      </c>
      <c r="Z52">
        <f t="shared" si="4"/>
        <v>0</v>
      </c>
    </row>
    <row r="53" spans="1:26" x14ac:dyDescent="0.25">
      <c r="A53" s="6">
        <v>39114</v>
      </c>
      <c r="B53" s="5">
        <v>21209</v>
      </c>
      <c r="C53" s="7" t="s">
        <v>19</v>
      </c>
      <c r="F53" s="4">
        <v>39814</v>
      </c>
      <c r="G53" s="2"/>
      <c r="H53" s="2"/>
      <c r="I53" s="2">
        <v>32449</v>
      </c>
      <c r="J53" s="2"/>
      <c r="K53" s="2">
        <v>7542</v>
      </c>
      <c r="L53" s="2">
        <v>39991</v>
      </c>
      <c r="O53" s="1">
        <v>39814</v>
      </c>
      <c r="P53"/>
      <c r="R53">
        <v>32449</v>
      </c>
      <c r="T53">
        <v>7542</v>
      </c>
      <c r="V53" s="1">
        <f t="shared" si="0"/>
        <v>39814</v>
      </c>
      <c r="W53">
        <f t="shared" si="1"/>
        <v>32449</v>
      </c>
      <c r="X53">
        <f t="shared" si="2"/>
        <v>7542</v>
      </c>
      <c r="Y53">
        <f t="shared" si="3"/>
        <v>0</v>
      </c>
      <c r="Z53">
        <f t="shared" si="4"/>
        <v>0</v>
      </c>
    </row>
    <row r="54" spans="1:26" x14ac:dyDescent="0.25">
      <c r="A54" s="6">
        <v>39142</v>
      </c>
      <c r="B54" s="5">
        <v>86895</v>
      </c>
      <c r="C54" s="7" t="s">
        <v>13</v>
      </c>
      <c r="F54" s="4">
        <v>39845</v>
      </c>
      <c r="G54" s="2"/>
      <c r="H54" s="2"/>
      <c r="I54" s="2">
        <v>52470</v>
      </c>
      <c r="J54" s="2"/>
      <c r="K54" s="2">
        <v>32323</v>
      </c>
      <c r="L54" s="2">
        <v>84793</v>
      </c>
      <c r="O54" s="1">
        <v>39845</v>
      </c>
      <c r="P54"/>
      <c r="R54">
        <v>52470</v>
      </c>
      <c r="T54">
        <v>32323</v>
      </c>
      <c r="V54" s="1">
        <f t="shared" si="0"/>
        <v>39845</v>
      </c>
      <c r="W54">
        <f t="shared" si="1"/>
        <v>52470</v>
      </c>
      <c r="X54">
        <f t="shared" si="2"/>
        <v>32323</v>
      </c>
      <c r="Y54">
        <f t="shared" si="3"/>
        <v>0</v>
      </c>
      <c r="Z54">
        <f t="shared" si="4"/>
        <v>0</v>
      </c>
    </row>
    <row r="55" spans="1:26" x14ac:dyDescent="0.25">
      <c r="A55" s="6">
        <v>39142</v>
      </c>
      <c r="B55" s="5">
        <v>20923</v>
      </c>
      <c r="C55" s="7" t="s">
        <v>19</v>
      </c>
      <c r="F55" s="4">
        <v>39873</v>
      </c>
      <c r="G55" s="2"/>
      <c r="H55" s="2"/>
      <c r="I55" s="2">
        <v>58125</v>
      </c>
      <c r="J55" s="2"/>
      <c r="K55" s="2">
        <v>81506</v>
      </c>
      <c r="L55" s="2">
        <v>139631</v>
      </c>
      <c r="O55" s="1">
        <v>39873</v>
      </c>
      <c r="P55"/>
      <c r="R55">
        <v>58125</v>
      </c>
      <c r="T55">
        <v>81506</v>
      </c>
      <c r="V55" s="1">
        <f t="shared" si="0"/>
        <v>39873</v>
      </c>
      <c r="W55">
        <f t="shared" si="1"/>
        <v>58125</v>
      </c>
      <c r="X55">
        <f t="shared" si="2"/>
        <v>81506</v>
      </c>
      <c r="Y55">
        <f t="shared" si="3"/>
        <v>0</v>
      </c>
      <c r="Z55">
        <f t="shared" si="4"/>
        <v>0</v>
      </c>
    </row>
    <row r="56" spans="1:26" x14ac:dyDescent="0.25">
      <c r="A56" s="6">
        <v>39173</v>
      </c>
      <c r="B56" s="5">
        <v>18017</v>
      </c>
      <c r="C56" s="7" t="s">
        <v>19</v>
      </c>
      <c r="F56" s="4">
        <v>39904</v>
      </c>
      <c r="G56" s="2"/>
      <c r="H56" s="2"/>
      <c r="I56" s="2">
        <v>72314</v>
      </c>
      <c r="J56" s="2"/>
      <c r="K56" s="2">
        <v>104826</v>
      </c>
      <c r="L56" s="2">
        <v>177140</v>
      </c>
      <c r="O56" s="1">
        <v>39904</v>
      </c>
      <c r="P56"/>
      <c r="R56">
        <v>72314</v>
      </c>
      <c r="T56">
        <v>104826</v>
      </c>
      <c r="V56" s="1">
        <f t="shared" si="0"/>
        <v>39904</v>
      </c>
      <c r="W56">
        <f t="shared" si="1"/>
        <v>72314</v>
      </c>
      <c r="X56">
        <f t="shared" si="2"/>
        <v>104826</v>
      </c>
      <c r="Y56">
        <f t="shared" si="3"/>
        <v>0</v>
      </c>
      <c r="Z56">
        <f t="shared" si="4"/>
        <v>0</v>
      </c>
    </row>
    <row r="57" spans="1:26" x14ac:dyDescent="0.25">
      <c r="A57" s="6">
        <v>39173</v>
      </c>
      <c r="B57" s="5">
        <v>93294</v>
      </c>
      <c r="C57" s="7" t="s">
        <v>13</v>
      </c>
      <c r="F57" s="4">
        <v>39934</v>
      </c>
      <c r="G57" s="2"/>
      <c r="H57" s="2"/>
      <c r="I57" s="2">
        <v>87478</v>
      </c>
      <c r="J57" s="2"/>
      <c r="K57" s="2">
        <v>108692</v>
      </c>
      <c r="L57" s="2">
        <v>196170</v>
      </c>
      <c r="O57" s="1">
        <v>39934</v>
      </c>
      <c r="P57"/>
      <c r="R57">
        <v>87478</v>
      </c>
      <c r="T57">
        <v>108692</v>
      </c>
      <c r="V57" s="1">
        <f t="shared" si="0"/>
        <v>39934</v>
      </c>
      <c r="W57">
        <f t="shared" si="1"/>
        <v>87478</v>
      </c>
      <c r="X57">
        <f t="shared" si="2"/>
        <v>108692</v>
      </c>
      <c r="Y57">
        <f t="shared" si="3"/>
        <v>0</v>
      </c>
      <c r="Z57">
        <f t="shared" si="4"/>
        <v>0</v>
      </c>
    </row>
    <row r="58" spans="1:26" x14ac:dyDescent="0.25">
      <c r="A58" s="6">
        <v>39203</v>
      </c>
      <c r="B58" s="5">
        <v>118081</v>
      </c>
      <c r="C58" s="7" t="s">
        <v>13</v>
      </c>
      <c r="F58" s="4">
        <v>39965</v>
      </c>
      <c r="G58" s="2"/>
      <c r="H58" s="2">
        <v>10383</v>
      </c>
      <c r="I58" s="2">
        <v>80977</v>
      </c>
      <c r="J58" s="2">
        <v>94312</v>
      </c>
      <c r="K58" s="2"/>
      <c r="L58" s="2">
        <v>185672</v>
      </c>
      <c r="O58" s="1">
        <v>39965</v>
      </c>
      <c r="P58"/>
      <c r="Q58">
        <v>10383</v>
      </c>
      <c r="R58">
        <v>80977</v>
      </c>
      <c r="S58">
        <v>94312</v>
      </c>
      <c r="V58" s="1">
        <f t="shared" si="0"/>
        <v>39965</v>
      </c>
      <c r="W58">
        <f t="shared" si="1"/>
        <v>80977</v>
      </c>
      <c r="X58">
        <f t="shared" si="2"/>
        <v>0</v>
      </c>
      <c r="Y58">
        <f t="shared" si="3"/>
        <v>94312</v>
      </c>
      <c r="Z58">
        <f t="shared" si="4"/>
        <v>10383</v>
      </c>
    </row>
    <row r="59" spans="1:26" x14ac:dyDescent="0.25">
      <c r="A59" s="6">
        <v>39203</v>
      </c>
      <c r="B59" s="5">
        <v>22875</v>
      </c>
      <c r="C59" s="7" t="s">
        <v>19</v>
      </c>
      <c r="F59" s="4">
        <v>39995</v>
      </c>
      <c r="G59" s="2"/>
      <c r="H59" s="2">
        <v>16311</v>
      </c>
      <c r="I59" s="2">
        <v>82570</v>
      </c>
      <c r="J59" s="2">
        <v>90531</v>
      </c>
      <c r="K59" s="2"/>
      <c r="L59" s="2">
        <v>189412</v>
      </c>
      <c r="O59" s="1">
        <v>39995</v>
      </c>
      <c r="P59"/>
      <c r="Q59">
        <v>16311</v>
      </c>
      <c r="R59">
        <v>82570</v>
      </c>
      <c r="S59">
        <v>90531</v>
      </c>
      <c r="V59" s="1">
        <f t="shared" si="0"/>
        <v>39995</v>
      </c>
      <c r="W59">
        <f t="shared" si="1"/>
        <v>82570</v>
      </c>
      <c r="X59">
        <f t="shared" si="2"/>
        <v>0</v>
      </c>
      <c r="Y59">
        <f t="shared" si="3"/>
        <v>90531</v>
      </c>
      <c r="Z59">
        <f t="shared" si="4"/>
        <v>16311</v>
      </c>
    </row>
    <row r="60" spans="1:26" x14ac:dyDescent="0.25">
      <c r="A60" s="6">
        <v>39234</v>
      </c>
      <c r="B60" s="5">
        <v>24801</v>
      </c>
      <c r="C60" s="7" t="s">
        <v>19</v>
      </c>
      <c r="F60" s="4">
        <v>40026</v>
      </c>
      <c r="G60" s="2"/>
      <c r="H60" s="2">
        <v>25480</v>
      </c>
      <c r="I60" s="2">
        <v>89410</v>
      </c>
      <c r="J60" s="2">
        <v>71783</v>
      </c>
      <c r="K60" s="2"/>
      <c r="L60" s="2">
        <v>186673</v>
      </c>
      <c r="O60" s="1">
        <v>40026</v>
      </c>
      <c r="P60"/>
      <c r="Q60">
        <v>25480</v>
      </c>
      <c r="R60">
        <v>89410</v>
      </c>
      <c r="S60">
        <v>71783</v>
      </c>
      <c r="V60" s="1">
        <f t="shared" si="0"/>
        <v>40026</v>
      </c>
      <c r="W60">
        <f t="shared" si="1"/>
        <v>89410</v>
      </c>
      <c r="X60">
        <f t="shared" si="2"/>
        <v>0</v>
      </c>
      <c r="Y60">
        <f t="shared" si="3"/>
        <v>71783</v>
      </c>
      <c r="Z60">
        <f t="shared" si="4"/>
        <v>25480</v>
      </c>
    </row>
    <row r="61" spans="1:26" x14ac:dyDescent="0.25">
      <c r="A61" s="6">
        <v>39234</v>
      </c>
      <c r="B61" s="5">
        <v>122699</v>
      </c>
      <c r="C61" s="7" t="s">
        <v>13</v>
      </c>
      <c r="F61" s="4">
        <v>40057</v>
      </c>
      <c r="G61" s="2"/>
      <c r="H61" s="2">
        <v>22620</v>
      </c>
      <c r="I61" s="2">
        <v>83867</v>
      </c>
      <c r="J61" s="2">
        <v>45076</v>
      </c>
      <c r="K61" s="2"/>
      <c r="L61" s="2">
        <v>151563</v>
      </c>
      <c r="O61" s="1">
        <v>40057</v>
      </c>
      <c r="P61"/>
      <c r="Q61">
        <v>22620</v>
      </c>
      <c r="R61">
        <v>83867</v>
      </c>
      <c r="S61">
        <v>45076</v>
      </c>
      <c r="V61" s="1">
        <f t="shared" si="0"/>
        <v>40057</v>
      </c>
      <c r="W61">
        <f t="shared" si="1"/>
        <v>83867</v>
      </c>
      <c r="X61">
        <f t="shared" si="2"/>
        <v>0</v>
      </c>
      <c r="Y61">
        <f t="shared" si="3"/>
        <v>45076</v>
      </c>
      <c r="Z61">
        <f t="shared" si="4"/>
        <v>22620</v>
      </c>
    </row>
    <row r="62" spans="1:26" x14ac:dyDescent="0.25">
      <c r="A62" s="6">
        <v>39264</v>
      </c>
      <c r="B62" s="5">
        <v>21810</v>
      </c>
      <c r="C62" s="7" t="s">
        <v>19</v>
      </c>
      <c r="F62" s="4">
        <v>40087</v>
      </c>
      <c r="G62" s="2"/>
      <c r="H62" s="2">
        <v>16406</v>
      </c>
      <c r="I62" s="2">
        <v>62931</v>
      </c>
      <c r="J62" s="2">
        <v>24616</v>
      </c>
      <c r="K62" s="2"/>
      <c r="L62" s="2">
        <v>103953</v>
      </c>
      <c r="O62" s="1">
        <v>40087</v>
      </c>
      <c r="P62"/>
      <c r="Q62">
        <v>16406</v>
      </c>
      <c r="R62">
        <v>62931</v>
      </c>
      <c r="S62">
        <v>24616</v>
      </c>
      <c r="V62" s="1">
        <f t="shared" si="0"/>
        <v>40087</v>
      </c>
      <c r="W62">
        <f t="shared" si="1"/>
        <v>62931</v>
      </c>
      <c r="X62">
        <f t="shared" si="2"/>
        <v>0</v>
      </c>
      <c r="Y62">
        <f t="shared" si="3"/>
        <v>24616</v>
      </c>
      <c r="Z62">
        <f t="shared" si="4"/>
        <v>16406</v>
      </c>
    </row>
    <row r="63" spans="1:26" x14ac:dyDescent="0.25">
      <c r="A63" s="6">
        <v>39264</v>
      </c>
      <c r="B63" s="5">
        <v>125490</v>
      </c>
      <c r="C63" s="7" t="s">
        <v>13</v>
      </c>
      <c r="F63" s="4">
        <v>40118</v>
      </c>
      <c r="G63" s="2"/>
      <c r="H63" s="2">
        <v>13051</v>
      </c>
      <c r="I63" s="2">
        <v>58846</v>
      </c>
      <c r="J63" s="2">
        <v>20958</v>
      </c>
      <c r="K63" s="2"/>
      <c r="L63" s="2">
        <v>92855</v>
      </c>
      <c r="O63" s="1">
        <v>40118</v>
      </c>
      <c r="P63"/>
      <c r="Q63">
        <v>13051</v>
      </c>
      <c r="R63">
        <v>58846</v>
      </c>
      <c r="S63">
        <v>20958</v>
      </c>
      <c r="V63" s="1">
        <f t="shared" si="0"/>
        <v>40118</v>
      </c>
      <c r="W63">
        <f t="shared" si="1"/>
        <v>58846</v>
      </c>
      <c r="X63">
        <f t="shared" si="2"/>
        <v>0</v>
      </c>
      <c r="Y63">
        <f t="shared" si="3"/>
        <v>20958</v>
      </c>
      <c r="Z63">
        <f t="shared" si="4"/>
        <v>13051</v>
      </c>
    </row>
    <row r="64" spans="1:26" x14ac:dyDescent="0.25">
      <c r="A64" s="6">
        <v>39295</v>
      </c>
      <c r="B64" s="5">
        <v>118350</v>
      </c>
      <c r="C64" s="7" t="s">
        <v>13</v>
      </c>
      <c r="F64" s="4">
        <v>40148</v>
      </c>
      <c r="G64" s="2"/>
      <c r="H64" s="2">
        <v>18179</v>
      </c>
      <c r="I64" s="2">
        <v>62802</v>
      </c>
      <c r="J64" s="2">
        <v>26484</v>
      </c>
      <c r="K64" s="2"/>
      <c r="L64" s="2">
        <v>107465</v>
      </c>
      <c r="O64" s="1">
        <v>40148</v>
      </c>
      <c r="P64"/>
      <c r="Q64">
        <v>18179</v>
      </c>
      <c r="R64">
        <v>62802</v>
      </c>
      <c r="S64">
        <v>26484</v>
      </c>
      <c r="V64" s="1">
        <f t="shared" si="0"/>
        <v>40148</v>
      </c>
      <c r="W64">
        <f t="shared" si="1"/>
        <v>62802</v>
      </c>
      <c r="X64">
        <f t="shared" si="2"/>
        <v>0</v>
      </c>
      <c r="Y64">
        <f t="shared" si="3"/>
        <v>26484</v>
      </c>
      <c r="Z64">
        <f t="shared" si="4"/>
        <v>18179</v>
      </c>
    </row>
    <row r="65" spans="1:26" x14ac:dyDescent="0.25">
      <c r="A65" s="6">
        <v>39295</v>
      </c>
      <c r="B65" s="5">
        <v>17435</v>
      </c>
      <c r="C65" s="7" t="s">
        <v>19</v>
      </c>
      <c r="F65" s="4">
        <v>40179</v>
      </c>
      <c r="G65" s="2"/>
      <c r="H65" s="2">
        <v>23590</v>
      </c>
      <c r="I65" s="2">
        <v>60390</v>
      </c>
      <c r="J65" s="2">
        <v>27562</v>
      </c>
      <c r="K65" s="2"/>
      <c r="L65" s="2">
        <v>111542</v>
      </c>
      <c r="O65" s="1">
        <v>40179</v>
      </c>
      <c r="P65"/>
      <c r="Q65">
        <v>23590</v>
      </c>
      <c r="R65">
        <v>60390</v>
      </c>
      <c r="S65">
        <v>27562</v>
      </c>
      <c r="V65" s="1">
        <f t="shared" si="0"/>
        <v>40179</v>
      </c>
      <c r="W65">
        <f t="shared" si="1"/>
        <v>60390</v>
      </c>
      <c r="X65">
        <f t="shared" si="2"/>
        <v>0</v>
      </c>
      <c r="Y65">
        <f t="shared" si="3"/>
        <v>27562</v>
      </c>
      <c r="Z65">
        <f t="shared" si="4"/>
        <v>23590</v>
      </c>
    </row>
    <row r="66" spans="1:26" x14ac:dyDescent="0.25">
      <c r="A66" s="6">
        <v>39326</v>
      </c>
      <c r="B66" s="5">
        <v>15468</v>
      </c>
      <c r="C66" s="7" t="s">
        <v>19</v>
      </c>
      <c r="F66" s="4">
        <v>40210</v>
      </c>
      <c r="G66" s="2"/>
      <c r="H66" s="2">
        <v>26564</v>
      </c>
      <c r="I66" s="2">
        <v>54738</v>
      </c>
      <c r="J66" s="2">
        <v>29806</v>
      </c>
      <c r="K66" s="2"/>
      <c r="L66" s="2">
        <v>111108</v>
      </c>
      <c r="O66" s="1">
        <v>40210</v>
      </c>
      <c r="P66"/>
      <c r="Q66">
        <v>26564</v>
      </c>
      <c r="R66">
        <v>54738</v>
      </c>
      <c r="S66">
        <v>29806</v>
      </c>
      <c r="V66" s="1">
        <f t="shared" si="0"/>
        <v>40210</v>
      </c>
      <c r="W66">
        <f t="shared" si="1"/>
        <v>54738</v>
      </c>
      <c r="X66">
        <f t="shared" si="2"/>
        <v>0</v>
      </c>
      <c r="Y66">
        <f t="shared" si="3"/>
        <v>29806</v>
      </c>
      <c r="Z66">
        <f t="shared" si="4"/>
        <v>26564</v>
      </c>
    </row>
    <row r="67" spans="1:26" x14ac:dyDescent="0.25">
      <c r="A67" s="6">
        <v>39326</v>
      </c>
      <c r="B67" s="5">
        <v>113663</v>
      </c>
      <c r="C67" s="7" t="s">
        <v>13</v>
      </c>
      <c r="F67" s="4">
        <v>40238</v>
      </c>
      <c r="G67" s="2"/>
      <c r="H67" s="2">
        <v>24648</v>
      </c>
      <c r="I67" s="2">
        <v>43730</v>
      </c>
      <c r="J67" s="2">
        <v>25134</v>
      </c>
      <c r="K67" s="2"/>
      <c r="L67" s="2">
        <v>93512</v>
      </c>
      <c r="O67" s="1">
        <v>40238</v>
      </c>
      <c r="P67"/>
      <c r="Q67">
        <v>24648</v>
      </c>
      <c r="R67">
        <v>43730</v>
      </c>
      <c r="S67">
        <v>25134</v>
      </c>
      <c r="V67" s="1">
        <f t="shared" si="0"/>
        <v>40238</v>
      </c>
      <c r="W67">
        <f t="shared" si="1"/>
        <v>43730</v>
      </c>
      <c r="X67">
        <f t="shared" si="2"/>
        <v>0</v>
      </c>
      <c r="Y67">
        <f t="shared" si="3"/>
        <v>25134</v>
      </c>
      <c r="Z67">
        <f t="shared" si="4"/>
        <v>24648</v>
      </c>
    </row>
    <row r="68" spans="1:26" x14ac:dyDescent="0.25">
      <c r="A68" s="6">
        <v>39356</v>
      </c>
      <c r="B68" s="5">
        <v>110255</v>
      </c>
      <c r="C68" s="7" t="s">
        <v>13</v>
      </c>
      <c r="F68" s="4">
        <v>40269</v>
      </c>
      <c r="G68" s="2"/>
      <c r="H68" s="2">
        <v>17440</v>
      </c>
      <c r="I68" s="2">
        <v>42612</v>
      </c>
      <c r="J68" s="2">
        <v>17800</v>
      </c>
      <c r="K68" s="2"/>
      <c r="L68" s="2">
        <v>77852</v>
      </c>
      <c r="O68" s="1">
        <v>40269</v>
      </c>
      <c r="P68"/>
      <c r="Q68">
        <v>17440</v>
      </c>
      <c r="R68">
        <v>42612</v>
      </c>
      <c r="S68">
        <v>17800</v>
      </c>
      <c r="V68" s="1">
        <f t="shared" si="0"/>
        <v>40269</v>
      </c>
      <c r="W68">
        <f t="shared" si="1"/>
        <v>42612</v>
      </c>
      <c r="X68">
        <f t="shared" si="2"/>
        <v>0</v>
      </c>
      <c r="Y68">
        <f t="shared" si="3"/>
        <v>17800</v>
      </c>
      <c r="Z68">
        <f t="shared" si="4"/>
        <v>17440</v>
      </c>
    </row>
    <row r="69" spans="1:26" x14ac:dyDescent="0.25">
      <c r="A69" s="6">
        <v>39356</v>
      </c>
      <c r="B69" s="5">
        <v>15255</v>
      </c>
      <c r="C69" s="7" t="s">
        <v>19</v>
      </c>
      <c r="F69" s="4">
        <v>40299</v>
      </c>
      <c r="G69" s="2"/>
      <c r="H69" s="2">
        <v>21045</v>
      </c>
      <c r="I69" s="2">
        <v>46376</v>
      </c>
      <c r="J69" s="2">
        <v>16829</v>
      </c>
      <c r="K69" s="2"/>
      <c r="L69" s="2">
        <v>84250</v>
      </c>
      <c r="O69" s="1">
        <v>40299</v>
      </c>
      <c r="P69"/>
      <c r="Q69">
        <v>21045</v>
      </c>
      <c r="R69">
        <v>46376</v>
      </c>
      <c r="S69">
        <v>16829</v>
      </c>
      <c r="V69" s="1">
        <f t="shared" ref="V69:V132" si="5">O69</f>
        <v>40299</v>
      </c>
      <c r="W69">
        <f t="shared" si="1"/>
        <v>46376</v>
      </c>
      <c r="X69">
        <f t="shared" si="2"/>
        <v>0</v>
      </c>
      <c r="Y69">
        <f t="shared" si="3"/>
        <v>16829</v>
      </c>
      <c r="Z69">
        <f t="shared" si="4"/>
        <v>21045</v>
      </c>
    </row>
    <row r="70" spans="1:26" x14ac:dyDescent="0.25">
      <c r="A70" s="6">
        <v>39387</v>
      </c>
      <c r="B70" s="5">
        <v>99634</v>
      </c>
      <c r="C70" s="7" t="s">
        <v>13</v>
      </c>
      <c r="F70" s="4">
        <v>40330</v>
      </c>
      <c r="G70" s="2"/>
      <c r="H70" s="2">
        <v>19445</v>
      </c>
      <c r="I70" s="2">
        <v>49599</v>
      </c>
      <c r="J70" s="2">
        <v>14699</v>
      </c>
      <c r="K70" s="2"/>
      <c r="L70" s="2">
        <v>83743</v>
      </c>
      <c r="O70" s="1">
        <v>40330</v>
      </c>
      <c r="P70"/>
      <c r="Q70">
        <v>19445</v>
      </c>
      <c r="R70">
        <v>49599</v>
      </c>
      <c r="S70">
        <v>14699</v>
      </c>
      <c r="V70" s="1">
        <f t="shared" si="5"/>
        <v>40330</v>
      </c>
      <c r="W70">
        <f t="shared" ref="W70:W133" si="6">R70</f>
        <v>49599</v>
      </c>
      <c r="X70">
        <f t="shared" ref="X70:X133" si="7">T70</f>
        <v>0</v>
      </c>
      <c r="Y70">
        <f t="shared" ref="Y70:Y133" si="8">S70+(1-$X$2)*P70</f>
        <v>14699</v>
      </c>
      <c r="Z70">
        <f t="shared" ref="Z70:Z133" si="9">Q70+$X$2*P70</f>
        <v>19445</v>
      </c>
    </row>
    <row r="71" spans="1:26" x14ac:dyDescent="0.25">
      <c r="A71" s="6">
        <v>39387</v>
      </c>
      <c r="B71" s="5">
        <v>18097</v>
      </c>
      <c r="C71" s="7" t="s">
        <v>19</v>
      </c>
      <c r="F71" s="4">
        <v>40360</v>
      </c>
      <c r="G71" s="2"/>
      <c r="H71" s="2">
        <v>15205</v>
      </c>
      <c r="I71" s="2">
        <v>51493</v>
      </c>
      <c r="J71" s="2">
        <v>11907</v>
      </c>
      <c r="K71" s="2"/>
      <c r="L71" s="2">
        <v>78605</v>
      </c>
      <c r="O71" s="1">
        <v>40360</v>
      </c>
      <c r="P71"/>
      <c r="Q71">
        <v>15205</v>
      </c>
      <c r="R71">
        <v>51493</v>
      </c>
      <c r="S71">
        <v>11907</v>
      </c>
      <c r="V71" s="1">
        <f t="shared" si="5"/>
        <v>40360</v>
      </c>
      <c r="W71">
        <f t="shared" si="6"/>
        <v>51493</v>
      </c>
      <c r="X71">
        <f t="shared" si="7"/>
        <v>0</v>
      </c>
      <c r="Y71">
        <f t="shared" si="8"/>
        <v>11907</v>
      </c>
      <c r="Z71">
        <f t="shared" si="9"/>
        <v>15205</v>
      </c>
    </row>
    <row r="72" spans="1:26" x14ac:dyDescent="0.25">
      <c r="A72" s="6">
        <v>39417</v>
      </c>
      <c r="B72" s="5">
        <v>101090</v>
      </c>
      <c r="C72" s="7" t="s">
        <v>13</v>
      </c>
      <c r="F72" s="4">
        <v>40391</v>
      </c>
      <c r="G72" s="2"/>
      <c r="H72" s="2">
        <v>21345</v>
      </c>
      <c r="I72" s="2">
        <v>55048</v>
      </c>
      <c r="J72" s="2">
        <v>16456</v>
      </c>
      <c r="K72" s="2"/>
      <c r="L72" s="2">
        <v>92849</v>
      </c>
      <c r="O72" s="1">
        <v>40391</v>
      </c>
      <c r="P72"/>
      <c r="Q72">
        <v>21345</v>
      </c>
      <c r="R72">
        <v>55048</v>
      </c>
      <c r="S72">
        <v>16456</v>
      </c>
      <c r="V72" s="1">
        <f t="shared" si="5"/>
        <v>40391</v>
      </c>
      <c r="W72">
        <f t="shared" si="6"/>
        <v>55048</v>
      </c>
      <c r="X72">
        <f t="shared" si="7"/>
        <v>0</v>
      </c>
      <c r="Y72">
        <f t="shared" si="8"/>
        <v>16456</v>
      </c>
      <c r="Z72">
        <f t="shared" si="9"/>
        <v>21345</v>
      </c>
    </row>
    <row r="73" spans="1:26" x14ac:dyDescent="0.25">
      <c r="A73" s="6">
        <v>39417</v>
      </c>
      <c r="B73" s="5">
        <v>21973</v>
      </c>
      <c r="C73" s="7" t="s">
        <v>19</v>
      </c>
      <c r="F73" s="4">
        <v>40422</v>
      </c>
      <c r="G73" s="2"/>
      <c r="H73" s="2">
        <v>28168</v>
      </c>
      <c r="I73" s="2">
        <v>40328</v>
      </c>
      <c r="J73" s="2">
        <v>22322</v>
      </c>
      <c r="K73" s="2"/>
      <c r="L73" s="2">
        <v>90818</v>
      </c>
      <c r="O73" s="1">
        <v>40422</v>
      </c>
      <c r="P73"/>
      <c r="Q73">
        <v>28168</v>
      </c>
      <c r="R73">
        <v>40328</v>
      </c>
      <c r="S73">
        <v>22322</v>
      </c>
      <c r="V73" s="1">
        <f t="shared" si="5"/>
        <v>40422</v>
      </c>
      <c r="W73">
        <f t="shared" si="6"/>
        <v>40328</v>
      </c>
      <c r="X73">
        <f t="shared" si="7"/>
        <v>0</v>
      </c>
      <c r="Y73">
        <f t="shared" si="8"/>
        <v>22322</v>
      </c>
      <c r="Z73">
        <f t="shared" si="9"/>
        <v>28168</v>
      </c>
    </row>
    <row r="74" spans="1:26" x14ac:dyDescent="0.25">
      <c r="A74" s="6">
        <v>39448</v>
      </c>
      <c r="B74" s="5">
        <v>88196</v>
      </c>
      <c r="C74" s="7" t="s">
        <v>13</v>
      </c>
      <c r="F74" s="4">
        <v>40452</v>
      </c>
      <c r="G74" s="2"/>
      <c r="H74" s="2">
        <v>33340</v>
      </c>
      <c r="I74" s="2">
        <v>41549</v>
      </c>
      <c r="J74" s="2">
        <v>30002</v>
      </c>
      <c r="K74" s="2"/>
      <c r="L74" s="2">
        <v>104891</v>
      </c>
      <c r="O74" s="1">
        <v>40452</v>
      </c>
      <c r="P74"/>
      <c r="Q74">
        <v>33340</v>
      </c>
      <c r="R74">
        <v>41549</v>
      </c>
      <c r="S74">
        <v>30002</v>
      </c>
      <c r="V74" s="1">
        <f t="shared" si="5"/>
        <v>40452</v>
      </c>
      <c r="W74">
        <f t="shared" si="6"/>
        <v>41549</v>
      </c>
      <c r="X74">
        <f t="shared" si="7"/>
        <v>0</v>
      </c>
      <c r="Y74">
        <f t="shared" si="8"/>
        <v>30002</v>
      </c>
      <c r="Z74">
        <f t="shared" si="9"/>
        <v>33340</v>
      </c>
    </row>
    <row r="75" spans="1:26" x14ac:dyDescent="0.25">
      <c r="A75" s="6">
        <v>39448</v>
      </c>
      <c r="B75" s="5">
        <v>20897</v>
      </c>
      <c r="C75" s="7" t="s">
        <v>19</v>
      </c>
      <c r="F75" s="4">
        <v>40483</v>
      </c>
      <c r="G75" s="2"/>
      <c r="H75" s="2">
        <v>38106</v>
      </c>
      <c r="I75" s="2">
        <v>37451</v>
      </c>
      <c r="J75" s="2">
        <v>30869</v>
      </c>
      <c r="K75" s="2"/>
      <c r="L75" s="2">
        <v>106426</v>
      </c>
      <c r="O75" s="1">
        <v>40483</v>
      </c>
      <c r="P75"/>
      <c r="Q75">
        <v>38106</v>
      </c>
      <c r="R75">
        <v>37451</v>
      </c>
      <c r="S75">
        <v>30869</v>
      </c>
      <c r="V75" s="1">
        <f t="shared" si="5"/>
        <v>40483</v>
      </c>
      <c r="W75">
        <f t="shared" si="6"/>
        <v>37451</v>
      </c>
      <c r="X75">
        <f t="shared" si="7"/>
        <v>0</v>
      </c>
      <c r="Y75">
        <f t="shared" si="8"/>
        <v>30869</v>
      </c>
      <c r="Z75">
        <f t="shared" si="9"/>
        <v>38106</v>
      </c>
    </row>
    <row r="76" spans="1:26" x14ac:dyDescent="0.25">
      <c r="A76" s="6">
        <v>39479</v>
      </c>
      <c r="B76" s="5">
        <v>95942</v>
      </c>
      <c r="C76" s="7" t="s">
        <v>13</v>
      </c>
      <c r="F76" s="4">
        <v>40513</v>
      </c>
      <c r="G76" s="2"/>
      <c r="H76" s="2">
        <v>43237</v>
      </c>
      <c r="I76" s="2">
        <v>38965</v>
      </c>
      <c r="J76" s="2">
        <v>34888</v>
      </c>
      <c r="K76" s="2"/>
      <c r="L76" s="2">
        <v>117090</v>
      </c>
      <c r="O76" s="1">
        <v>40513</v>
      </c>
      <c r="P76"/>
      <c r="Q76">
        <v>43237</v>
      </c>
      <c r="R76">
        <v>38965</v>
      </c>
      <c r="S76">
        <v>34888</v>
      </c>
      <c r="V76" s="1">
        <f t="shared" si="5"/>
        <v>40513</v>
      </c>
      <c r="W76">
        <f t="shared" si="6"/>
        <v>38965</v>
      </c>
      <c r="X76">
        <f t="shared" si="7"/>
        <v>0</v>
      </c>
      <c r="Y76">
        <f t="shared" si="8"/>
        <v>34888</v>
      </c>
      <c r="Z76">
        <f t="shared" si="9"/>
        <v>43237</v>
      </c>
    </row>
    <row r="77" spans="1:26" x14ac:dyDescent="0.25">
      <c r="A77" s="6">
        <v>39479</v>
      </c>
      <c r="B77" s="5">
        <v>30555</v>
      </c>
      <c r="C77" s="7" t="s">
        <v>19</v>
      </c>
      <c r="F77" s="4">
        <v>40544</v>
      </c>
      <c r="G77" s="2"/>
      <c r="H77" s="2">
        <v>44477</v>
      </c>
      <c r="I77" s="2">
        <v>36931</v>
      </c>
      <c r="J77" s="2">
        <v>33215</v>
      </c>
      <c r="K77" s="2"/>
      <c r="L77" s="2">
        <v>114623</v>
      </c>
      <c r="O77" s="1">
        <v>40544</v>
      </c>
      <c r="P77"/>
      <c r="Q77">
        <v>44477</v>
      </c>
      <c r="R77">
        <v>36931</v>
      </c>
      <c r="S77">
        <v>33215</v>
      </c>
      <c r="V77" s="1">
        <f t="shared" si="5"/>
        <v>40544</v>
      </c>
      <c r="W77">
        <f t="shared" si="6"/>
        <v>36931</v>
      </c>
      <c r="X77">
        <f t="shared" si="7"/>
        <v>0</v>
      </c>
      <c r="Y77">
        <f t="shared" si="8"/>
        <v>33215</v>
      </c>
      <c r="Z77">
        <f t="shared" si="9"/>
        <v>44477</v>
      </c>
    </row>
    <row r="78" spans="1:26" x14ac:dyDescent="0.25">
      <c r="A78" s="6">
        <v>39508</v>
      </c>
      <c r="B78" s="5">
        <v>34268</v>
      </c>
      <c r="C78" s="7" t="s">
        <v>19</v>
      </c>
      <c r="F78" s="4">
        <v>40575</v>
      </c>
      <c r="G78" s="2"/>
      <c r="H78" s="2">
        <v>37323</v>
      </c>
      <c r="I78" s="2">
        <v>41383</v>
      </c>
      <c r="J78" s="2">
        <v>30768</v>
      </c>
      <c r="K78" s="2"/>
      <c r="L78" s="2">
        <v>109474</v>
      </c>
      <c r="O78" s="1">
        <v>40575</v>
      </c>
      <c r="P78"/>
      <c r="Q78">
        <v>37323</v>
      </c>
      <c r="R78">
        <v>41383</v>
      </c>
      <c r="S78">
        <v>30768</v>
      </c>
      <c r="V78" s="1">
        <f t="shared" si="5"/>
        <v>40575</v>
      </c>
      <c r="W78">
        <f t="shared" si="6"/>
        <v>41383</v>
      </c>
      <c r="X78">
        <f t="shared" si="7"/>
        <v>0</v>
      </c>
      <c r="Y78">
        <f t="shared" si="8"/>
        <v>30768</v>
      </c>
      <c r="Z78">
        <f t="shared" si="9"/>
        <v>37323</v>
      </c>
    </row>
    <row r="79" spans="1:26" x14ac:dyDescent="0.25">
      <c r="A79" s="6">
        <v>39508</v>
      </c>
      <c r="B79" s="5">
        <v>78250</v>
      </c>
      <c r="C79" s="7" t="s">
        <v>13</v>
      </c>
      <c r="F79" s="4">
        <v>40603</v>
      </c>
      <c r="G79" s="2"/>
      <c r="H79" s="2">
        <v>32289</v>
      </c>
      <c r="I79" s="2">
        <v>32412</v>
      </c>
      <c r="J79" s="2">
        <v>20081</v>
      </c>
      <c r="K79" s="2"/>
      <c r="L79" s="2">
        <v>84782</v>
      </c>
      <c r="O79" s="1">
        <v>40603</v>
      </c>
      <c r="P79"/>
      <c r="Q79">
        <v>32289</v>
      </c>
      <c r="R79">
        <v>32412</v>
      </c>
      <c r="S79">
        <v>20081</v>
      </c>
      <c r="V79" s="1">
        <f t="shared" si="5"/>
        <v>40603</v>
      </c>
      <c r="W79">
        <f t="shared" si="6"/>
        <v>32412</v>
      </c>
      <c r="X79">
        <f t="shared" si="7"/>
        <v>0</v>
      </c>
      <c r="Y79">
        <f t="shared" si="8"/>
        <v>20081</v>
      </c>
      <c r="Z79">
        <f t="shared" si="9"/>
        <v>32289</v>
      </c>
    </row>
    <row r="80" spans="1:26" x14ac:dyDescent="0.25">
      <c r="A80" s="6">
        <v>39539</v>
      </c>
      <c r="B80" s="5">
        <v>60058</v>
      </c>
      <c r="C80" s="7" t="s">
        <v>19</v>
      </c>
      <c r="F80" s="4">
        <v>40634</v>
      </c>
      <c r="G80" s="2"/>
      <c r="H80" s="2">
        <v>21224</v>
      </c>
      <c r="I80" s="2">
        <v>22609</v>
      </c>
      <c r="J80" s="2">
        <v>10793</v>
      </c>
      <c r="K80" s="2"/>
      <c r="L80" s="2">
        <v>54626</v>
      </c>
      <c r="O80" s="1">
        <v>40634</v>
      </c>
      <c r="P80"/>
      <c r="Q80">
        <v>21224</v>
      </c>
      <c r="R80">
        <v>22609</v>
      </c>
      <c r="S80">
        <v>10793</v>
      </c>
      <c r="V80" s="1">
        <f t="shared" si="5"/>
        <v>40634</v>
      </c>
      <c r="W80">
        <f t="shared" si="6"/>
        <v>22609</v>
      </c>
      <c r="X80">
        <f t="shared" si="7"/>
        <v>0</v>
      </c>
      <c r="Y80">
        <f t="shared" si="8"/>
        <v>10793</v>
      </c>
      <c r="Z80">
        <f t="shared" si="9"/>
        <v>21224</v>
      </c>
    </row>
    <row r="81" spans="1:26" x14ac:dyDescent="0.25">
      <c r="A81" s="6">
        <v>39539</v>
      </c>
      <c r="B81" s="5">
        <v>99187</v>
      </c>
      <c r="C81" s="7" t="s">
        <v>13</v>
      </c>
      <c r="F81" s="4">
        <v>40664</v>
      </c>
      <c r="G81" s="2"/>
      <c r="H81" s="2">
        <v>14491</v>
      </c>
      <c r="I81" s="2">
        <v>29812</v>
      </c>
      <c r="J81" s="2">
        <v>9553</v>
      </c>
      <c r="K81" s="2"/>
      <c r="L81" s="2">
        <v>53856</v>
      </c>
      <c r="O81" s="1">
        <v>40664</v>
      </c>
      <c r="P81"/>
      <c r="Q81">
        <v>14491</v>
      </c>
      <c r="R81">
        <v>29812</v>
      </c>
      <c r="S81">
        <v>9553</v>
      </c>
      <c r="V81" s="1">
        <f t="shared" si="5"/>
        <v>40664</v>
      </c>
      <c r="W81">
        <f t="shared" si="6"/>
        <v>29812</v>
      </c>
      <c r="X81">
        <f t="shared" si="7"/>
        <v>0</v>
      </c>
      <c r="Y81">
        <f t="shared" si="8"/>
        <v>9553</v>
      </c>
      <c r="Z81">
        <f t="shared" si="9"/>
        <v>14491</v>
      </c>
    </row>
    <row r="82" spans="1:26" x14ac:dyDescent="0.25">
      <c r="A82" s="6">
        <v>39569</v>
      </c>
      <c r="B82" s="5">
        <v>41596</v>
      </c>
      <c r="C82" s="7" t="s">
        <v>19</v>
      </c>
      <c r="F82" s="4">
        <v>40695</v>
      </c>
      <c r="G82" s="2"/>
      <c r="H82" s="2">
        <v>13261</v>
      </c>
      <c r="I82" s="2">
        <v>30453</v>
      </c>
      <c r="J82" s="2">
        <v>7592</v>
      </c>
      <c r="K82" s="2"/>
      <c r="L82" s="2">
        <v>51306</v>
      </c>
      <c r="O82" s="1">
        <v>40695</v>
      </c>
      <c r="P82"/>
      <c r="Q82">
        <v>13261</v>
      </c>
      <c r="R82">
        <v>30453</v>
      </c>
      <c r="S82">
        <v>7592</v>
      </c>
      <c r="V82" s="1">
        <f t="shared" si="5"/>
        <v>40695</v>
      </c>
      <c r="W82">
        <f t="shared" si="6"/>
        <v>30453</v>
      </c>
      <c r="X82">
        <f t="shared" si="7"/>
        <v>0</v>
      </c>
      <c r="Y82">
        <f t="shared" si="8"/>
        <v>7592</v>
      </c>
      <c r="Z82">
        <f t="shared" si="9"/>
        <v>13261</v>
      </c>
    </row>
    <row r="83" spans="1:26" x14ac:dyDescent="0.25">
      <c r="A83" s="6">
        <v>39569</v>
      </c>
      <c r="B83" s="5">
        <v>102401</v>
      </c>
      <c r="C83" s="7" t="s">
        <v>13</v>
      </c>
      <c r="F83" s="4">
        <v>40725</v>
      </c>
      <c r="G83" s="2"/>
      <c r="H83" s="2">
        <v>11117</v>
      </c>
      <c r="I83" s="2">
        <v>31434</v>
      </c>
      <c r="J83" s="2">
        <v>6380</v>
      </c>
      <c r="K83" s="2"/>
      <c r="L83" s="2">
        <v>48931</v>
      </c>
      <c r="O83" s="1">
        <v>40725</v>
      </c>
      <c r="P83"/>
      <c r="Q83">
        <v>11117</v>
      </c>
      <c r="R83">
        <v>31434</v>
      </c>
      <c r="S83">
        <v>6380</v>
      </c>
      <c r="V83" s="1">
        <f t="shared" si="5"/>
        <v>40725</v>
      </c>
      <c r="W83">
        <f t="shared" si="6"/>
        <v>31434</v>
      </c>
      <c r="X83">
        <f t="shared" si="7"/>
        <v>0</v>
      </c>
      <c r="Y83">
        <f t="shared" si="8"/>
        <v>6380</v>
      </c>
      <c r="Z83">
        <f t="shared" si="9"/>
        <v>11117</v>
      </c>
    </row>
    <row r="84" spans="1:26" x14ac:dyDescent="0.25">
      <c r="A84" s="6">
        <v>39600</v>
      </c>
      <c r="B84" s="5">
        <v>98366</v>
      </c>
      <c r="C84" s="7" t="s">
        <v>13</v>
      </c>
      <c r="F84" s="4">
        <v>40756</v>
      </c>
      <c r="G84" s="2"/>
      <c r="H84" s="2">
        <v>12492</v>
      </c>
      <c r="I84" s="2">
        <v>41640</v>
      </c>
      <c r="J84" s="2">
        <v>8952</v>
      </c>
      <c r="K84" s="2"/>
      <c r="L84" s="2">
        <v>63084</v>
      </c>
      <c r="O84" s="1">
        <v>40756</v>
      </c>
      <c r="P84"/>
      <c r="Q84">
        <v>12492</v>
      </c>
      <c r="R84">
        <v>41640</v>
      </c>
      <c r="S84">
        <v>8952</v>
      </c>
      <c r="V84" s="1">
        <f t="shared" si="5"/>
        <v>40756</v>
      </c>
      <c r="W84">
        <f t="shared" si="6"/>
        <v>41640</v>
      </c>
      <c r="X84">
        <f t="shared" si="7"/>
        <v>0</v>
      </c>
      <c r="Y84">
        <f t="shared" si="8"/>
        <v>8952</v>
      </c>
      <c r="Z84">
        <f t="shared" si="9"/>
        <v>12492</v>
      </c>
    </row>
    <row r="85" spans="1:26" x14ac:dyDescent="0.25">
      <c r="A85" s="6">
        <v>39600</v>
      </c>
      <c r="B85" s="5">
        <v>38213</v>
      </c>
      <c r="C85" s="7" t="s">
        <v>19</v>
      </c>
      <c r="F85" s="4">
        <v>40787</v>
      </c>
      <c r="G85" s="2"/>
      <c r="H85" s="2">
        <v>14123</v>
      </c>
      <c r="I85" s="2">
        <v>37088</v>
      </c>
      <c r="J85" s="2">
        <v>9875</v>
      </c>
      <c r="K85" s="2"/>
      <c r="L85" s="2">
        <v>61086</v>
      </c>
      <c r="O85" s="1">
        <v>40787</v>
      </c>
      <c r="P85"/>
      <c r="Q85">
        <v>14123</v>
      </c>
      <c r="R85">
        <v>37088</v>
      </c>
      <c r="S85">
        <v>9875</v>
      </c>
      <c r="V85" s="1">
        <f t="shared" si="5"/>
        <v>40787</v>
      </c>
      <c r="W85">
        <f t="shared" si="6"/>
        <v>37088</v>
      </c>
      <c r="X85">
        <f t="shared" si="7"/>
        <v>0</v>
      </c>
      <c r="Y85">
        <f t="shared" si="8"/>
        <v>9875</v>
      </c>
      <c r="Z85">
        <f t="shared" si="9"/>
        <v>14123</v>
      </c>
    </row>
    <row r="86" spans="1:26" x14ac:dyDescent="0.25">
      <c r="A86" s="6">
        <v>39630</v>
      </c>
      <c r="B86" s="5">
        <v>23471</v>
      </c>
      <c r="C86" s="7" t="s">
        <v>19</v>
      </c>
      <c r="F86" s="4">
        <v>40817</v>
      </c>
      <c r="G86" s="2"/>
      <c r="H86" s="2">
        <v>14085</v>
      </c>
      <c r="I86" s="2">
        <v>36313</v>
      </c>
      <c r="J86" s="2">
        <v>11433</v>
      </c>
      <c r="K86" s="2"/>
      <c r="L86" s="2">
        <v>61831</v>
      </c>
      <c r="O86" s="1">
        <v>40817</v>
      </c>
      <c r="P86"/>
      <c r="Q86">
        <v>14085</v>
      </c>
      <c r="R86">
        <v>36313</v>
      </c>
      <c r="S86">
        <v>11433</v>
      </c>
      <c r="V86" s="1">
        <f t="shared" si="5"/>
        <v>40817</v>
      </c>
      <c r="W86">
        <f t="shared" si="6"/>
        <v>36313</v>
      </c>
      <c r="X86">
        <f t="shared" si="7"/>
        <v>0</v>
      </c>
      <c r="Y86">
        <f t="shared" si="8"/>
        <v>11433</v>
      </c>
      <c r="Z86">
        <f t="shared" si="9"/>
        <v>14085</v>
      </c>
    </row>
    <row r="87" spans="1:26" x14ac:dyDescent="0.25">
      <c r="A87" s="6">
        <v>39630</v>
      </c>
      <c r="B87" s="5">
        <v>81925</v>
      </c>
      <c r="C87" s="7" t="s">
        <v>13</v>
      </c>
      <c r="F87" s="4">
        <v>40848</v>
      </c>
      <c r="G87" s="2"/>
      <c r="H87" s="2">
        <v>17552</v>
      </c>
      <c r="I87" s="2">
        <v>32247</v>
      </c>
      <c r="J87" s="2">
        <v>22206</v>
      </c>
      <c r="K87" s="2"/>
      <c r="L87" s="2">
        <v>72005</v>
      </c>
      <c r="O87" s="1">
        <v>40848</v>
      </c>
      <c r="P87"/>
      <c r="Q87">
        <v>17552</v>
      </c>
      <c r="R87">
        <v>32247</v>
      </c>
      <c r="S87">
        <v>22206</v>
      </c>
      <c r="V87" s="1">
        <f t="shared" si="5"/>
        <v>40848</v>
      </c>
      <c r="W87">
        <f t="shared" si="6"/>
        <v>32247</v>
      </c>
      <c r="X87">
        <f t="shared" si="7"/>
        <v>0</v>
      </c>
      <c r="Y87">
        <f t="shared" si="8"/>
        <v>22206</v>
      </c>
      <c r="Z87">
        <f t="shared" si="9"/>
        <v>17552</v>
      </c>
    </row>
    <row r="88" spans="1:26" x14ac:dyDescent="0.25">
      <c r="A88" s="6">
        <v>39661</v>
      </c>
      <c r="B88" s="5">
        <v>80739</v>
      </c>
      <c r="C88" s="7" t="s">
        <v>13</v>
      </c>
      <c r="F88" s="4">
        <v>40878</v>
      </c>
      <c r="G88" s="2"/>
      <c r="H88" s="2">
        <v>20154</v>
      </c>
      <c r="I88" s="2">
        <v>24463</v>
      </c>
      <c r="J88" s="2">
        <v>21822</v>
      </c>
      <c r="K88" s="2"/>
      <c r="L88" s="2">
        <v>66439</v>
      </c>
      <c r="O88" s="1">
        <v>40878</v>
      </c>
      <c r="P88"/>
      <c r="Q88">
        <v>20154</v>
      </c>
      <c r="R88">
        <v>24463</v>
      </c>
      <c r="S88">
        <v>21822</v>
      </c>
      <c r="V88" s="1">
        <f t="shared" si="5"/>
        <v>40878</v>
      </c>
      <c r="W88">
        <f t="shared" si="6"/>
        <v>24463</v>
      </c>
      <c r="X88">
        <f t="shared" si="7"/>
        <v>0</v>
      </c>
      <c r="Y88">
        <f t="shared" si="8"/>
        <v>21822</v>
      </c>
      <c r="Z88">
        <f t="shared" si="9"/>
        <v>20154</v>
      </c>
    </row>
    <row r="89" spans="1:26" x14ac:dyDescent="0.25">
      <c r="A89" s="6">
        <v>39661</v>
      </c>
      <c r="B89" s="5">
        <v>17448</v>
      </c>
      <c r="C89" s="7" t="s">
        <v>19</v>
      </c>
      <c r="F89" s="4">
        <v>40909</v>
      </c>
      <c r="G89" s="2"/>
      <c r="H89" s="2">
        <v>21858</v>
      </c>
      <c r="I89" s="2">
        <v>25528</v>
      </c>
      <c r="J89" s="2">
        <v>22762</v>
      </c>
      <c r="K89" s="2"/>
      <c r="L89" s="2">
        <v>70148</v>
      </c>
      <c r="O89" s="1">
        <v>40909</v>
      </c>
      <c r="P89"/>
      <c r="Q89">
        <v>21858</v>
      </c>
      <c r="R89">
        <v>25528</v>
      </c>
      <c r="S89">
        <v>22762</v>
      </c>
      <c r="V89" s="1">
        <f t="shared" si="5"/>
        <v>40909</v>
      </c>
      <c r="W89">
        <f t="shared" si="6"/>
        <v>25528</v>
      </c>
      <c r="X89">
        <f t="shared" si="7"/>
        <v>0</v>
      </c>
      <c r="Y89">
        <f t="shared" si="8"/>
        <v>22762</v>
      </c>
      <c r="Z89">
        <f t="shared" si="9"/>
        <v>21858</v>
      </c>
    </row>
    <row r="90" spans="1:26" x14ac:dyDescent="0.25">
      <c r="A90" s="6">
        <v>39692</v>
      </c>
      <c r="B90" s="5">
        <v>67217</v>
      </c>
      <c r="C90" s="7" t="s">
        <v>13</v>
      </c>
      <c r="F90" s="4">
        <v>40940</v>
      </c>
      <c r="G90" s="2"/>
      <c r="H90" s="2">
        <v>18923</v>
      </c>
      <c r="I90" s="2">
        <v>30766</v>
      </c>
      <c r="J90" s="2">
        <v>25465</v>
      </c>
      <c r="K90" s="2"/>
      <c r="L90" s="2">
        <v>75154</v>
      </c>
      <c r="O90" s="1">
        <v>40940</v>
      </c>
      <c r="P90"/>
      <c r="Q90">
        <v>18923</v>
      </c>
      <c r="R90">
        <v>30766</v>
      </c>
      <c r="S90">
        <v>25465</v>
      </c>
      <c r="V90" s="1">
        <f t="shared" si="5"/>
        <v>40940</v>
      </c>
      <c r="W90">
        <f t="shared" si="6"/>
        <v>30766</v>
      </c>
      <c r="X90">
        <f t="shared" si="7"/>
        <v>0</v>
      </c>
      <c r="Y90">
        <f t="shared" si="8"/>
        <v>25465</v>
      </c>
      <c r="Z90">
        <f t="shared" si="9"/>
        <v>18923</v>
      </c>
    </row>
    <row r="91" spans="1:26" x14ac:dyDescent="0.25">
      <c r="A91" s="6">
        <v>39692</v>
      </c>
      <c r="B91" s="5">
        <v>11583</v>
      </c>
      <c r="C91" s="7" t="s">
        <v>19</v>
      </c>
      <c r="F91" s="4">
        <v>40969</v>
      </c>
      <c r="G91" s="2"/>
      <c r="H91" s="2">
        <v>20650</v>
      </c>
      <c r="I91" s="2">
        <v>21030</v>
      </c>
      <c r="J91" s="2">
        <v>22392</v>
      </c>
      <c r="K91" s="2"/>
      <c r="L91" s="2">
        <v>64072</v>
      </c>
      <c r="O91" s="1">
        <v>40969</v>
      </c>
      <c r="P91"/>
      <c r="Q91">
        <v>20650</v>
      </c>
      <c r="R91">
        <v>21030</v>
      </c>
      <c r="S91">
        <v>22392</v>
      </c>
      <c r="V91" s="1">
        <f t="shared" si="5"/>
        <v>40969</v>
      </c>
      <c r="W91">
        <f t="shared" si="6"/>
        <v>21030</v>
      </c>
      <c r="X91">
        <f t="shared" si="7"/>
        <v>0</v>
      </c>
      <c r="Y91">
        <f t="shared" si="8"/>
        <v>22392</v>
      </c>
      <c r="Z91">
        <f t="shared" si="9"/>
        <v>20650</v>
      </c>
    </row>
    <row r="92" spans="1:26" x14ac:dyDescent="0.25">
      <c r="A92" s="6">
        <v>39722</v>
      </c>
      <c r="B92" s="5">
        <v>7202</v>
      </c>
      <c r="C92" s="7" t="s">
        <v>19</v>
      </c>
      <c r="F92" s="4">
        <v>41000</v>
      </c>
      <c r="G92" s="2"/>
      <c r="H92" s="2">
        <v>23750</v>
      </c>
      <c r="I92" s="2">
        <v>20238</v>
      </c>
      <c r="J92" s="2">
        <v>22169</v>
      </c>
      <c r="K92" s="2"/>
      <c r="L92" s="2">
        <v>66157</v>
      </c>
      <c r="O92" s="1">
        <v>41000</v>
      </c>
      <c r="P92"/>
      <c r="Q92">
        <v>23750</v>
      </c>
      <c r="R92">
        <v>20238</v>
      </c>
      <c r="S92">
        <v>22169</v>
      </c>
      <c r="V92" s="1">
        <f t="shared" si="5"/>
        <v>41000</v>
      </c>
      <c r="W92">
        <f t="shared" si="6"/>
        <v>20238</v>
      </c>
      <c r="X92">
        <f t="shared" si="7"/>
        <v>0</v>
      </c>
      <c r="Y92">
        <f t="shared" si="8"/>
        <v>22169</v>
      </c>
      <c r="Z92">
        <f t="shared" si="9"/>
        <v>23750</v>
      </c>
    </row>
    <row r="93" spans="1:26" x14ac:dyDescent="0.25">
      <c r="A93" s="6">
        <v>39722</v>
      </c>
      <c r="B93" s="5">
        <v>45118</v>
      </c>
      <c r="C93" s="7" t="s">
        <v>13</v>
      </c>
      <c r="F93" s="4">
        <v>41030</v>
      </c>
      <c r="G93" s="2"/>
      <c r="H93" s="2">
        <v>22147</v>
      </c>
      <c r="I93" s="2">
        <v>24409</v>
      </c>
      <c r="J93" s="2">
        <v>21904</v>
      </c>
      <c r="K93" s="2"/>
      <c r="L93" s="2">
        <v>68460</v>
      </c>
      <c r="O93" s="1">
        <v>41030</v>
      </c>
      <c r="P93"/>
      <c r="Q93">
        <v>22147</v>
      </c>
      <c r="R93">
        <v>24409</v>
      </c>
      <c r="S93">
        <v>21904</v>
      </c>
      <c r="V93" s="1">
        <f t="shared" si="5"/>
        <v>41030</v>
      </c>
      <c r="W93">
        <f t="shared" si="6"/>
        <v>24409</v>
      </c>
      <c r="X93">
        <f t="shared" si="7"/>
        <v>0</v>
      </c>
      <c r="Y93">
        <f t="shared" si="8"/>
        <v>21904</v>
      </c>
      <c r="Z93">
        <f t="shared" si="9"/>
        <v>22147</v>
      </c>
    </row>
    <row r="94" spans="1:26" x14ac:dyDescent="0.25">
      <c r="A94" s="6">
        <v>39753</v>
      </c>
      <c r="B94" s="5">
        <v>10585</v>
      </c>
      <c r="C94" s="7" t="s">
        <v>19</v>
      </c>
      <c r="F94" s="4">
        <v>41061</v>
      </c>
      <c r="G94" s="2"/>
      <c r="H94" s="2">
        <v>20132</v>
      </c>
      <c r="I94" s="2">
        <v>32503</v>
      </c>
      <c r="J94" s="2">
        <v>18591</v>
      </c>
      <c r="K94" s="2"/>
      <c r="L94" s="2">
        <v>71226</v>
      </c>
      <c r="O94" s="1">
        <v>41061</v>
      </c>
      <c r="P94"/>
      <c r="Q94">
        <v>20132</v>
      </c>
      <c r="R94">
        <v>32503</v>
      </c>
      <c r="S94">
        <v>18591</v>
      </c>
      <c r="V94" s="1">
        <f t="shared" si="5"/>
        <v>41061</v>
      </c>
      <c r="W94">
        <f t="shared" si="6"/>
        <v>32503</v>
      </c>
      <c r="X94">
        <f t="shared" si="7"/>
        <v>0</v>
      </c>
      <c r="Y94">
        <f t="shared" si="8"/>
        <v>18591</v>
      </c>
      <c r="Z94">
        <f t="shared" si="9"/>
        <v>20132</v>
      </c>
    </row>
    <row r="95" spans="1:26" x14ac:dyDescent="0.25">
      <c r="A95" s="6">
        <v>39753</v>
      </c>
      <c r="B95" s="5">
        <v>50695</v>
      </c>
      <c r="C95" s="7" t="s">
        <v>13</v>
      </c>
      <c r="F95" s="4">
        <v>41091</v>
      </c>
      <c r="G95" s="2"/>
      <c r="H95" s="2">
        <v>20818</v>
      </c>
      <c r="I95" s="2">
        <v>40917</v>
      </c>
      <c r="J95" s="2">
        <v>20169</v>
      </c>
      <c r="K95" s="2"/>
      <c r="L95" s="2">
        <v>81904</v>
      </c>
      <c r="O95" s="1">
        <v>41091</v>
      </c>
      <c r="P95"/>
      <c r="Q95">
        <v>20818</v>
      </c>
      <c r="R95">
        <v>40917</v>
      </c>
      <c r="S95">
        <v>20169</v>
      </c>
      <c r="V95" s="1">
        <f t="shared" si="5"/>
        <v>41091</v>
      </c>
      <c r="W95">
        <f t="shared" si="6"/>
        <v>40917</v>
      </c>
      <c r="X95">
        <f t="shared" si="7"/>
        <v>0</v>
      </c>
      <c r="Y95">
        <f t="shared" si="8"/>
        <v>20169</v>
      </c>
      <c r="Z95">
        <f t="shared" si="9"/>
        <v>20818</v>
      </c>
    </row>
    <row r="96" spans="1:26" x14ac:dyDescent="0.25">
      <c r="A96" s="6">
        <v>39783</v>
      </c>
      <c r="B96" s="5">
        <v>52104</v>
      </c>
      <c r="C96" s="7" t="s">
        <v>13</v>
      </c>
      <c r="F96" s="4">
        <v>41122</v>
      </c>
      <c r="G96" s="2"/>
      <c r="H96" s="2">
        <v>21157</v>
      </c>
      <c r="I96" s="2">
        <v>40189</v>
      </c>
      <c r="J96" s="2">
        <v>20467</v>
      </c>
      <c r="K96" s="2"/>
      <c r="L96" s="2">
        <v>81813</v>
      </c>
      <c r="O96" s="1">
        <v>41122</v>
      </c>
      <c r="P96"/>
      <c r="Q96">
        <v>21157</v>
      </c>
      <c r="R96">
        <v>40189</v>
      </c>
      <c r="S96">
        <v>20467</v>
      </c>
      <c r="V96" s="1">
        <f t="shared" si="5"/>
        <v>41122</v>
      </c>
      <c r="W96">
        <f t="shared" si="6"/>
        <v>40189</v>
      </c>
      <c r="X96">
        <f t="shared" si="7"/>
        <v>0</v>
      </c>
      <c r="Y96">
        <f t="shared" si="8"/>
        <v>20467</v>
      </c>
      <c r="Z96">
        <f t="shared" si="9"/>
        <v>21157</v>
      </c>
    </row>
    <row r="97" spans="1:26" x14ac:dyDescent="0.25">
      <c r="A97" s="6">
        <v>39783</v>
      </c>
      <c r="B97" s="5">
        <v>15821</v>
      </c>
      <c r="C97" s="7" t="s">
        <v>19</v>
      </c>
      <c r="F97" s="4">
        <v>41153</v>
      </c>
      <c r="G97" s="2"/>
      <c r="H97" s="2">
        <v>23362</v>
      </c>
      <c r="I97" s="2">
        <v>43003</v>
      </c>
      <c r="J97" s="2">
        <v>25359</v>
      </c>
      <c r="K97" s="2"/>
      <c r="L97" s="2">
        <v>91724</v>
      </c>
      <c r="O97" s="1">
        <v>41153</v>
      </c>
      <c r="P97"/>
      <c r="Q97">
        <v>23362</v>
      </c>
      <c r="R97">
        <v>43003</v>
      </c>
      <c r="S97">
        <v>25359</v>
      </c>
      <c r="V97" s="1">
        <f t="shared" si="5"/>
        <v>41153</v>
      </c>
      <c r="W97">
        <f t="shared" si="6"/>
        <v>43003</v>
      </c>
      <c r="X97">
        <f t="shared" si="7"/>
        <v>0</v>
      </c>
      <c r="Y97">
        <f t="shared" si="8"/>
        <v>25359</v>
      </c>
      <c r="Z97">
        <f t="shared" si="9"/>
        <v>23362</v>
      </c>
    </row>
    <row r="98" spans="1:26" x14ac:dyDescent="0.25">
      <c r="A98" s="6">
        <v>39814</v>
      </c>
      <c r="B98" s="5">
        <v>7542</v>
      </c>
      <c r="C98" s="7" t="s">
        <v>19</v>
      </c>
      <c r="F98" s="4">
        <v>41183</v>
      </c>
      <c r="G98" s="2"/>
      <c r="H98" s="2">
        <v>24936</v>
      </c>
      <c r="I98" s="2">
        <v>47014</v>
      </c>
      <c r="J98" s="2">
        <v>33904</v>
      </c>
      <c r="K98" s="2"/>
      <c r="L98" s="2">
        <v>105854</v>
      </c>
      <c r="O98" s="1">
        <v>41183</v>
      </c>
      <c r="P98"/>
      <c r="Q98">
        <v>24936</v>
      </c>
      <c r="R98">
        <v>47014</v>
      </c>
      <c r="S98">
        <v>33904</v>
      </c>
      <c r="V98" s="1">
        <f t="shared" si="5"/>
        <v>41183</v>
      </c>
      <c r="W98">
        <f t="shared" si="6"/>
        <v>47014</v>
      </c>
      <c r="X98">
        <f t="shared" si="7"/>
        <v>0</v>
      </c>
      <c r="Y98">
        <f t="shared" si="8"/>
        <v>33904</v>
      </c>
      <c r="Z98">
        <f t="shared" si="9"/>
        <v>24936</v>
      </c>
    </row>
    <row r="99" spans="1:26" x14ac:dyDescent="0.25">
      <c r="A99" s="6">
        <v>39814</v>
      </c>
      <c r="B99" s="5">
        <v>32449</v>
      </c>
      <c r="C99" s="7" t="s">
        <v>13</v>
      </c>
      <c r="F99" s="4">
        <v>41214</v>
      </c>
      <c r="G99" s="2"/>
      <c r="H99" s="2">
        <v>26328</v>
      </c>
      <c r="I99" s="2">
        <v>49818</v>
      </c>
      <c r="J99" s="2">
        <v>40037</v>
      </c>
      <c r="K99" s="2"/>
      <c r="L99" s="2">
        <v>116183</v>
      </c>
      <c r="O99" s="1">
        <v>41214</v>
      </c>
      <c r="P99"/>
      <c r="Q99">
        <v>26328</v>
      </c>
      <c r="R99">
        <v>49818</v>
      </c>
      <c r="S99">
        <v>40037</v>
      </c>
      <c r="V99" s="1">
        <f t="shared" si="5"/>
        <v>41214</v>
      </c>
      <c r="W99">
        <f t="shared" si="6"/>
        <v>49818</v>
      </c>
      <c r="X99">
        <f t="shared" si="7"/>
        <v>0</v>
      </c>
      <c r="Y99">
        <f t="shared" si="8"/>
        <v>40037</v>
      </c>
      <c r="Z99">
        <f t="shared" si="9"/>
        <v>26328</v>
      </c>
    </row>
    <row r="100" spans="1:26" x14ac:dyDescent="0.25">
      <c r="A100" s="6">
        <v>39845</v>
      </c>
      <c r="B100" s="5">
        <v>52470</v>
      </c>
      <c r="C100" s="7" t="s">
        <v>13</v>
      </c>
      <c r="F100" s="4">
        <v>41244</v>
      </c>
      <c r="G100" s="2"/>
      <c r="H100" s="2">
        <v>29752</v>
      </c>
      <c r="I100" s="2">
        <v>49998</v>
      </c>
      <c r="J100" s="2">
        <v>40485</v>
      </c>
      <c r="K100" s="2"/>
      <c r="L100" s="2">
        <v>120235</v>
      </c>
      <c r="O100" s="1">
        <v>41244</v>
      </c>
      <c r="P100"/>
      <c r="Q100">
        <v>29752</v>
      </c>
      <c r="R100">
        <v>49998</v>
      </c>
      <c r="S100">
        <v>40485</v>
      </c>
      <c r="V100" s="1">
        <f t="shared" si="5"/>
        <v>41244</v>
      </c>
      <c r="W100">
        <f t="shared" si="6"/>
        <v>49998</v>
      </c>
      <c r="X100">
        <f t="shared" si="7"/>
        <v>0</v>
      </c>
      <c r="Y100">
        <f t="shared" si="8"/>
        <v>40485</v>
      </c>
      <c r="Z100">
        <f t="shared" si="9"/>
        <v>29752</v>
      </c>
    </row>
    <row r="101" spans="1:26" x14ac:dyDescent="0.25">
      <c r="A101" s="6">
        <v>39845</v>
      </c>
      <c r="B101" s="5">
        <v>32323</v>
      </c>
      <c r="C101" s="7" t="s">
        <v>19</v>
      </c>
      <c r="F101" s="4">
        <v>41275</v>
      </c>
      <c r="G101" s="2"/>
      <c r="H101" s="2">
        <v>26821</v>
      </c>
      <c r="I101" s="2">
        <v>39738</v>
      </c>
      <c r="J101" s="2">
        <v>36497</v>
      </c>
      <c r="K101" s="2"/>
      <c r="L101" s="2">
        <v>103056</v>
      </c>
      <c r="O101" s="1">
        <v>41275</v>
      </c>
      <c r="P101"/>
      <c r="Q101">
        <v>26821</v>
      </c>
      <c r="R101">
        <v>39738</v>
      </c>
      <c r="S101">
        <v>36497</v>
      </c>
      <c r="V101" s="1">
        <f t="shared" si="5"/>
        <v>41275</v>
      </c>
      <c r="W101">
        <f t="shared" si="6"/>
        <v>39738</v>
      </c>
      <c r="X101">
        <f t="shared" si="7"/>
        <v>0</v>
      </c>
      <c r="Y101">
        <f t="shared" si="8"/>
        <v>36497</v>
      </c>
      <c r="Z101">
        <f t="shared" si="9"/>
        <v>26821</v>
      </c>
    </row>
    <row r="102" spans="1:26" x14ac:dyDescent="0.25">
      <c r="A102" s="6">
        <v>39873</v>
      </c>
      <c r="B102" s="5">
        <v>58125</v>
      </c>
      <c r="C102" s="7" t="s">
        <v>13</v>
      </c>
      <c r="F102" s="4">
        <v>41306</v>
      </c>
      <c r="G102" s="2"/>
      <c r="H102" s="2">
        <v>27440</v>
      </c>
      <c r="I102" s="2">
        <v>44263</v>
      </c>
      <c r="J102" s="2">
        <v>41281</v>
      </c>
      <c r="K102" s="2"/>
      <c r="L102" s="2">
        <v>112984</v>
      </c>
      <c r="O102" s="1">
        <v>41306</v>
      </c>
      <c r="P102"/>
      <c r="Q102">
        <v>27440</v>
      </c>
      <c r="R102">
        <v>44263</v>
      </c>
      <c r="S102">
        <v>41281</v>
      </c>
      <c r="V102" s="1">
        <f t="shared" si="5"/>
        <v>41306</v>
      </c>
      <c r="W102">
        <f t="shared" si="6"/>
        <v>44263</v>
      </c>
      <c r="X102">
        <f t="shared" si="7"/>
        <v>0</v>
      </c>
      <c r="Y102">
        <f t="shared" si="8"/>
        <v>41281</v>
      </c>
      <c r="Z102">
        <f t="shared" si="9"/>
        <v>27440</v>
      </c>
    </row>
    <row r="103" spans="1:26" x14ac:dyDescent="0.25">
      <c r="A103" s="6">
        <v>39873</v>
      </c>
      <c r="B103" s="5">
        <v>81506</v>
      </c>
      <c r="C103" s="7" t="s">
        <v>19</v>
      </c>
      <c r="F103" s="4">
        <v>41334</v>
      </c>
      <c r="G103" s="2"/>
      <c r="H103" s="2">
        <v>29625</v>
      </c>
      <c r="I103" s="2">
        <v>42588</v>
      </c>
      <c r="J103" s="2">
        <v>45862</v>
      </c>
      <c r="K103" s="2"/>
      <c r="L103" s="2">
        <v>118075</v>
      </c>
      <c r="O103" s="1">
        <v>41334</v>
      </c>
      <c r="P103"/>
      <c r="Q103">
        <v>29625</v>
      </c>
      <c r="R103">
        <v>42588</v>
      </c>
      <c r="S103">
        <v>45862</v>
      </c>
      <c r="V103" s="1">
        <f t="shared" si="5"/>
        <v>41334</v>
      </c>
      <c r="W103">
        <f t="shared" si="6"/>
        <v>42588</v>
      </c>
      <c r="X103">
        <f t="shared" si="7"/>
        <v>0</v>
      </c>
      <c r="Y103">
        <f t="shared" si="8"/>
        <v>45862</v>
      </c>
      <c r="Z103">
        <f t="shared" si="9"/>
        <v>29625</v>
      </c>
    </row>
    <row r="104" spans="1:26" x14ac:dyDescent="0.25">
      <c r="A104" s="6">
        <v>39904</v>
      </c>
      <c r="B104" s="5">
        <v>104826</v>
      </c>
      <c r="C104" s="7" t="s">
        <v>19</v>
      </c>
      <c r="F104" s="4">
        <v>41365</v>
      </c>
      <c r="G104" s="2"/>
      <c r="H104" s="2">
        <v>29886</v>
      </c>
      <c r="I104" s="2">
        <v>46379</v>
      </c>
      <c r="J104" s="2">
        <v>40421</v>
      </c>
      <c r="K104" s="2"/>
      <c r="L104" s="2">
        <v>116686</v>
      </c>
      <c r="O104" s="1">
        <v>41365</v>
      </c>
      <c r="P104"/>
      <c r="Q104">
        <v>29886</v>
      </c>
      <c r="R104">
        <v>46379</v>
      </c>
      <c r="S104">
        <v>40421</v>
      </c>
      <c r="V104" s="1">
        <f t="shared" si="5"/>
        <v>41365</v>
      </c>
      <c r="W104">
        <f t="shared" si="6"/>
        <v>46379</v>
      </c>
      <c r="X104">
        <f t="shared" si="7"/>
        <v>0</v>
      </c>
      <c r="Y104">
        <f t="shared" si="8"/>
        <v>40421</v>
      </c>
      <c r="Z104">
        <f t="shared" si="9"/>
        <v>29886</v>
      </c>
    </row>
    <row r="105" spans="1:26" x14ac:dyDescent="0.25">
      <c r="A105" s="6">
        <v>39904</v>
      </c>
      <c r="B105" s="5">
        <v>72314</v>
      </c>
      <c r="C105" s="7" t="s">
        <v>13</v>
      </c>
      <c r="F105" s="4">
        <v>41395</v>
      </c>
      <c r="G105" s="2"/>
      <c r="H105" s="2">
        <v>30221</v>
      </c>
      <c r="I105" s="2">
        <v>47961</v>
      </c>
      <c r="J105" s="2">
        <v>30711</v>
      </c>
      <c r="K105" s="2"/>
      <c r="L105" s="2">
        <v>108893</v>
      </c>
      <c r="O105" s="1">
        <v>41395</v>
      </c>
      <c r="P105"/>
      <c r="Q105">
        <v>30221</v>
      </c>
      <c r="R105">
        <v>47961</v>
      </c>
      <c r="S105">
        <v>30711</v>
      </c>
      <c r="V105" s="1">
        <f t="shared" si="5"/>
        <v>41395</v>
      </c>
      <c r="W105">
        <f t="shared" si="6"/>
        <v>47961</v>
      </c>
      <c r="X105">
        <f t="shared" si="7"/>
        <v>0</v>
      </c>
      <c r="Y105">
        <f t="shared" si="8"/>
        <v>30711</v>
      </c>
      <c r="Z105">
        <f t="shared" si="9"/>
        <v>30221</v>
      </c>
    </row>
    <row r="106" spans="1:26" x14ac:dyDescent="0.25">
      <c r="A106" s="6">
        <v>39934</v>
      </c>
      <c r="B106" s="5">
        <v>87478</v>
      </c>
      <c r="C106" s="7" t="s">
        <v>13</v>
      </c>
      <c r="F106" s="4">
        <v>41426</v>
      </c>
      <c r="G106" s="2"/>
      <c r="H106" s="2">
        <v>28245</v>
      </c>
      <c r="I106" s="2">
        <v>48520</v>
      </c>
      <c r="J106" s="2">
        <v>26806</v>
      </c>
      <c r="K106" s="2"/>
      <c r="L106" s="2">
        <v>103571</v>
      </c>
      <c r="O106" s="1">
        <v>41426</v>
      </c>
      <c r="P106"/>
      <c r="Q106">
        <v>28245</v>
      </c>
      <c r="R106">
        <v>48520</v>
      </c>
      <c r="S106">
        <v>26806</v>
      </c>
      <c r="V106" s="1">
        <f t="shared" si="5"/>
        <v>41426</v>
      </c>
      <c r="W106">
        <f t="shared" si="6"/>
        <v>48520</v>
      </c>
      <c r="X106">
        <f t="shared" si="7"/>
        <v>0</v>
      </c>
      <c r="Y106">
        <f t="shared" si="8"/>
        <v>26806</v>
      </c>
      <c r="Z106">
        <f t="shared" si="9"/>
        <v>28245</v>
      </c>
    </row>
    <row r="107" spans="1:26" x14ac:dyDescent="0.25">
      <c r="A107" s="6">
        <v>39934</v>
      </c>
      <c r="B107" s="5">
        <v>108692</v>
      </c>
      <c r="C107" s="7" t="s">
        <v>19</v>
      </c>
      <c r="F107" s="4">
        <v>41456</v>
      </c>
      <c r="G107" s="2"/>
      <c r="H107" s="2">
        <v>26789</v>
      </c>
      <c r="I107" s="2">
        <v>62247</v>
      </c>
      <c r="J107" s="2">
        <v>32722</v>
      </c>
      <c r="K107" s="2"/>
      <c r="L107" s="2">
        <v>121758</v>
      </c>
      <c r="O107" s="1">
        <v>41456</v>
      </c>
      <c r="P107"/>
      <c r="Q107">
        <v>26789</v>
      </c>
      <c r="R107">
        <v>62247</v>
      </c>
      <c r="S107">
        <v>32722</v>
      </c>
      <c r="V107" s="1">
        <f t="shared" si="5"/>
        <v>41456</v>
      </c>
      <c r="W107">
        <f t="shared" si="6"/>
        <v>62247</v>
      </c>
      <c r="X107">
        <f t="shared" si="7"/>
        <v>0</v>
      </c>
      <c r="Y107">
        <f t="shared" si="8"/>
        <v>32722</v>
      </c>
      <c r="Z107">
        <f t="shared" si="9"/>
        <v>26789</v>
      </c>
    </row>
    <row r="108" spans="1:26" x14ac:dyDescent="0.25">
      <c r="A108" s="6">
        <v>39965</v>
      </c>
      <c r="B108" s="5">
        <v>10383</v>
      </c>
      <c r="C108" s="7" t="s">
        <v>20</v>
      </c>
      <c r="F108" s="4">
        <v>41487</v>
      </c>
      <c r="G108" s="2"/>
      <c r="H108" s="2">
        <v>23013</v>
      </c>
      <c r="I108" s="2">
        <v>60521</v>
      </c>
      <c r="J108" s="2">
        <v>27485</v>
      </c>
      <c r="K108" s="2"/>
      <c r="L108" s="2">
        <v>111019</v>
      </c>
      <c r="O108" s="1">
        <v>41487</v>
      </c>
      <c r="P108"/>
      <c r="Q108">
        <v>23013</v>
      </c>
      <c r="R108">
        <v>60521</v>
      </c>
      <c r="S108">
        <v>27485</v>
      </c>
      <c r="V108" s="1">
        <f t="shared" si="5"/>
        <v>41487</v>
      </c>
      <c r="W108">
        <f t="shared" si="6"/>
        <v>60521</v>
      </c>
      <c r="X108">
        <f t="shared" si="7"/>
        <v>0</v>
      </c>
      <c r="Y108">
        <f t="shared" si="8"/>
        <v>27485</v>
      </c>
      <c r="Z108">
        <f t="shared" si="9"/>
        <v>23013</v>
      </c>
    </row>
    <row r="109" spans="1:26" x14ac:dyDescent="0.25">
      <c r="A109" s="6">
        <v>39965</v>
      </c>
      <c r="B109" s="5">
        <v>94312</v>
      </c>
      <c r="C109" s="7" t="s">
        <v>21</v>
      </c>
      <c r="F109" s="4">
        <v>41518</v>
      </c>
      <c r="G109" s="2"/>
      <c r="H109" s="2">
        <v>20542</v>
      </c>
      <c r="I109" s="2">
        <v>56084</v>
      </c>
      <c r="J109" s="2">
        <v>19112</v>
      </c>
      <c r="K109" s="2"/>
      <c r="L109" s="2">
        <v>95738</v>
      </c>
      <c r="O109" s="1">
        <v>41518</v>
      </c>
      <c r="P109"/>
      <c r="Q109">
        <v>20542</v>
      </c>
      <c r="R109">
        <v>56084</v>
      </c>
      <c r="S109">
        <v>19112</v>
      </c>
      <c r="V109" s="1">
        <f t="shared" si="5"/>
        <v>41518</v>
      </c>
      <c r="W109">
        <f t="shared" si="6"/>
        <v>56084</v>
      </c>
      <c r="X109">
        <f t="shared" si="7"/>
        <v>0</v>
      </c>
      <c r="Y109">
        <f t="shared" si="8"/>
        <v>19112</v>
      </c>
      <c r="Z109">
        <f t="shared" si="9"/>
        <v>20542</v>
      </c>
    </row>
    <row r="110" spans="1:26" x14ac:dyDescent="0.25">
      <c r="A110" s="6">
        <v>39965</v>
      </c>
      <c r="B110" s="5">
        <v>80977</v>
      </c>
      <c r="C110" s="7" t="s">
        <v>13</v>
      </c>
      <c r="F110" s="4">
        <v>41548</v>
      </c>
      <c r="G110" s="2"/>
      <c r="H110" s="2">
        <v>15993</v>
      </c>
      <c r="I110" s="2">
        <v>49158</v>
      </c>
      <c r="J110" s="2">
        <v>11604</v>
      </c>
      <c r="K110" s="2"/>
      <c r="L110" s="2">
        <v>76755</v>
      </c>
      <c r="O110" s="1">
        <v>41548</v>
      </c>
      <c r="P110"/>
      <c r="Q110">
        <v>15993</v>
      </c>
      <c r="R110">
        <v>49158</v>
      </c>
      <c r="S110">
        <v>11604</v>
      </c>
      <c r="V110" s="1">
        <f t="shared" si="5"/>
        <v>41548</v>
      </c>
      <c r="W110">
        <f t="shared" si="6"/>
        <v>49158</v>
      </c>
      <c r="X110">
        <f t="shared" si="7"/>
        <v>0</v>
      </c>
      <c r="Y110">
        <f t="shared" si="8"/>
        <v>11604</v>
      </c>
      <c r="Z110">
        <f t="shared" si="9"/>
        <v>15993</v>
      </c>
    </row>
    <row r="111" spans="1:26" x14ac:dyDescent="0.25">
      <c r="A111" s="6">
        <v>39995</v>
      </c>
      <c r="B111" s="5">
        <v>16311</v>
      </c>
      <c r="C111" s="7" t="s">
        <v>20</v>
      </c>
      <c r="F111" s="4">
        <v>41579</v>
      </c>
      <c r="G111" s="2"/>
      <c r="H111" s="2">
        <v>12082</v>
      </c>
      <c r="I111" s="2">
        <v>41648</v>
      </c>
      <c r="J111" s="2">
        <v>7900</v>
      </c>
      <c r="K111" s="2"/>
      <c r="L111" s="2">
        <v>61630</v>
      </c>
      <c r="O111" s="1">
        <v>41579</v>
      </c>
      <c r="P111"/>
      <c r="Q111">
        <v>12082</v>
      </c>
      <c r="R111">
        <v>41648</v>
      </c>
      <c r="S111">
        <v>7900</v>
      </c>
      <c r="V111" s="1">
        <f t="shared" si="5"/>
        <v>41579</v>
      </c>
      <c r="W111">
        <f t="shared" si="6"/>
        <v>41648</v>
      </c>
      <c r="X111">
        <f t="shared" si="7"/>
        <v>0</v>
      </c>
      <c r="Y111">
        <f t="shared" si="8"/>
        <v>7900</v>
      </c>
      <c r="Z111">
        <f t="shared" si="9"/>
        <v>12082</v>
      </c>
    </row>
    <row r="112" spans="1:26" x14ac:dyDescent="0.25">
      <c r="A112" s="6">
        <v>39995</v>
      </c>
      <c r="B112" s="5">
        <v>82570</v>
      </c>
      <c r="C112" s="7" t="s">
        <v>13</v>
      </c>
      <c r="F112" s="4">
        <v>41609</v>
      </c>
      <c r="G112" s="2"/>
      <c r="H112" s="2">
        <v>10922</v>
      </c>
      <c r="I112" s="2">
        <v>45669</v>
      </c>
      <c r="J112" s="2">
        <v>8033</v>
      </c>
      <c r="K112" s="2"/>
      <c r="L112" s="2">
        <v>64624</v>
      </c>
      <c r="O112" s="1">
        <v>41609</v>
      </c>
      <c r="P112"/>
      <c r="Q112">
        <v>10922</v>
      </c>
      <c r="R112">
        <v>45669</v>
      </c>
      <c r="S112">
        <v>8033</v>
      </c>
      <c r="V112" s="1">
        <f t="shared" si="5"/>
        <v>41609</v>
      </c>
      <c r="W112">
        <f t="shared" si="6"/>
        <v>45669</v>
      </c>
      <c r="X112">
        <f t="shared" si="7"/>
        <v>0</v>
      </c>
      <c r="Y112">
        <f t="shared" si="8"/>
        <v>8033</v>
      </c>
      <c r="Z112">
        <f t="shared" si="9"/>
        <v>10922</v>
      </c>
    </row>
    <row r="113" spans="1:26" x14ac:dyDescent="0.25">
      <c r="A113" s="6">
        <v>39995</v>
      </c>
      <c r="B113" s="5">
        <v>90531</v>
      </c>
      <c r="C113" s="7" t="s">
        <v>21</v>
      </c>
      <c r="F113" s="4">
        <v>41640</v>
      </c>
      <c r="G113" s="2"/>
      <c r="H113" s="2">
        <v>9752</v>
      </c>
      <c r="I113" s="2">
        <v>45743</v>
      </c>
      <c r="J113" s="2">
        <v>9674</v>
      </c>
      <c r="K113" s="2"/>
      <c r="L113" s="2">
        <v>65169</v>
      </c>
      <c r="O113" s="1">
        <v>41640</v>
      </c>
      <c r="P113"/>
      <c r="Q113">
        <v>9752</v>
      </c>
      <c r="R113">
        <v>45743</v>
      </c>
      <c r="S113">
        <v>9674</v>
      </c>
      <c r="V113" s="1">
        <f t="shared" si="5"/>
        <v>41640</v>
      </c>
      <c r="W113">
        <f t="shared" si="6"/>
        <v>45743</v>
      </c>
      <c r="X113">
        <f t="shared" si="7"/>
        <v>0</v>
      </c>
      <c r="Y113">
        <f t="shared" si="8"/>
        <v>9674</v>
      </c>
      <c r="Z113">
        <f t="shared" si="9"/>
        <v>9752</v>
      </c>
    </row>
    <row r="114" spans="1:26" x14ac:dyDescent="0.25">
      <c r="A114" s="6">
        <v>40026</v>
      </c>
      <c r="B114" s="5">
        <v>71783</v>
      </c>
      <c r="C114" s="7" t="s">
        <v>21</v>
      </c>
      <c r="F114" s="4">
        <v>41671</v>
      </c>
      <c r="G114" s="2"/>
      <c r="H114" s="2">
        <v>9671</v>
      </c>
      <c r="I114" s="2">
        <v>48084</v>
      </c>
      <c r="J114" s="2">
        <v>9770</v>
      </c>
      <c r="K114" s="2"/>
      <c r="L114" s="2">
        <v>67525</v>
      </c>
      <c r="O114" s="1">
        <v>41671</v>
      </c>
      <c r="P114"/>
      <c r="Q114">
        <v>9671</v>
      </c>
      <c r="R114">
        <v>48084</v>
      </c>
      <c r="S114">
        <v>9770</v>
      </c>
      <c r="V114" s="1">
        <f t="shared" si="5"/>
        <v>41671</v>
      </c>
      <c r="W114">
        <f t="shared" si="6"/>
        <v>48084</v>
      </c>
      <c r="X114">
        <f t="shared" si="7"/>
        <v>0</v>
      </c>
      <c r="Y114">
        <f t="shared" si="8"/>
        <v>9770</v>
      </c>
      <c r="Z114">
        <f t="shared" si="9"/>
        <v>9671</v>
      </c>
    </row>
    <row r="115" spans="1:26" x14ac:dyDescent="0.25">
      <c r="A115" s="6">
        <v>40026</v>
      </c>
      <c r="B115" s="5">
        <v>89410</v>
      </c>
      <c r="C115" s="7" t="s">
        <v>13</v>
      </c>
      <c r="F115" s="4">
        <v>41699</v>
      </c>
      <c r="G115" s="2">
        <v>6</v>
      </c>
      <c r="H115" s="2">
        <v>8095</v>
      </c>
      <c r="I115" s="2">
        <v>32181</v>
      </c>
      <c r="J115" s="2">
        <v>6582</v>
      </c>
      <c r="K115" s="2"/>
      <c r="L115" s="2">
        <v>46864</v>
      </c>
      <c r="O115" s="1">
        <v>41699</v>
      </c>
      <c r="P115">
        <v>6</v>
      </c>
      <c r="Q115">
        <v>8095</v>
      </c>
      <c r="R115">
        <v>32181</v>
      </c>
      <c r="S115">
        <v>6582</v>
      </c>
      <c r="V115" s="1">
        <f t="shared" si="5"/>
        <v>41699</v>
      </c>
      <c r="W115">
        <f t="shared" si="6"/>
        <v>32181</v>
      </c>
      <c r="X115">
        <f t="shared" si="7"/>
        <v>0</v>
      </c>
      <c r="Y115">
        <f t="shared" si="8"/>
        <v>6585.9</v>
      </c>
      <c r="Z115">
        <f t="shared" si="9"/>
        <v>8097.1</v>
      </c>
    </row>
    <row r="116" spans="1:26" x14ac:dyDescent="0.25">
      <c r="A116" s="6">
        <v>40026</v>
      </c>
      <c r="B116" s="5">
        <v>25480</v>
      </c>
      <c r="C116" s="7" t="s">
        <v>20</v>
      </c>
      <c r="F116" s="4">
        <v>41730</v>
      </c>
      <c r="G116" s="2">
        <v>8232</v>
      </c>
      <c r="H116" s="2">
        <v>3315</v>
      </c>
      <c r="I116" s="2">
        <v>34463</v>
      </c>
      <c r="J116" s="2">
        <v>1241</v>
      </c>
      <c r="K116" s="2"/>
      <c r="L116" s="2">
        <v>47251</v>
      </c>
      <c r="O116" s="1">
        <v>41730</v>
      </c>
      <c r="P116">
        <v>8232</v>
      </c>
      <c r="Q116">
        <v>3315</v>
      </c>
      <c r="R116">
        <v>34463</v>
      </c>
      <c r="S116">
        <v>1241</v>
      </c>
      <c r="V116" s="1">
        <f t="shared" si="5"/>
        <v>41730</v>
      </c>
      <c r="W116">
        <f t="shared" si="6"/>
        <v>34463</v>
      </c>
      <c r="X116">
        <f t="shared" si="7"/>
        <v>0</v>
      </c>
      <c r="Y116">
        <f t="shared" si="8"/>
        <v>6591.8</v>
      </c>
      <c r="Z116">
        <f t="shared" si="9"/>
        <v>6196.2</v>
      </c>
    </row>
    <row r="117" spans="1:26" x14ac:dyDescent="0.25">
      <c r="A117" s="6">
        <v>40057</v>
      </c>
      <c r="B117" s="5">
        <v>45076</v>
      </c>
      <c r="C117" s="7" t="s">
        <v>21</v>
      </c>
      <c r="F117" s="4">
        <v>41760</v>
      </c>
      <c r="G117" s="2">
        <v>9807</v>
      </c>
      <c r="H117" s="2">
        <v>3393</v>
      </c>
      <c r="I117" s="2">
        <v>46338</v>
      </c>
      <c r="J117" s="2">
        <v>1786</v>
      </c>
      <c r="K117" s="2"/>
      <c r="L117" s="2">
        <v>61324</v>
      </c>
      <c r="O117" s="1">
        <v>41760</v>
      </c>
      <c r="P117">
        <v>9807</v>
      </c>
      <c r="Q117">
        <v>3393</v>
      </c>
      <c r="R117">
        <v>46338</v>
      </c>
      <c r="S117">
        <v>1786</v>
      </c>
      <c r="V117" s="1">
        <f t="shared" si="5"/>
        <v>41760</v>
      </c>
      <c r="W117">
        <f t="shared" si="6"/>
        <v>46338</v>
      </c>
      <c r="X117">
        <f t="shared" si="7"/>
        <v>0</v>
      </c>
      <c r="Y117">
        <f t="shared" si="8"/>
        <v>8160.55</v>
      </c>
      <c r="Z117">
        <f t="shared" si="9"/>
        <v>6825.45</v>
      </c>
    </row>
    <row r="118" spans="1:26" x14ac:dyDescent="0.25">
      <c r="A118" s="6">
        <v>40057</v>
      </c>
      <c r="B118" s="5">
        <v>83867</v>
      </c>
      <c r="C118" s="7" t="s">
        <v>13</v>
      </c>
      <c r="F118" s="4">
        <v>41791</v>
      </c>
      <c r="G118" s="2">
        <v>9606</v>
      </c>
      <c r="H118" s="2">
        <v>3248</v>
      </c>
      <c r="I118" s="2">
        <v>49506</v>
      </c>
      <c r="J118" s="2">
        <v>1628</v>
      </c>
      <c r="K118" s="2"/>
      <c r="L118" s="2">
        <v>63988</v>
      </c>
      <c r="O118" s="1">
        <v>41791</v>
      </c>
      <c r="P118">
        <v>9606</v>
      </c>
      <c r="Q118">
        <v>3248</v>
      </c>
      <c r="R118">
        <v>49506</v>
      </c>
      <c r="S118">
        <v>1628</v>
      </c>
      <c r="V118" s="1">
        <f t="shared" si="5"/>
        <v>41791</v>
      </c>
      <c r="W118">
        <f t="shared" si="6"/>
        <v>49506</v>
      </c>
      <c r="X118">
        <f t="shared" si="7"/>
        <v>0</v>
      </c>
      <c r="Y118">
        <f t="shared" si="8"/>
        <v>7871.9000000000005</v>
      </c>
      <c r="Z118">
        <f t="shared" si="9"/>
        <v>6610.1</v>
      </c>
    </row>
    <row r="119" spans="1:26" x14ac:dyDescent="0.25">
      <c r="A119" s="6">
        <v>40057</v>
      </c>
      <c r="B119" s="5">
        <v>22620</v>
      </c>
      <c r="C119" s="7" t="s">
        <v>20</v>
      </c>
      <c r="F119" s="4">
        <v>41821</v>
      </c>
      <c r="G119" s="2">
        <v>8919</v>
      </c>
      <c r="H119" s="2">
        <v>2784</v>
      </c>
      <c r="I119" s="2">
        <v>55296</v>
      </c>
      <c r="J119" s="2">
        <v>1621</v>
      </c>
      <c r="K119" s="2"/>
      <c r="L119" s="2">
        <v>68620</v>
      </c>
      <c r="O119" s="1">
        <v>41821</v>
      </c>
      <c r="P119">
        <v>8919</v>
      </c>
      <c r="Q119">
        <v>2784</v>
      </c>
      <c r="R119">
        <v>55296</v>
      </c>
      <c r="S119">
        <v>1621</v>
      </c>
      <c r="V119" s="1">
        <f t="shared" si="5"/>
        <v>41821</v>
      </c>
      <c r="W119">
        <f t="shared" si="6"/>
        <v>55296</v>
      </c>
      <c r="X119">
        <f t="shared" si="7"/>
        <v>0</v>
      </c>
      <c r="Y119">
        <f t="shared" si="8"/>
        <v>7418.35</v>
      </c>
      <c r="Z119">
        <f t="shared" si="9"/>
        <v>5905.65</v>
      </c>
    </row>
    <row r="120" spans="1:26" x14ac:dyDescent="0.25">
      <c r="A120" s="6">
        <v>40087</v>
      </c>
      <c r="B120" s="5">
        <v>16406</v>
      </c>
      <c r="C120" s="7" t="s">
        <v>20</v>
      </c>
      <c r="F120" s="4">
        <v>41852</v>
      </c>
      <c r="G120" s="2">
        <v>11115</v>
      </c>
      <c r="H120" s="2">
        <v>2417</v>
      </c>
      <c r="I120" s="2">
        <v>65987</v>
      </c>
      <c r="J120" s="2">
        <v>2345</v>
      </c>
      <c r="K120" s="2"/>
      <c r="L120" s="2">
        <v>81864</v>
      </c>
      <c r="O120" s="1">
        <v>41852</v>
      </c>
      <c r="P120">
        <v>11115</v>
      </c>
      <c r="Q120">
        <v>2417</v>
      </c>
      <c r="R120">
        <v>65987</v>
      </c>
      <c r="S120">
        <v>2345</v>
      </c>
      <c r="V120" s="1">
        <f t="shared" si="5"/>
        <v>41852</v>
      </c>
      <c r="W120">
        <f t="shared" si="6"/>
        <v>65987</v>
      </c>
      <c r="X120">
        <f t="shared" si="7"/>
        <v>0</v>
      </c>
      <c r="Y120">
        <f t="shared" si="8"/>
        <v>9569.75</v>
      </c>
      <c r="Z120">
        <f t="shared" si="9"/>
        <v>6307.25</v>
      </c>
    </row>
    <row r="121" spans="1:26" x14ac:dyDescent="0.25">
      <c r="A121" s="6">
        <v>40087</v>
      </c>
      <c r="B121" s="5">
        <v>24616</v>
      </c>
      <c r="C121" s="7" t="s">
        <v>21</v>
      </c>
      <c r="F121" s="4">
        <v>41883</v>
      </c>
      <c r="G121" s="2">
        <v>11857</v>
      </c>
      <c r="H121" s="2">
        <v>2312</v>
      </c>
      <c r="I121" s="2">
        <v>67292</v>
      </c>
      <c r="J121" s="2">
        <v>2324</v>
      </c>
      <c r="K121" s="2"/>
      <c r="L121" s="2">
        <v>83785</v>
      </c>
      <c r="O121" s="1">
        <v>41883</v>
      </c>
      <c r="P121">
        <v>11857</v>
      </c>
      <c r="Q121">
        <v>2312</v>
      </c>
      <c r="R121">
        <v>67292</v>
      </c>
      <c r="S121">
        <v>2324</v>
      </c>
      <c r="V121" s="1">
        <f t="shared" si="5"/>
        <v>41883</v>
      </c>
      <c r="W121">
        <f t="shared" si="6"/>
        <v>67292</v>
      </c>
      <c r="X121">
        <f t="shared" si="7"/>
        <v>0</v>
      </c>
      <c r="Y121">
        <f t="shared" si="8"/>
        <v>10031.049999999999</v>
      </c>
      <c r="Z121">
        <f t="shared" si="9"/>
        <v>6461.95</v>
      </c>
    </row>
    <row r="122" spans="1:26" x14ac:dyDescent="0.25">
      <c r="A122" s="6">
        <v>40087</v>
      </c>
      <c r="B122" s="5">
        <v>62931</v>
      </c>
      <c r="C122" s="7" t="s">
        <v>13</v>
      </c>
      <c r="F122" s="4">
        <v>41913</v>
      </c>
      <c r="G122" s="2">
        <v>11835</v>
      </c>
      <c r="H122" s="2">
        <v>2380</v>
      </c>
      <c r="I122" s="2">
        <v>63700</v>
      </c>
      <c r="J122" s="2">
        <v>2516</v>
      </c>
      <c r="K122" s="2"/>
      <c r="L122" s="2">
        <v>80431</v>
      </c>
      <c r="O122" s="1">
        <v>41913</v>
      </c>
      <c r="P122">
        <v>11835</v>
      </c>
      <c r="Q122">
        <v>2380</v>
      </c>
      <c r="R122">
        <v>63700</v>
      </c>
      <c r="S122">
        <v>2516</v>
      </c>
      <c r="V122" s="1">
        <f t="shared" si="5"/>
        <v>41913</v>
      </c>
      <c r="W122">
        <f t="shared" si="6"/>
        <v>63700</v>
      </c>
      <c r="X122">
        <f t="shared" si="7"/>
        <v>0</v>
      </c>
      <c r="Y122">
        <f t="shared" si="8"/>
        <v>10208.75</v>
      </c>
      <c r="Z122">
        <f t="shared" si="9"/>
        <v>6522.25</v>
      </c>
    </row>
    <row r="123" spans="1:26" x14ac:dyDescent="0.25">
      <c r="A123" s="6">
        <v>40118</v>
      </c>
      <c r="B123" s="5">
        <v>13051</v>
      </c>
      <c r="C123" s="7" t="s">
        <v>20</v>
      </c>
      <c r="F123" s="4">
        <v>41944</v>
      </c>
      <c r="G123" s="2">
        <v>12558</v>
      </c>
      <c r="H123" s="2">
        <v>2381</v>
      </c>
      <c r="I123" s="2">
        <v>59685</v>
      </c>
      <c r="J123" s="2">
        <v>2786</v>
      </c>
      <c r="K123" s="2"/>
      <c r="L123" s="2">
        <v>77410</v>
      </c>
      <c r="O123" s="1">
        <v>41944</v>
      </c>
      <c r="P123">
        <v>12558</v>
      </c>
      <c r="Q123">
        <v>2381</v>
      </c>
      <c r="R123">
        <v>59685</v>
      </c>
      <c r="S123">
        <v>2786</v>
      </c>
      <c r="V123" s="1">
        <f t="shared" si="5"/>
        <v>41944</v>
      </c>
      <c r="W123">
        <f t="shared" si="6"/>
        <v>59685</v>
      </c>
      <c r="X123">
        <f t="shared" si="7"/>
        <v>0</v>
      </c>
      <c r="Y123">
        <f t="shared" si="8"/>
        <v>10948.7</v>
      </c>
      <c r="Z123">
        <f t="shared" si="9"/>
        <v>6776.2999999999993</v>
      </c>
    </row>
    <row r="124" spans="1:26" x14ac:dyDescent="0.25">
      <c r="A124" s="6">
        <v>40118</v>
      </c>
      <c r="B124" s="5">
        <v>20958</v>
      </c>
      <c r="C124" s="7" t="s">
        <v>21</v>
      </c>
      <c r="F124" s="4">
        <v>41974</v>
      </c>
      <c r="G124" s="2">
        <v>12658</v>
      </c>
      <c r="H124" s="2">
        <v>2277</v>
      </c>
      <c r="I124" s="2">
        <v>54342</v>
      </c>
      <c r="J124" s="2">
        <v>3233</v>
      </c>
      <c r="K124" s="2"/>
      <c r="L124" s="2">
        <v>72510</v>
      </c>
      <c r="O124" s="1">
        <v>41974</v>
      </c>
      <c r="P124">
        <v>12658</v>
      </c>
      <c r="Q124">
        <v>2277</v>
      </c>
      <c r="R124">
        <v>54342</v>
      </c>
      <c r="S124">
        <v>3233</v>
      </c>
      <c r="V124" s="1">
        <f t="shared" si="5"/>
        <v>41974</v>
      </c>
      <c r="W124">
        <f t="shared" si="6"/>
        <v>54342</v>
      </c>
      <c r="X124">
        <f t="shared" si="7"/>
        <v>0</v>
      </c>
      <c r="Y124">
        <f t="shared" si="8"/>
        <v>11460.7</v>
      </c>
      <c r="Z124">
        <f t="shared" si="9"/>
        <v>6707.2999999999993</v>
      </c>
    </row>
    <row r="125" spans="1:26" x14ac:dyDescent="0.25">
      <c r="A125" s="6">
        <v>40118</v>
      </c>
      <c r="B125" s="5">
        <v>58846</v>
      </c>
      <c r="C125" s="7" t="s">
        <v>13</v>
      </c>
      <c r="F125" s="4">
        <v>42005</v>
      </c>
      <c r="G125" s="2">
        <v>15345</v>
      </c>
      <c r="H125" s="2">
        <v>1975</v>
      </c>
      <c r="I125" s="2">
        <v>47250</v>
      </c>
      <c r="J125" s="2">
        <v>4156</v>
      </c>
      <c r="K125" s="2"/>
      <c r="L125" s="2">
        <v>68726</v>
      </c>
      <c r="O125" s="1">
        <v>42005</v>
      </c>
      <c r="P125">
        <v>15345</v>
      </c>
      <c r="Q125">
        <v>1975</v>
      </c>
      <c r="R125">
        <v>47250</v>
      </c>
      <c r="S125">
        <v>4156</v>
      </c>
      <c r="V125" s="1">
        <f t="shared" si="5"/>
        <v>42005</v>
      </c>
      <c r="W125">
        <f t="shared" si="6"/>
        <v>47250</v>
      </c>
      <c r="X125">
        <f t="shared" si="7"/>
        <v>0</v>
      </c>
      <c r="Y125">
        <f t="shared" si="8"/>
        <v>14130.25</v>
      </c>
      <c r="Z125">
        <f t="shared" si="9"/>
        <v>7345.75</v>
      </c>
    </row>
    <row r="126" spans="1:26" x14ac:dyDescent="0.25">
      <c r="A126" s="6">
        <v>40148</v>
      </c>
      <c r="B126" s="5">
        <v>18179</v>
      </c>
      <c r="C126" s="7" t="s">
        <v>20</v>
      </c>
      <c r="F126" s="4">
        <v>42036</v>
      </c>
      <c r="G126" s="2">
        <v>15404</v>
      </c>
      <c r="H126" s="2">
        <v>2128</v>
      </c>
      <c r="I126" s="2">
        <v>50078</v>
      </c>
      <c r="J126" s="2">
        <v>3406</v>
      </c>
      <c r="K126" s="2"/>
      <c r="L126" s="2">
        <v>71016</v>
      </c>
      <c r="O126" s="1">
        <v>42036</v>
      </c>
      <c r="P126">
        <v>15404</v>
      </c>
      <c r="Q126">
        <v>2128</v>
      </c>
      <c r="R126">
        <v>50078</v>
      </c>
      <c r="S126">
        <v>3406</v>
      </c>
      <c r="V126" s="1">
        <f t="shared" si="5"/>
        <v>42036</v>
      </c>
      <c r="W126">
        <f t="shared" si="6"/>
        <v>50078</v>
      </c>
      <c r="X126">
        <f t="shared" si="7"/>
        <v>0</v>
      </c>
      <c r="Y126">
        <f t="shared" si="8"/>
        <v>13418.6</v>
      </c>
      <c r="Z126">
        <f t="shared" si="9"/>
        <v>7519.4</v>
      </c>
    </row>
    <row r="127" spans="1:26" x14ac:dyDescent="0.25">
      <c r="A127" s="6">
        <v>40148</v>
      </c>
      <c r="B127" s="5">
        <v>26484</v>
      </c>
      <c r="C127" s="7" t="s">
        <v>21</v>
      </c>
      <c r="F127" s="4">
        <v>42064</v>
      </c>
      <c r="G127" s="2">
        <v>17606</v>
      </c>
      <c r="H127" s="2">
        <v>1852</v>
      </c>
      <c r="I127" s="2">
        <v>39431</v>
      </c>
      <c r="J127" s="2">
        <v>4673</v>
      </c>
      <c r="K127" s="2"/>
      <c r="L127" s="2">
        <v>63562</v>
      </c>
      <c r="O127" s="1">
        <v>42064</v>
      </c>
      <c r="P127">
        <v>17606</v>
      </c>
      <c r="Q127">
        <v>1852</v>
      </c>
      <c r="R127">
        <v>39431</v>
      </c>
      <c r="S127">
        <v>4673</v>
      </c>
      <c r="V127" s="1">
        <f t="shared" si="5"/>
        <v>42064</v>
      </c>
      <c r="W127">
        <f t="shared" si="6"/>
        <v>39431</v>
      </c>
      <c r="X127">
        <f t="shared" si="7"/>
        <v>0</v>
      </c>
      <c r="Y127">
        <f t="shared" si="8"/>
        <v>16116.9</v>
      </c>
      <c r="Z127">
        <f t="shared" si="9"/>
        <v>8014.0999999999995</v>
      </c>
    </row>
    <row r="128" spans="1:26" x14ac:dyDescent="0.25">
      <c r="A128" s="6">
        <v>40148</v>
      </c>
      <c r="B128" s="5">
        <v>62802</v>
      </c>
      <c r="C128" s="7" t="s">
        <v>13</v>
      </c>
      <c r="F128" s="4">
        <v>42095</v>
      </c>
      <c r="G128" s="2">
        <v>26522</v>
      </c>
      <c r="H128" s="2">
        <v>1910</v>
      </c>
      <c r="I128" s="2">
        <v>45767</v>
      </c>
      <c r="J128" s="2">
        <v>6584</v>
      </c>
      <c r="K128" s="2"/>
      <c r="L128" s="2">
        <v>80783</v>
      </c>
      <c r="O128" s="1">
        <v>42095</v>
      </c>
      <c r="P128">
        <v>26522</v>
      </c>
      <c r="Q128">
        <v>1910</v>
      </c>
      <c r="R128">
        <v>45767</v>
      </c>
      <c r="S128">
        <v>6584</v>
      </c>
      <c r="V128" s="1">
        <f t="shared" si="5"/>
        <v>42095</v>
      </c>
      <c r="W128">
        <f t="shared" si="6"/>
        <v>45767</v>
      </c>
      <c r="X128">
        <f t="shared" si="7"/>
        <v>0</v>
      </c>
      <c r="Y128">
        <f t="shared" si="8"/>
        <v>23823.3</v>
      </c>
      <c r="Z128">
        <f t="shared" si="9"/>
        <v>11192.699999999999</v>
      </c>
    </row>
    <row r="129" spans="1:26" x14ac:dyDescent="0.25">
      <c r="A129" s="6">
        <v>40179</v>
      </c>
      <c r="B129" s="5">
        <v>27562</v>
      </c>
      <c r="C129" s="7" t="s">
        <v>21</v>
      </c>
      <c r="F129" s="4">
        <v>42125</v>
      </c>
      <c r="G129" s="2">
        <v>29462</v>
      </c>
      <c r="H129" s="2">
        <v>2171</v>
      </c>
      <c r="I129" s="2">
        <v>63289</v>
      </c>
      <c r="J129" s="2">
        <v>7985</v>
      </c>
      <c r="K129" s="2"/>
      <c r="L129" s="2">
        <v>102907</v>
      </c>
      <c r="O129" s="1">
        <v>42125</v>
      </c>
      <c r="P129">
        <v>29462</v>
      </c>
      <c r="Q129">
        <v>2171</v>
      </c>
      <c r="R129">
        <v>63289</v>
      </c>
      <c r="S129">
        <v>7985</v>
      </c>
      <c r="V129" s="1">
        <f t="shared" si="5"/>
        <v>42125</v>
      </c>
      <c r="W129">
        <f t="shared" si="6"/>
        <v>63289</v>
      </c>
      <c r="X129">
        <f t="shared" si="7"/>
        <v>0</v>
      </c>
      <c r="Y129">
        <f t="shared" si="8"/>
        <v>27135.3</v>
      </c>
      <c r="Z129">
        <f t="shared" si="9"/>
        <v>12482.699999999999</v>
      </c>
    </row>
    <row r="130" spans="1:26" x14ac:dyDescent="0.25">
      <c r="A130" s="6">
        <v>40179</v>
      </c>
      <c r="B130" s="5">
        <v>60390</v>
      </c>
      <c r="C130" s="7" t="s">
        <v>13</v>
      </c>
      <c r="F130" s="4">
        <v>42156</v>
      </c>
      <c r="G130" s="2">
        <v>23102</v>
      </c>
      <c r="H130" s="2">
        <v>2004</v>
      </c>
      <c r="I130" s="2">
        <v>66830</v>
      </c>
      <c r="J130" s="2">
        <v>5434</v>
      </c>
      <c r="K130" s="2"/>
      <c r="L130" s="2">
        <v>97370</v>
      </c>
      <c r="O130" s="1">
        <v>42156</v>
      </c>
      <c r="P130">
        <v>23102</v>
      </c>
      <c r="Q130">
        <v>2004</v>
      </c>
      <c r="R130">
        <v>66830</v>
      </c>
      <c r="S130">
        <v>5434</v>
      </c>
      <c r="V130" s="1">
        <f t="shared" si="5"/>
        <v>42156</v>
      </c>
      <c r="W130">
        <f t="shared" si="6"/>
        <v>66830</v>
      </c>
      <c r="X130">
        <f t="shared" si="7"/>
        <v>0</v>
      </c>
      <c r="Y130">
        <f t="shared" si="8"/>
        <v>20450.300000000003</v>
      </c>
      <c r="Z130">
        <f t="shared" si="9"/>
        <v>10089.700000000001</v>
      </c>
    </row>
    <row r="131" spans="1:26" x14ac:dyDescent="0.25">
      <c r="A131" s="6">
        <v>40179</v>
      </c>
      <c r="B131" s="5">
        <v>23590</v>
      </c>
      <c r="C131" s="7" t="s">
        <v>20</v>
      </c>
      <c r="F131" s="4">
        <v>42186</v>
      </c>
      <c r="G131" s="2">
        <v>19905</v>
      </c>
      <c r="H131" s="2">
        <v>1721</v>
      </c>
      <c r="I131" s="2">
        <v>70156</v>
      </c>
      <c r="J131" s="2">
        <v>4615</v>
      </c>
      <c r="K131" s="2"/>
      <c r="L131" s="2">
        <v>96397</v>
      </c>
      <c r="O131" s="1">
        <v>42186</v>
      </c>
      <c r="P131">
        <v>19905</v>
      </c>
      <c r="Q131">
        <v>1721</v>
      </c>
      <c r="R131">
        <v>70156</v>
      </c>
      <c r="S131">
        <v>4615</v>
      </c>
      <c r="V131" s="1">
        <f t="shared" si="5"/>
        <v>42186</v>
      </c>
      <c r="W131">
        <f t="shared" si="6"/>
        <v>70156</v>
      </c>
      <c r="X131">
        <f t="shared" si="7"/>
        <v>0</v>
      </c>
      <c r="Y131">
        <f t="shared" si="8"/>
        <v>17553.25</v>
      </c>
      <c r="Z131">
        <f t="shared" si="9"/>
        <v>8687.75</v>
      </c>
    </row>
    <row r="132" spans="1:26" x14ac:dyDescent="0.25">
      <c r="A132" s="6">
        <v>40210</v>
      </c>
      <c r="B132" s="5">
        <v>29806</v>
      </c>
      <c r="C132" s="7" t="s">
        <v>21</v>
      </c>
      <c r="F132" s="4">
        <v>42217</v>
      </c>
      <c r="G132" s="2">
        <v>15934</v>
      </c>
      <c r="H132" s="2">
        <v>1641</v>
      </c>
      <c r="I132" s="2">
        <v>73092</v>
      </c>
      <c r="J132" s="2">
        <v>3830</v>
      </c>
      <c r="K132" s="2"/>
      <c r="L132" s="2">
        <v>94497</v>
      </c>
      <c r="O132" s="1">
        <v>42217</v>
      </c>
      <c r="P132">
        <v>15934</v>
      </c>
      <c r="Q132">
        <v>1641</v>
      </c>
      <c r="R132">
        <v>73092</v>
      </c>
      <c r="S132">
        <v>3830</v>
      </c>
      <c r="V132" s="1">
        <f t="shared" si="5"/>
        <v>42217</v>
      </c>
      <c r="W132">
        <f t="shared" si="6"/>
        <v>73092</v>
      </c>
      <c r="X132">
        <f t="shared" si="7"/>
        <v>0</v>
      </c>
      <c r="Y132">
        <f t="shared" si="8"/>
        <v>14187.1</v>
      </c>
      <c r="Z132">
        <f t="shared" si="9"/>
        <v>7217.9</v>
      </c>
    </row>
    <row r="133" spans="1:26" x14ac:dyDescent="0.25">
      <c r="A133" s="6">
        <v>40210</v>
      </c>
      <c r="B133" s="5">
        <v>54738</v>
      </c>
      <c r="C133" s="7" t="s">
        <v>13</v>
      </c>
      <c r="F133" s="4">
        <v>42248</v>
      </c>
      <c r="G133" s="2">
        <v>12911</v>
      </c>
      <c r="H133" s="2">
        <v>1471</v>
      </c>
      <c r="I133" s="2">
        <v>71669</v>
      </c>
      <c r="J133" s="2">
        <v>2800</v>
      </c>
      <c r="K133" s="2"/>
      <c r="L133" s="2">
        <v>88851</v>
      </c>
      <c r="O133" s="1">
        <v>42248</v>
      </c>
      <c r="P133">
        <v>12911</v>
      </c>
      <c r="Q133">
        <v>1471</v>
      </c>
      <c r="R133">
        <v>71669</v>
      </c>
      <c r="S133">
        <v>2800</v>
      </c>
      <c r="V133" s="1">
        <f t="shared" ref="V133:V137" si="10">O133</f>
        <v>42248</v>
      </c>
      <c r="W133">
        <f t="shared" si="6"/>
        <v>71669</v>
      </c>
      <c r="X133">
        <f t="shared" si="7"/>
        <v>0</v>
      </c>
      <c r="Y133">
        <f t="shared" si="8"/>
        <v>11192.15</v>
      </c>
      <c r="Z133">
        <f t="shared" si="9"/>
        <v>5989.8499999999995</v>
      </c>
    </row>
    <row r="134" spans="1:26" x14ac:dyDescent="0.25">
      <c r="A134" s="6">
        <v>40210</v>
      </c>
      <c r="B134" s="5">
        <v>26564</v>
      </c>
      <c r="C134" s="7" t="s">
        <v>20</v>
      </c>
      <c r="F134" s="4">
        <v>42278</v>
      </c>
      <c r="G134" s="2">
        <v>12057</v>
      </c>
      <c r="H134" s="2">
        <v>1498</v>
      </c>
      <c r="I134" s="2">
        <v>69113</v>
      </c>
      <c r="J134" s="2">
        <v>2992</v>
      </c>
      <c r="K134" s="2"/>
      <c r="L134" s="2">
        <v>85660</v>
      </c>
      <c r="O134" s="1">
        <v>42278</v>
      </c>
      <c r="P134">
        <v>12057</v>
      </c>
      <c r="Q134">
        <v>1498</v>
      </c>
      <c r="R134">
        <v>69113</v>
      </c>
      <c r="S134">
        <v>2992</v>
      </c>
      <c r="V134" s="1">
        <f t="shared" si="10"/>
        <v>42278</v>
      </c>
      <c r="W134">
        <f t="shared" ref="W134:W137" si="11">R134</f>
        <v>69113</v>
      </c>
      <c r="X134">
        <f t="shared" ref="X134:X137" si="12">T134</f>
        <v>0</v>
      </c>
      <c r="Y134">
        <f t="shared" ref="Y134:Y137" si="13">S134+(1-$X$2)*P134</f>
        <v>10829.05</v>
      </c>
      <c r="Z134">
        <f t="shared" ref="Z134:Z137" si="14">Q134+$X$2*P134</f>
        <v>5717.95</v>
      </c>
    </row>
    <row r="135" spans="1:26" x14ac:dyDescent="0.25">
      <c r="A135" s="6">
        <v>40238</v>
      </c>
      <c r="B135" s="5">
        <v>24648</v>
      </c>
      <c r="C135" s="7" t="s">
        <v>20</v>
      </c>
      <c r="F135" s="4">
        <v>42309</v>
      </c>
      <c r="G135" s="2">
        <v>12982</v>
      </c>
      <c r="H135" s="2">
        <v>1459</v>
      </c>
      <c r="I135" s="2">
        <v>65422</v>
      </c>
      <c r="J135" s="2">
        <v>3210</v>
      </c>
      <c r="K135" s="2"/>
      <c r="L135" s="2">
        <v>83073</v>
      </c>
      <c r="O135" s="1">
        <v>42309</v>
      </c>
      <c r="P135">
        <v>12982</v>
      </c>
      <c r="Q135">
        <v>1459</v>
      </c>
      <c r="R135">
        <v>65422</v>
      </c>
      <c r="S135">
        <v>3210</v>
      </c>
      <c r="V135" s="1">
        <f t="shared" si="10"/>
        <v>42309</v>
      </c>
      <c r="W135">
        <f t="shared" si="11"/>
        <v>65422</v>
      </c>
      <c r="X135">
        <f t="shared" si="12"/>
        <v>0</v>
      </c>
      <c r="Y135">
        <f t="shared" si="13"/>
        <v>11648.300000000001</v>
      </c>
      <c r="Z135">
        <f t="shared" si="14"/>
        <v>6002.7</v>
      </c>
    </row>
    <row r="136" spans="1:26" x14ac:dyDescent="0.25">
      <c r="A136" s="6">
        <v>40238</v>
      </c>
      <c r="B136" s="5">
        <v>25134</v>
      </c>
      <c r="C136" s="7" t="s">
        <v>21</v>
      </c>
      <c r="F136" s="4">
        <v>42339</v>
      </c>
      <c r="G136" s="2">
        <v>13629</v>
      </c>
      <c r="H136" s="2">
        <v>1372</v>
      </c>
      <c r="I136" s="2">
        <v>62442</v>
      </c>
      <c r="J136" s="2">
        <v>3706</v>
      </c>
      <c r="K136" s="2"/>
      <c r="L136" s="2">
        <v>81149</v>
      </c>
      <c r="O136" s="1">
        <v>42339</v>
      </c>
      <c r="P136">
        <v>13629</v>
      </c>
      <c r="Q136">
        <v>1372</v>
      </c>
      <c r="R136">
        <v>62442</v>
      </c>
      <c r="S136">
        <v>3706</v>
      </c>
      <c r="V136" s="1">
        <f t="shared" si="10"/>
        <v>42339</v>
      </c>
      <c r="W136">
        <f t="shared" si="11"/>
        <v>62442</v>
      </c>
      <c r="X136">
        <f t="shared" si="12"/>
        <v>0</v>
      </c>
      <c r="Y136">
        <f t="shared" si="13"/>
        <v>12564.85</v>
      </c>
      <c r="Z136">
        <f t="shared" si="14"/>
        <v>6142.15</v>
      </c>
    </row>
    <row r="137" spans="1:26" x14ac:dyDescent="0.25">
      <c r="A137" s="6">
        <v>40238</v>
      </c>
      <c r="B137" s="5">
        <v>43730</v>
      </c>
      <c r="C137" s="7" t="s">
        <v>13</v>
      </c>
      <c r="F137" s="4">
        <v>42370</v>
      </c>
      <c r="G137" s="2">
        <v>12087</v>
      </c>
      <c r="H137" s="2">
        <v>1040</v>
      </c>
      <c r="I137" s="2">
        <v>48675</v>
      </c>
      <c r="J137" s="2">
        <v>3373</v>
      </c>
      <c r="K137" s="2"/>
      <c r="L137" s="2">
        <v>65175</v>
      </c>
      <c r="O137" s="1">
        <v>42370</v>
      </c>
      <c r="P137">
        <v>12087</v>
      </c>
      <c r="Q137">
        <v>1040</v>
      </c>
      <c r="R137">
        <v>48675</v>
      </c>
      <c r="S137">
        <v>3373</v>
      </c>
      <c r="V137" s="1">
        <f t="shared" si="10"/>
        <v>42370</v>
      </c>
      <c r="W137">
        <f t="shared" si="11"/>
        <v>48675</v>
      </c>
      <c r="X137">
        <f t="shared" si="12"/>
        <v>0</v>
      </c>
      <c r="Y137">
        <f t="shared" si="13"/>
        <v>11229.55</v>
      </c>
      <c r="Z137">
        <f t="shared" si="14"/>
        <v>5270.45</v>
      </c>
    </row>
    <row r="138" spans="1:26" x14ac:dyDescent="0.25">
      <c r="A138" s="6">
        <v>40269</v>
      </c>
      <c r="B138" s="5">
        <v>17440</v>
      </c>
      <c r="C138" s="7" t="s">
        <v>20</v>
      </c>
      <c r="F138" s="4">
        <v>42401</v>
      </c>
      <c r="G138" s="2">
        <v>7011</v>
      </c>
      <c r="H138" s="2">
        <v>780</v>
      </c>
      <c r="I138" s="2">
        <v>31604</v>
      </c>
      <c r="J138" s="2">
        <v>1924</v>
      </c>
      <c r="K138" s="2"/>
      <c r="L138" s="2">
        <v>41319</v>
      </c>
      <c r="O138" s="1"/>
      <c r="P138"/>
    </row>
    <row r="139" spans="1:26" x14ac:dyDescent="0.25">
      <c r="A139" s="6">
        <v>40269</v>
      </c>
      <c r="B139" s="5">
        <v>17800</v>
      </c>
      <c r="C139" s="7" t="s">
        <v>21</v>
      </c>
      <c r="F139" s="4">
        <v>42430</v>
      </c>
      <c r="G139" s="2">
        <v>473</v>
      </c>
      <c r="H139" s="2">
        <v>77</v>
      </c>
      <c r="I139" s="2">
        <v>1561</v>
      </c>
      <c r="J139" s="2">
        <v>119</v>
      </c>
      <c r="K139" s="2"/>
      <c r="L139" s="2">
        <v>2230</v>
      </c>
      <c r="O139" s="1"/>
      <c r="P139"/>
    </row>
    <row r="140" spans="1:26" x14ac:dyDescent="0.25">
      <c r="A140" s="6">
        <v>40269</v>
      </c>
      <c r="B140" s="5">
        <v>42612</v>
      </c>
      <c r="C140" s="7" t="s">
        <v>13</v>
      </c>
      <c r="F140" s="4" t="s">
        <v>10</v>
      </c>
      <c r="G140" s="2">
        <v>331023</v>
      </c>
      <c r="H140" s="2">
        <v>1317667</v>
      </c>
      <c r="I140" s="2">
        <v>7720665</v>
      </c>
      <c r="J140" s="2">
        <v>1591155</v>
      </c>
      <c r="K140" s="2">
        <v>1054171</v>
      </c>
      <c r="L140" s="2">
        <v>12014681</v>
      </c>
      <c r="O140" s="1"/>
      <c r="P140"/>
    </row>
    <row r="141" spans="1:26" x14ac:dyDescent="0.25">
      <c r="A141" s="6">
        <v>40299</v>
      </c>
      <c r="B141" s="5">
        <v>21045</v>
      </c>
      <c r="C141" s="7" t="s">
        <v>20</v>
      </c>
      <c r="O141" s="1"/>
      <c r="P141"/>
    </row>
    <row r="142" spans="1:26" x14ac:dyDescent="0.25">
      <c r="A142" s="6">
        <v>40299</v>
      </c>
      <c r="B142" s="5">
        <v>16829</v>
      </c>
      <c r="C142" s="7" t="s">
        <v>21</v>
      </c>
      <c r="O142" s="1"/>
      <c r="P142"/>
    </row>
    <row r="143" spans="1:26" x14ac:dyDescent="0.25">
      <c r="A143" s="6">
        <v>40299</v>
      </c>
      <c r="B143" s="5">
        <v>46376</v>
      </c>
      <c r="C143" s="7" t="s">
        <v>13</v>
      </c>
      <c r="O143" s="1"/>
      <c r="P143"/>
    </row>
    <row r="144" spans="1:26" x14ac:dyDescent="0.25">
      <c r="A144" s="6">
        <v>40330</v>
      </c>
      <c r="B144" s="5">
        <v>49599</v>
      </c>
      <c r="C144" s="7" t="s">
        <v>13</v>
      </c>
      <c r="O144" s="1"/>
      <c r="P144"/>
    </row>
    <row r="145" spans="1:16" x14ac:dyDescent="0.25">
      <c r="A145" s="6">
        <v>40330</v>
      </c>
      <c r="B145" s="5">
        <v>19445</v>
      </c>
      <c r="C145" s="7" t="s">
        <v>20</v>
      </c>
      <c r="O145" s="1"/>
      <c r="P145"/>
    </row>
    <row r="146" spans="1:16" x14ac:dyDescent="0.25">
      <c r="A146" s="6">
        <v>40330</v>
      </c>
      <c r="B146" s="5">
        <v>14699</v>
      </c>
      <c r="C146" s="7" t="s">
        <v>21</v>
      </c>
      <c r="O146" s="1"/>
      <c r="P146"/>
    </row>
    <row r="147" spans="1:16" x14ac:dyDescent="0.25">
      <c r="A147" s="6">
        <v>40360</v>
      </c>
      <c r="B147" s="5">
        <v>11907</v>
      </c>
      <c r="C147" s="7" t="s">
        <v>21</v>
      </c>
      <c r="O147" s="1"/>
      <c r="P147"/>
    </row>
    <row r="148" spans="1:16" x14ac:dyDescent="0.25">
      <c r="A148" s="6">
        <v>40360</v>
      </c>
      <c r="B148" s="5">
        <v>51493</v>
      </c>
      <c r="C148" s="7" t="s">
        <v>13</v>
      </c>
      <c r="O148" s="1"/>
      <c r="P148"/>
    </row>
    <row r="149" spans="1:16" x14ac:dyDescent="0.25">
      <c r="A149" s="6">
        <v>40360</v>
      </c>
      <c r="B149" s="5">
        <v>15205</v>
      </c>
      <c r="C149" s="7" t="s">
        <v>20</v>
      </c>
      <c r="O149" s="1"/>
      <c r="P149"/>
    </row>
    <row r="150" spans="1:16" x14ac:dyDescent="0.25">
      <c r="A150" s="6">
        <v>40391</v>
      </c>
      <c r="B150" s="5">
        <v>16456</v>
      </c>
      <c r="C150" s="7" t="s">
        <v>21</v>
      </c>
      <c r="O150" s="1"/>
      <c r="P150"/>
    </row>
    <row r="151" spans="1:16" x14ac:dyDescent="0.25">
      <c r="A151" s="6">
        <v>40391</v>
      </c>
      <c r="B151" s="5">
        <v>55048</v>
      </c>
      <c r="C151" s="7" t="s">
        <v>13</v>
      </c>
      <c r="O151" s="1"/>
      <c r="P151"/>
    </row>
    <row r="152" spans="1:16" x14ac:dyDescent="0.25">
      <c r="A152" s="6">
        <v>40391</v>
      </c>
      <c r="B152" s="5">
        <v>21345</v>
      </c>
      <c r="C152" s="7" t="s">
        <v>20</v>
      </c>
      <c r="O152" s="1"/>
      <c r="P152"/>
    </row>
    <row r="153" spans="1:16" x14ac:dyDescent="0.25">
      <c r="A153" s="6">
        <v>40422</v>
      </c>
      <c r="B153" s="5">
        <v>28168</v>
      </c>
      <c r="C153" s="7" t="s">
        <v>20</v>
      </c>
      <c r="O153" s="1"/>
      <c r="P153"/>
    </row>
    <row r="154" spans="1:16" x14ac:dyDescent="0.25">
      <c r="A154" s="6">
        <v>40422</v>
      </c>
      <c r="B154" s="5">
        <v>22322</v>
      </c>
      <c r="C154" s="7" t="s">
        <v>21</v>
      </c>
      <c r="O154" s="1"/>
      <c r="P154"/>
    </row>
    <row r="155" spans="1:16" x14ac:dyDescent="0.25">
      <c r="A155" s="6">
        <v>40422</v>
      </c>
      <c r="B155" s="5">
        <v>40328</v>
      </c>
      <c r="C155" s="7" t="s">
        <v>13</v>
      </c>
      <c r="O155" s="1"/>
      <c r="P155"/>
    </row>
    <row r="156" spans="1:16" x14ac:dyDescent="0.25">
      <c r="A156" s="6">
        <v>40452</v>
      </c>
      <c r="B156" s="5">
        <v>33340</v>
      </c>
      <c r="C156" s="7" t="s">
        <v>20</v>
      </c>
      <c r="O156" s="1"/>
      <c r="P156"/>
    </row>
    <row r="157" spans="1:16" x14ac:dyDescent="0.25">
      <c r="A157" s="6">
        <v>40452</v>
      </c>
      <c r="B157" s="5">
        <v>30002</v>
      </c>
      <c r="C157" s="7" t="s">
        <v>21</v>
      </c>
      <c r="O157" s="1"/>
      <c r="P157"/>
    </row>
    <row r="158" spans="1:16" x14ac:dyDescent="0.25">
      <c r="A158" s="6">
        <v>40452</v>
      </c>
      <c r="B158" s="5">
        <v>41549</v>
      </c>
      <c r="C158" s="7" t="s">
        <v>13</v>
      </c>
      <c r="O158" s="1"/>
      <c r="P158"/>
    </row>
    <row r="159" spans="1:16" x14ac:dyDescent="0.25">
      <c r="A159" s="6">
        <v>40483</v>
      </c>
      <c r="B159" s="5">
        <v>38106</v>
      </c>
      <c r="C159" s="7" t="s">
        <v>20</v>
      </c>
      <c r="O159" s="1"/>
      <c r="P159"/>
    </row>
    <row r="160" spans="1:16" x14ac:dyDescent="0.25">
      <c r="A160" s="6">
        <v>40483</v>
      </c>
      <c r="B160" s="5">
        <v>30869</v>
      </c>
      <c r="C160" s="7" t="s">
        <v>21</v>
      </c>
      <c r="O160" s="1"/>
      <c r="P160"/>
    </row>
    <row r="161" spans="1:16" x14ac:dyDescent="0.25">
      <c r="A161" s="6">
        <v>40483</v>
      </c>
      <c r="B161" s="5">
        <v>37451</v>
      </c>
      <c r="C161" s="7" t="s">
        <v>13</v>
      </c>
      <c r="O161" s="1"/>
      <c r="P161"/>
    </row>
    <row r="162" spans="1:16" x14ac:dyDescent="0.25">
      <c r="A162" s="6">
        <v>40513</v>
      </c>
      <c r="B162" s="5">
        <v>34888</v>
      </c>
      <c r="C162" s="7" t="s">
        <v>21</v>
      </c>
      <c r="O162" s="1"/>
      <c r="P162"/>
    </row>
    <row r="163" spans="1:16" x14ac:dyDescent="0.25">
      <c r="A163" s="6">
        <v>40513</v>
      </c>
      <c r="B163" s="5">
        <v>38965</v>
      </c>
      <c r="C163" s="7" t="s">
        <v>13</v>
      </c>
      <c r="O163" s="1"/>
      <c r="P163"/>
    </row>
    <row r="164" spans="1:16" x14ac:dyDescent="0.25">
      <c r="A164" s="6">
        <v>40513</v>
      </c>
      <c r="B164" s="5">
        <v>43237</v>
      </c>
      <c r="C164" s="7" t="s">
        <v>20</v>
      </c>
      <c r="O164" s="1"/>
      <c r="P164"/>
    </row>
    <row r="165" spans="1:16" x14ac:dyDescent="0.25">
      <c r="A165" s="6">
        <v>40544</v>
      </c>
      <c r="B165" s="5">
        <v>33215</v>
      </c>
      <c r="C165" s="7" t="s">
        <v>21</v>
      </c>
      <c r="O165" s="1"/>
      <c r="P165"/>
    </row>
    <row r="166" spans="1:16" x14ac:dyDescent="0.25">
      <c r="A166" s="6">
        <v>40544</v>
      </c>
      <c r="B166" s="5">
        <v>36931</v>
      </c>
      <c r="C166" s="7" t="s">
        <v>13</v>
      </c>
      <c r="O166" s="1"/>
      <c r="P166"/>
    </row>
    <row r="167" spans="1:16" x14ac:dyDescent="0.25">
      <c r="A167" s="6">
        <v>40544</v>
      </c>
      <c r="B167" s="5">
        <v>44477</v>
      </c>
      <c r="C167" s="7" t="s">
        <v>20</v>
      </c>
      <c r="O167" s="1"/>
      <c r="P167"/>
    </row>
    <row r="168" spans="1:16" x14ac:dyDescent="0.25">
      <c r="A168" s="6">
        <v>40575</v>
      </c>
      <c r="B168" s="5">
        <v>37323</v>
      </c>
      <c r="C168" s="7" t="s">
        <v>20</v>
      </c>
      <c r="O168" s="1"/>
      <c r="P168"/>
    </row>
    <row r="169" spans="1:16" x14ac:dyDescent="0.25">
      <c r="A169" s="6">
        <v>40575</v>
      </c>
      <c r="B169" s="5">
        <v>30768</v>
      </c>
      <c r="C169" s="7" t="s">
        <v>21</v>
      </c>
      <c r="O169" s="1"/>
      <c r="P169"/>
    </row>
    <row r="170" spans="1:16" x14ac:dyDescent="0.25">
      <c r="A170" s="6">
        <v>40575</v>
      </c>
      <c r="B170" s="5">
        <v>41383</v>
      </c>
      <c r="C170" s="7" t="s">
        <v>13</v>
      </c>
      <c r="O170" s="1"/>
      <c r="P170"/>
    </row>
    <row r="171" spans="1:16" x14ac:dyDescent="0.25">
      <c r="A171" s="6">
        <v>40603</v>
      </c>
      <c r="B171" s="5">
        <v>32289</v>
      </c>
      <c r="C171" s="7" t="s">
        <v>20</v>
      </c>
      <c r="O171" s="1"/>
      <c r="P171"/>
    </row>
    <row r="172" spans="1:16" x14ac:dyDescent="0.25">
      <c r="A172" s="6">
        <v>40603</v>
      </c>
      <c r="B172" s="5">
        <v>20081</v>
      </c>
      <c r="C172" s="7" t="s">
        <v>21</v>
      </c>
      <c r="O172" s="1"/>
      <c r="P172"/>
    </row>
    <row r="173" spans="1:16" x14ac:dyDescent="0.25">
      <c r="A173" s="6">
        <v>40603</v>
      </c>
      <c r="B173" s="5">
        <v>32412</v>
      </c>
      <c r="C173" s="7" t="s">
        <v>13</v>
      </c>
      <c r="O173" s="1"/>
      <c r="P173"/>
    </row>
    <row r="174" spans="1:16" x14ac:dyDescent="0.25">
      <c r="A174" s="6">
        <v>40634</v>
      </c>
      <c r="B174" s="5">
        <v>21224</v>
      </c>
      <c r="C174" s="7" t="s">
        <v>20</v>
      </c>
      <c r="O174" s="1"/>
      <c r="P174"/>
    </row>
    <row r="175" spans="1:16" x14ac:dyDescent="0.25">
      <c r="A175" s="6">
        <v>40634</v>
      </c>
      <c r="B175" s="5">
        <v>10793</v>
      </c>
      <c r="C175" s="7" t="s">
        <v>21</v>
      </c>
      <c r="O175" s="1"/>
      <c r="P175"/>
    </row>
    <row r="176" spans="1:16" x14ac:dyDescent="0.25">
      <c r="A176" s="6">
        <v>40634</v>
      </c>
      <c r="B176" s="5">
        <v>22609</v>
      </c>
      <c r="C176" s="7" t="s">
        <v>13</v>
      </c>
      <c r="O176" s="1"/>
      <c r="P176"/>
    </row>
    <row r="177" spans="1:16" x14ac:dyDescent="0.25">
      <c r="A177" s="6">
        <v>40664</v>
      </c>
      <c r="B177" s="5">
        <v>9553</v>
      </c>
      <c r="C177" s="7" t="s">
        <v>21</v>
      </c>
      <c r="O177" s="1"/>
      <c r="P177"/>
    </row>
    <row r="178" spans="1:16" x14ac:dyDescent="0.25">
      <c r="A178" s="6">
        <v>40664</v>
      </c>
      <c r="B178" s="5">
        <v>29812</v>
      </c>
      <c r="C178" s="7" t="s">
        <v>13</v>
      </c>
      <c r="O178" s="1"/>
      <c r="P178"/>
    </row>
    <row r="179" spans="1:16" x14ac:dyDescent="0.25">
      <c r="A179" s="6">
        <v>40664</v>
      </c>
      <c r="B179" s="5">
        <v>14491</v>
      </c>
      <c r="C179" s="7" t="s">
        <v>20</v>
      </c>
      <c r="O179" s="1"/>
      <c r="P179"/>
    </row>
    <row r="180" spans="1:16" x14ac:dyDescent="0.25">
      <c r="A180" s="6">
        <v>40695</v>
      </c>
      <c r="B180" s="5">
        <v>13261</v>
      </c>
      <c r="C180" s="7" t="s">
        <v>20</v>
      </c>
      <c r="O180" s="1"/>
      <c r="P180"/>
    </row>
    <row r="181" spans="1:16" x14ac:dyDescent="0.25">
      <c r="A181" s="6">
        <v>40695</v>
      </c>
      <c r="B181" s="5">
        <v>7592</v>
      </c>
      <c r="C181" s="7" t="s">
        <v>21</v>
      </c>
      <c r="O181" s="1"/>
      <c r="P181"/>
    </row>
    <row r="182" spans="1:16" x14ac:dyDescent="0.25">
      <c r="A182" s="6">
        <v>40695</v>
      </c>
      <c r="B182" s="5">
        <v>30453</v>
      </c>
      <c r="C182" s="7" t="s">
        <v>13</v>
      </c>
      <c r="O182" s="1"/>
      <c r="P182"/>
    </row>
    <row r="183" spans="1:16" x14ac:dyDescent="0.25">
      <c r="A183" s="6">
        <v>40725</v>
      </c>
      <c r="B183" s="5">
        <v>11117</v>
      </c>
      <c r="C183" s="7" t="s">
        <v>20</v>
      </c>
      <c r="O183" s="1"/>
      <c r="P183"/>
    </row>
    <row r="184" spans="1:16" x14ac:dyDescent="0.25">
      <c r="A184" s="6">
        <v>40725</v>
      </c>
      <c r="B184" s="5">
        <v>6380</v>
      </c>
      <c r="C184" s="7" t="s">
        <v>21</v>
      </c>
      <c r="O184" s="1"/>
      <c r="P184"/>
    </row>
    <row r="185" spans="1:16" x14ac:dyDescent="0.25">
      <c r="A185" s="6">
        <v>40725</v>
      </c>
      <c r="B185" s="5">
        <v>31434</v>
      </c>
      <c r="C185" s="7" t="s">
        <v>13</v>
      </c>
      <c r="O185" s="1"/>
      <c r="P185"/>
    </row>
    <row r="186" spans="1:16" x14ac:dyDescent="0.25">
      <c r="A186" s="6">
        <v>40756</v>
      </c>
      <c r="B186" s="5">
        <v>41640</v>
      </c>
      <c r="C186" s="7" t="s">
        <v>13</v>
      </c>
      <c r="O186" s="1"/>
      <c r="P186"/>
    </row>
    <row r="187" spans="1:16" x14ac:dyDescent="0.25">
      <c r="A187" s="6">
        <v>40756</v>
      </c>
      <c r="B187" s="5">
        <v>12492</v>
      </c>
      <c r="C187" s="7" t="s">
        <v>20</v>
      </c>
      <c r="O187" s="1"/>
      <c r="P187"/>
    </row>
    <row r="188" spans="1:16" x14ac:dyDescent="0.25">
      <c r="A188" s="6">
        <v>40756</v>
      </c>
      <c r="B188" s="5">
        <v>8952</v>
      </c>
      <c r="C188" s="7" t="s">
        <v>21</v>
      </c>
      <c r="O188" s="1"/>
      <c r="P188"/>
    </row>
    <row r="189" spans="1:16" x14ac:dyDescent="0.25">
      <c r="A189" s="6">
        <v>40787</v>
      </c>
      <c r="B189" s="5">
        <v>14123</v>
      </c>
      <c r="C189" s="7" t="s">
        <v>20</v>
      </c>
      <c r="O189" s="1"/>
      <c r="P189"/>
    </row>
    <row r="190" spans="1:16" x14ac:dyDescent="0.25">
      <c r="A190" s="6">
        <v>40787</v>
      </c>
      <c r="B190" s="5">
        <v>37088</v>
      </c>
      <c r="C190" s="7" t="s">
        <v>13</v>
      </c>
      <c r="O190" s="1"/>
      <c r="P190"/>
    </row>
    <row r="191" spans="1:16" x14ac:dyDescent="0.25">
      <c r="A191" s="6">
        <v>40787</v>
      </c>
      <c r="B191" s="5">
        <v>9875</v>
      </c>
      <c r="C191" s="7" t="s">
        <v>21</v>
      </c>
      <c r="O191" s="1"/>
      <c r="P191"/>
    </row>
    <row r="192" spans="1:16" x14ac:dyDescent="0.25">
      <c r="A192" s="6">
        <v>40817</v>
      </c>
      <c r="B192" s="5">
        <v>14085</v>
      </c>
      <c r="C192" s="7" t="s">
        <v>20</v>
      </c>
      <c r="O192" s="1"/>
      <c r="P192"/>
    </row>
    <row r="193" spans="1:16" x14ac:dyDescent="0.25">
      <c r="A193" s="6">
        <v>40817</v>
      </c>
      <c r="B193" s="5">
        <v>11433</v>
      </c>
      <c r="C193" s="7" t="s">
        <v>21</v>
      </c>
      <c r="O193" s="1"/>
      <c r="P193"/>
    </row>
    <row r="194" spans="1:16" x14ac:dyDescent="0.25">
      <c r="A194" s="6">
        <v>40817</v>
      </c>
      <c r="B194" s="5">
        <v>36313</v>
      </c>
      <c r="C194" s="7" t="s">
        <v>13</v>
      </c>
      <c r="O194" s="1"/>
      <c r="P194"/>
    </row>
    <row r="195" spans="1:16" x14ac:dyDescent="0.25">
      <c r="A195" s="6">
        <v>40848</v>
      </c>
      <c r="B195" s="5">
        <v>32247</v>
      </c>
      <c r="C195" s="7" t="s">
        <v>13</v>
      </c>
      <c r="O195" s="1"/>
      <c r="P195"/>
    </row>
    <row r="196" spans="1:16" x14ac:dyDescent="0.25">
      <c r="A196" s="6">
        <v>40848</v>
      </c>
      <c r="B196" s="5">
        <v>17552</v>
      </c>
      <c r="C196" s="7" t="s">
        <v>20</v>
      </c>
      <c r="O196" s="1"/>
      <c r="P196"/>
    </row>
    <row r="197" spans="1:16" x14ac:dyDescent="0.25">
      <c r="A197" s="6">
        <v>40848</v>
      </c>
      <c r="B197" s="5">
        <v>22206</v>
      </c>
      <c r="C197" s="7" t="s">
        <v>21</v>
      </c>
      <c r="O197" s="1"/>
      <c r="P197"/>
    </row>
    <row r="198" spans="1:16" x14ac:dyDescent="0.25">
      <c r="A198" s="6">
        <v>40878</v>
      </c>
      <c r="B198" s="5">
        <v>24463</v>
      </c>
      <c r="C198" s="7" t="s">
        <v>13</v>
      </c>
      <c r="O198" s="1"/>
      <c r="P198"/>
    </row>
    <row r="199" spans="1:16" x14ac:dyDescent="0.25">
      <c r="A199" s="6">
        <v>40878</v>
      </c>
      <c r="B199" s="5">
        <v>21822</v>
      </c>
      <c r="C199" s="7" t="s">
        <v>21</v>
      </c>
      <c r="O199" s="1"/>
      <c r="P199"/>
    </row>
    <row r="200" spans="1:16" x14ac:dyDescent="0.25">
      <c r="A200" s="6">
        <v>40878</v>
      </c>
      <c r="B200" s="5">
        <v>20154</v>
      </c>
      <c r="C200" s="7" t="s">
        <v>20</v>
      </c>
      <c r="O200" s="1"/>
      <c r="P200"/>
    </row>
    <row r="201" spans="1:16" x14ac:dyDescent="0.25">
      <c r="A201" s="6">
        <v>40909</v>
      </c>
      <c r="B201" s="5">
        <v>25528</v>
      </c>
      <c r="C201" s="7" t="s">
        <v>13</v>
      </c>
      <c r="O201" s="1"/>
      <c r="P201"/>
    </row>
    <row r="202" spans="1:16" x14ac:dyDescent="0.25">
      <c r="A202" s="6">
        <v>40909</v>
      </c>
      <c r="B202" s="5">
        <v>21858</v>
      </c>
      <c r="C202" s="7" t="s">
        <v>20</v>
      </c>
      <c r="O202" s="1"/>
      <c r="P202"/>
    </row>
    <row r="203" spans="1:16" x14ac:dyDescent="0.25">
      <c r="A203" s="6">
        <v>40909</v>
      </c>
      <c r="B203" s="5">
        <v>22762</v>
      </c>
      <c r="C203" s="7" t="s">
        <v>21</v>
      </c>
      <c r="O203" s="1"/>
      <c r="P203"/>
    </row>
    <row r="204" spans="1:16" x14ac:dyDescent="0.25">
      <c r="A204" s="6">
        <v>40940</v>
      </c>
      <c r="B204" s="5">
        <v>25465</v>
      </c>
      <c r="C204" s="7" t="s">
        <v>21</v>
      </c>
      <c r="O204" s="1"/>
      <c r="P204"/>
    </row>
    <row r="205" spans="1:16" x14ac:dyDescent="0.25">
      <c r="A205" s="6">
        <v>40940</v>
      </c>
      <c r="B205" s="5">
        <v>30766</v>
      </c>
      <c r="C205" s="7" t="s">
        <v>13</v>
      </c>
      <c r="O205" s="1"/>
      <c r="P205"/>
    </row>
    <row r="206" spans="1:16" x14ac:dyDescent="0.25">
      <c r="A206" s="6">
        <v>40940</v>
      </c>
      <c r="B206" s="5">
        <v>18923</v>
      </c>
      <c r="C206" s="7" t="s">
        <v>20</v>
      </c>
      <c r="O206" s="1"/>
      <c r="P206"/>
    </row>
    <row r="207" spans="1:16" x14ac:dyDescent="0.25">
      <c r="A207" s="6">
        <v>40969</v>
      </c>
      <c r="B207" s="5">
        <v>20650</v>
      </c>
      <c r="C207" s="7" t="s">
        <v>20</v>
      </c>
      <c r="O207" s="1"/>
      <c r="P207"/>
    </row>
    <row r="208" spans="1:16" x14ac:dyDescent="0.25">
      <c r="A208" s="6">
        <v>40969</v>
      </c>
      <c r="B208" s="5">
        <v>22392</v>
      </c>
      <c r="C208" s="7" t="s">
        <v>21</v>
      </c>
      <c r="O208" s="1"/>
      <c r="P208"/>
    </row>
    <row r="209" spans="1:16" x14ac:dyDescent="0.25">
      <c r="A209" s="6">
        <v>40969</v>
      </c>
      <c r="B209" s="5">
        <v>21030</v>
      </c>
      <c r="C209" s="7" t="s">
        <v>13</v>
      </c>
      <c r="O209" s="1"/>
      <c r="P209"/>
    </row>
    <row r="210" spans="1:16" x14ac:dyDescent="0.25">
      <c r="A210" s="6">
        <v>41000</v>
      </c>
      <c r="B210" s="5">
        <v>23750</v>
      </c>
      <c r="C210" s="7" t="s">
        <v>20</v>
      </c>
      <c r="O210" s="1"/>
      <c r="P210"/>
    </row>
    <row r="211" spans="1:16" x14ac:dyDescent="0.25">
      <c r="A211" s="6">
        <v>41000</v>
      </c>
      <c r="B211" s="5">
        <v>22169</v>
      </c>
      <c r="C211" s="7" t="s">
        <v>21</v>
      </c>
      <c r="O211" s="1"/>
      <c r="P211"/>
    </row>
    <row r="212" spans="1:16" x14ac:dyDescent="0.25">
      <c r="A212" s="6">
        <v>41000</v>
      </c>
      <c r="B212" s="5">
        <v>20238</v>
      </c>
      <c r="C212" s="7" t="s">
        <v>13</v>
      </c>
      <c r="O212" s="1"/>
      <c r="P212"/>
    </row>
    <row r="213" spans="1:16" x14ac:dyDescent="0.25">
      <c r="A213" s="6">
        <v>41030</v>
      </c>
      <c r="B213" s="5">
        <v>24409</v>
      </c>
      <c r="C213" s="7" t="s">
        <v>13</v>
      </c>
      <c r="O213" s="1"/>
      <c r="P213"/>
    </row>
    <row r="214" spans="1:16" x14ac:dyDescent="0.25">
      <c r="A214" s="6">
        <v>41030</v>
      </c>
      <c r="B214" s="5">
        <v>21904</v>
      </c>
      <c r="C214" s="7" t="s">
        <v>21</v>
      </c>
      <c r="O214" s="1"/>
      <c r="P214"/>
    </row>
    <row r="215" spans="1:16" x14ac:dyDescent="0.25">
      <c r="A215" s="6">
        <v>41030</v>
      </c>
      <c r="B215" s="5">
        <v>22147</v>
      </c>
      <c r="C215" s="7" t="s">
        <v>20</v>
      </c>
      <c r="O215" s="1"/>
      <c r="P215"/>
    </row>
    <row r="216" spans="1:16" x14ac:dyDescent="0.25">
      <c r="A216" s="6">
        <v>41061</v>
      </c>
      <c r="B216" s="5">
        <v>32503</v>
      </c>
      <c r="C216" s="7" t="s">
        <v>13</v>
      </c>
      <c r="O216" s="1"/>
      <c r="P216"/>
    </row>
    <row r="217" spans="1:16" x14ac:dyDescent="0.25">
      <c r="A217" s="6">
        <v>41061</v>
      </c>
      <c r="B217" s="5">
        <v>18591</v>
      </c>
      <c r="C217" s="7" t="s">
        <v>21</v>
      </c>
      <c r="O217" s="1"/>
      <c r="P217"/>
    </row>
    <row r="218" spans="1:16" x14ac:dyDescent="0.25">
      <c r="A218" s="6">
        <v>41061</v>
      </c>
      <c r="B218" s="5">
        <v>20132</v>
      </c>
      <c r="C218" s="7" t="s">
        <v>20</v>
      </c>
      <c r="O218" s="1"/>
      <c r="P218"/>
    </row>
    <row r="219" spans="1:16" x14ac:dyDescent="0.25">
      <c r="A219" s="6">
        <v>41091</v>
      </c>
      <c r="B219" s="5">
        <v>40917</v>
      </c>
      <c r="C219" s="7" t="s">
        <v>13</v>
      </c>
      <c r="O219" s="1"/>
      <c r="P219"/>
    </row>
    <row r="220" spans="1:16" x14ac:dyDescent="0.25">
      <c r="A220" s="6">
        <v>41091</v>
      </c>
      <c r="B220" s="5">
        <v>20169</v>
      </c>
      <c r="C220" s="7" t="s">
        <v>21</v>
      </c>
      <c r="O220" s="1"/>
      <c r="P220"/>
    </row>
    <row r="221" spans="1:16" x14ac:dyDescent="0.25">
      <c r="A221" s="6">
        <v>41091</v>
      </c>
      <c r="B221" s="5">
        <v>20818</v>
      </c>
      <c r="C221" s="7" t="s">
        <v>20</v>
      </c>
      <c r="O221" s="1"/>
      <c r="P221"/>
    </row>
    <row r="222" spans="1:16" x14ac:dyDescent="0.25">
      <c r="A222" s="6">
        <v>41122</v>
      </c>
      <c r="B222" s="5">
        <v>40189</v>
      </c>
      <c r="C222" s="7" t="s">
        <v>13</v>
      </c>
      <c r="O222" s="1"/>
      <c r="P222"/>
    </row>
    <row r="223" spans="1:16" x14ac:dyDescent="0.25">
      <c r="A223" s="6">
        <v>41122</v>
      </c>
      <c r="B223" s="5">
        <v>20467</v>
      </c>
      <c r="C223" s="7" t="s">
        <v>21</v>
      </c>
      <c r="O223" s="1"/>
      <c r="P223"/>
    </row>
    <row r="224" spans="1:16" x14ac:dyDescent="0.25">
      <c r="A224" s="6">
        <v>41122</v>
      </c>
      <c r="B224" s="5">
        <v>21157</v>
      </c>
      <c r="C224" s="7" t="s">
        <v>20</v>
      </c>
      <c r="O224" s="1"/>
      <c r="P224"/>
    </row>
    <row r="225" spans="1:16" x14ac:dyDescent="0.25">
      <c r="A225" s="6">
        <v>41153</v>
      </c>
      <c r="B225" s="5">
        <v>43003</v>
      </c>
      <c r="C225" s="7" t="s">
        <v>13</v>
      </c>
      <c r="O225" s="1"/>
      <c r="P225"/>
    </row>
    <row r="226" spans="1:16" x14ac:dyDescent="0.25">
      <c r="A226" s="6">
        <v>41153</v>
      </c>
      <c r="B226" s="5">
        <v>25359</v>
      </c>
      <c r="C226" s="7" t="s">
        <v>21</v>
      </c>
      <c r="O226" s="1"/>
      <c r="P226"/>
    </row>
    <row r="227" spans="1:16" x14ac:dyDescent="0.25">
      <c r="A227" s="6">
        <v>41153</v>
      </c>
      <c r="B227" s="5">
        <v>23362</v>
      </c>
      <c r="C227" s="7" t="s">
        <v>20</v>
      </c>
      <c r="O227" s="1"/>
      <c r="P227"/>
    </row>
    <row r="228" spans="1:16" x14ac:dyDescent="0.25">
      <c r="A228" s="6">
        <v>41183</v>
      </c>
      <c r="B228" s="5">
        <v>47014</v>
      </c>
      <c r="C228" s="7" t="s">
        <v>13</v>
      </c>
      <c r="O228" s="1"/>
      <c r="P228"/>
    </row>
    <row r="229" spans="1:16" x14ac:dyDescent="0.25">
      <c r="A229" s="6">
        <v>41183</v>
      </c>
      <c r="B229" s="5">
        <v>33904</v>
      </c>
      <c r="C229" s="7" t="s">
        <v>21</v>
      </c>
      <c r="O229" s="1"/>
      <c r="P229"/>
    </row>
    <row r="230" spans="1:16" x14ac:dyDescent="0.25">
      <c r="A230" s="6">
        <v>41183</v>
      </c>
      <c r="B230" s="5">
        <v>24936</v>
      </c>
      <c r="C230" s="7" t="s">
        <v>20</v>
      </c>
      <c r="O230" s="1"/>
      <c r="P230"/>
    </row>
    <row r="231" spans="1:16" x14ac:dyDescent="0.25">
      <c r="A231" s="6">
        <v>41214</v>
      </c>
      <c r="B231" s="5">
        <v>49818</v>
      </c>
      <c r="C231" s="7" t="s">
        <v>13</v>
      </c>
      <c r="O231" s="1"/>
      <c r="P231"/>
    </row>
    <row r="232" spans="1:16" x14ac:dyDescent="0.25">
      <c r="A232" s="6">
        <v>41214</v>
      </c>
      <c r="B232" s="5">
        <v>40037</v>
      </c>
      <c r="C232" s="7" t="s">
        <v>21</v>
      </c>
      <c r="O232" s="1"/>
      <c r="P232"/>
    </row>
    <row r="233" spans="1:16" x14ac:dyDescent="0.25">
      <c r="A233" s="6">
        <v>41214</v>
      </c>
      <c r="B233" s="5">
        <v>26328</v>
      </c>
      <c r="C233" s="7" t="s">
        <v>20</v>
      </c>
      <c r="O233" s="1"/>
      <c r="P233"/>
    </row>
    <row r="234" spans="1:16" x14ac:dyDescent="0.25">
      <c r="A234" s="6">
        <v>41244</v>
      </c>
      <c r="B234" s="5">
        <v>49998</v>
      </c>
      <c r="C234" s="7" t="s">
        <v>13</v>
      </c>
      <c r="O234" s="1"/>
      <c r="P234"/>
    </row>
    <row r="235" spans="1:16" x14ac:dyDescent="0.25">
      <c r="A235" s="6">
        <v>41244</v>
      </c>
      <c r="B235" s="5">
        <v>40485</v>
      </c>
      <c r="C235" s="7" t="s">
        <v>21</v>
      </c>
      <c r="O235" s="1"/>
      <c r="P235"/>
    </row>
    <row r="236" spans="1:16" x14ac:dyDescent="0.25">
      <c r="A236" s="6">
        <v>41244</v>
      </c>
      <c r="B236" s="5">
        <v>29752</v>
      </c>
      <c r="C236" s="7" t="s">
        <v>20</v>
      </c>
      <c r="O236" s="1"/>
      <c r="P236"/>
    </row>
    <row r="237" spans="1:16" x14ac:dyDescent="0.25">
      <c r="A237" s="6">
        <v>41275</v>
      </c>
      <c r="B237" s="5">
        <v>39738</v>
      </c>
      <c r="C237" s="7" t="s">
        <v>13</v>
      </c>
      <c r="O237" s="1"/>
      <c r="P237"/>
    </row>
    <row r="238" spans="1:16" x14ac:dyDescent="0.25">
      <c r="A238" s="6">
        <v>41275</v>
      </c>
      <c r="B238" s="5">
        <v>36497</v>
      </c>
      <c r="C238" s="7" t="s">
        <v>21</v>
      </c>
      <c r="O238" s="1"/>
      <c r="P238"/>
    </row>
    <row r="239" spans="1:16" x14ac:dyDescent="0.25">
      <c r="A239" s="6">
        <v>41275</v>
      </c>
      <c r="B239" s="5">
        <v>26821</v>
      </c>
      <c r="C239" s="7" t="s">
        <v>20</v>
      </c>
      <c r="O239" s="1"/>
      <c r="P239"/>
    </row>
    <row r="240" spans="1:16" x14ac:dyDescent="0.25">
      <c r="A240" s="6">
        <v>41306</v>
      </c>
      <c r="B240" s="5">
        <v>44263</v>
      </c>
      <c r="C240" s="7" t="s">
        <v>13</v>
      </c>
      <c r="O240" s="1"/>
      <c r="P240"/>
    </row>
    <row r="241" spans="1:16" x14ac:dyDescent="0.25">
      <c r="A241" s="6">
        <v>41306</v>
      </c>
      <c r="B241" s="5">
        <v>41281</v>
      </c>
      <c r="C241" s="7" t="s">
        <v>21</v>
      </c>
      <c r="O241" s="1"/>
      <c r="P241"/>
    </row>
    <row r="242" spans="1:16" x14ac:dyDescent="0.25">
      <c r="A242" s="6">
        <v>41306</v>
      </c>
      <c r="B242" s="5">
        <v>27440</v>
      </c>
      <c r="C242" s="7" t="s">
        <v>20</v>
      </c>
      <c r="O242" s="1"/>
      <c r="P242"/>
    </row>
    <row r="243" spans="1:16" x14ac:dyDescent="0.25">
      <c r="A243" s="6">
        <v>41334</v>
      </c>
      <c r="B243" s="5">
        <v>42588</v>
      </c>
      <c r="C243" s="7" t="s">
        <v>13</v>
      </c>
      <c r="O243" s="1"/>
      <c r="P243"/>
    </row>
    <row r="244" spans="1:16" x14ac:dyDescent="0.25">
      <c r="A244" s="6">
        <v>41334</v>
      </c>
      <c r="B244" s="5">
        <v>45862</v>
      </c>
      <c r="C244" s="7" t="s">
        <v>21</v>
      </c>
      <c r="O244" s="1"/>
      <c r="P244"/>
    </row>
    <row r="245" spans="1:16" x14ac:dyDescent="0.25">
      <c r="A245" s="6">
        <v>41334</v>
      </c>
      <c r="B245" s="5">
        <v>29625</v>
      </c>
      <c r="C245" s="7" t="s">
        <v>20</v>
      </c>
      <c r="O245" s="1"/>
      <c r="P245"/>
    </row>
    <row r="246" spans="1:16" x14ac:dyDescent="0.25">
      <c r="A246" s="6">
        <v>41365</v>
      </c>
      <c r="B246" s="5">
        <v>46379</v>
      </c>
      <c r="C246" s="7" t="s">
        <v>13</v>
      </c>
      <c r="O246" s="1"/>
      <c r="P246"/>
    </row>
    <row r="247" spans="1:16" x14ac:dyDescent="0.25">
      <c r="A247" s="6">
        <v>41365</v>
      </c>
      <c r="B247" s="5">
        <v>40421</v>
      </c>
      <c r="C247" s="7" t="s">
        <v>21</v>
      </c>
      <c r="O247" s="1"/>
      <c r="P247"/>
    </row>
    <row r="248" spans="1:16" x14ac:dyDescent="0.25">
      <c r="A248" s="6">
        <v>41365</v>
      </c>
      <c r="B248" s="5">
        <v>29886</v>
      </c>
      <c r="C248" s="7" t="s">
        <v>20</v>
      </c>
      <c r="O248" s="1"/>
      <c r="P248"/>
    </row>
    <row r="249" spans="1:16" x14ac:dyDescent="0.25">
      <c r="A249" s="6">
        <v>41395</v>
      </c>
      <c r="B249" s="5">
        <v>47961</v>
      </c>
      <c r="C249" s="7" t="s">
        <v>13</v>
      </c>
      <c r="O249" s="1"/>
      <c r="P249"/>
    </row>
    <row r="250" spans="1:16" x14ac:dyDescent="0.25">
      <c r="A250" s="6">
        <v>41395</v>
      </c>
      <c r="B250" s="5">
        <v>30711</v>
      </c>
      <c r="C250" s="7" t="s">
        <v>21</v>
      </c>
      <c r="O250" s="1"/>
      <c r="P250"/>
    </row>
    <row r="251" spans="1:16" x14ac:dyDescent="0.25">
      <c r="A251" s="6">
        <v>41395</v>
      </c>
      <c r="B251" s="5">
        <v>30221</v>
      </c>
      <c r="C251" s="7" t="s">
        <v>20</v>
      </c>
      <c r="O251" s="1"/>
      <c r="P251"/>
    </row>
    <row r="252" spans="1:16" x14ac:dyDescent="0.25">
      <c r="A252" s="6">
        <v>41426</v>
      </c>
      <c r="B252" s="5">
        <v>48520</v>
      </c>
      <c r="C252" s="7" t="s">
        <v>13</v>
      </c>
      <c r="O252" s="1"/>
      <c r="P252"/>
    </row>
    <row r="253" spans="1:16" x14ac:dyDescent="0.25">
      <c r="A253" s="6">
        <v>41426</v>
      </c>
      <c r="B253" s="5">
        <v>26806</v>
      </c>
      <c r="C253" s="7" t="s">
        <v>21</v>
      </c>
      <c r="O253" s="1"/>
      <c r="P253"/>
    </row>
    <row r="254" spans="1:16" x14ac:dyDescent="0.25">
      <c r="A254" s="6">
        <v>41426</v>
      </c>
      <c r="B254" s="5">
        <v>28245</v>
      </c>
      <c r="C254" s="7" t="s">
        <v>20</v>
      </c>
      <c r="O254" s="1"/>
      <c r="P254"/>
    </row>
    <row r="255" spans="1:16" x14ac:dyDescent="0.25">
      <c r="A255" s="6">
        <v>41456</v>
      </c>
      <c r="B255" s="5">
        <v>62247</v>
      </c>
      <c r="C255" s="7" t="s">
        <v>13</v>
      </c>
      <c r="O255" s="1"/>
      <c r="P255"/>
    </row>
    <row r="256" spans="1:16" x14ac:dyDescent="0.25">
      <c r="A256" s="6">
        <v>41456</v>
      </c>
      <c r="B256" s="5">
        <v>32722</v>
      </c>
      <c r="C256" s="7" t="s">
        <v>21</v>
      </c>
      <c r="O256" s="1"/>
      <c r="P256"/>
    </row>
    <row r="257" spans="1:16" x14ac:dyDescent="0.25">
      <c r="A257" s="6">
        <v>41456</v>
      </c>
      <c r="B257" s="5">
        <v>26789</v>
      </c>
      <c r="C257" s="7" t="s">
        <v>20</v>
      </c>
      <c r="O257" s="1"/>
      <c r="P257"/>
    </row>
    <row r="258" spans="1:16" x14ac:dyDescent="0.25">
      <c r="A258" s="6">
        <v>41487</v>
      </c>
      <c r="B258" s="5">
        <v>60521</v>
      </c>
      <c r="C258" s="7" t="s">
        <v>13</v>
      </c>
      <c r="O258" s="1"/>
      <c r="P258"/>
    </row>
    <row r="259" spans="1:16" x14ac:dyDescent="0.25">
      <c r="A259" s="6">
        <v>41487</v>
      </c>
      <c r="B259" s="5">
        <v>27485</v>
      </c>
      <c r="C259" s="7" t="s">
        <v>21</v>
      </c>
      <c r="O259" s="1"/>
      <c r="P259"/>
    </row>
    <row r="260" spans="1:16" x14ac:dyDescent="0.25">
      <c r="A260" s="6">
        <v>41487</v>
      </c>
      <c r="B260" s="5">
        <v>23013</v>
      </c>
      <c r="C260" s="7" t="s">
        <v>20</v>
      </c>
      <c r="O260" s="1"/>
      <c r="P260"/>
    </row>
    <row r="261" spans="1:16" x14ac:dyDescent="0.25">
      <c r="A261" s="6">
        <v>41518</v>
      </c>
      <c r="B261" s="5">
        <v>56084</v>
      </c>
      <c r="C261" s="7" t="s">
        <v>13</v>
      </c>
      <c r="O261" s="1"/>
      <c r="P261"/>
    </row>
    <row r="262" spans="1:16" x14ac:dyDescent="0.25">
      <c r="A262" s="6">
        <v>41518</v>
      </c>
      <c r="B262" s="5">
        <v>20542</v>
      </c>
      <c r="C262" s="7" t="s">
        <v>20</v>
      </c>
      <c r="O262" s="1"/>
      <c r="P262"/>
    </row>
    <row r="263" spans="1:16" x14ac:dyDescent="0.25">
      <c r="A263" s="6">
        <v>41518</v>
      </c>
      <c r="B263" s="5">
        <v>19112</v>
      </c>
      <c r="C263" s="7" t="s">
        <v>21</v>
      </c>
      <c r="O263" s="1"/>
      <c r="P263"/>
    </row>
    <row r="264" spans="1:16" x14ac:dyDescent="0.25">
      <c r="A264" s="6">
        <v>41548</v>
      </c>
      <c r="B264" s="5">
        <v>49158</v>
      </c>
      <c r="C264" s="7" t="s">
        <v>13</v>
      </c>
      <c r="O264" s="1"/>
      <c r="P264"/>
    </row>
    <row r="265" spans="1:16" x14ac:dyDescent="0.25">
      <c r="A265" s="6">
        <v>41548</v>
      </c>
      <c r="B265" s="5">
        <v>11604</v>
      </c>
      <c r="C265" s="7" t="s">
        <v>21</v>
      </c>
      <c r="O265" s="1"/>
      <c r="P265"/>
    </row>
    <row r="266" spans="1:16" x14ac:dyDescent="0.25">
      <c r="A266" s="6">
        <v>41548</v>
      </c>
      <c r="B266" s="5">
        <v>15993</v>
      </c>
      <c r="C266" s="7" t="s">
        <v>20</v>
      </c>
      <c r="O266" s="1"/>
      <c r="P266"/>
    </row>
    <row r="267" spans="1:16" x14ac:dyDescent="0.25">
      <c r="A267" s="6">
        <v>41579</v>
      </c>
      <c r="B267" s="5">
        <v>41648</v>
      </c>
      <c r="C267" s="7" t="s">
        <v>13</v>
      </c>
      <c r="O267" s="1"/>
      <c r="P267"/>
    </row>
    <row r="268" spans="1:16" x14ac:dyDescent="0.25">
      <c r="A268" s="6">
        <v>41579</v>
      </c>
      <c r="B268" s="5">
        <v>7900</v>
      </c>
      <c r="C268" s="7" t="s">
        <v>21</v>
      </c>
      <c r="O268" s="1"/>
      <c r="P268"/>
    </row>
    <row r="269" spans="1:16" x14ac:dyDescent="0.25">
      <c r="A269" s="6">
        <v>41579</v>
      </c>
      <c r="B269" s="5">
        <v>12082</v>
      </c>
      <c r="C269" s="7" t="s">
        <v>20</v>
      </c>
      <c r="O269" s="1"/>
      <c r="P269"/>
    </row>
    <row r="270" spans="1:16" x14ac:dyDescent="0.25">
      <c r="A270" s="6">
        <v>41609</v>
      </c>
      <c r="B270" s="5">
        <v>45669</v>
      </c>
      <c r="C270" s="7" t="s">
        <v>13</v>
      </c>
      <c r="O270" s="1"/>
      <c r="P270"/>
    </row>
    <row r="271" spans="1:16" x14ac:dyDescent="0.25">
      <c r="A271" s="6">
        <v>41609</v>
      </c>
      <c r="B271" s="5">
        <v>8033</v>
      </c>
      <c r="C271" s="7" t="s">
        <v>21</v>
      </c>
      <c r="O271" s="1"/>
      <c r="P271"/>
    </row>
    <row r="272" spans="1:16" x14ac:dyDescent="0.25">
      <c r="A272" s="6">
        <v>41609</v>
      </c>
      <c r="B272" s="5">
        <v>10922</v>
      </c>
      <c r="C272" s="7" t="s">
        <v>20</v>
      </c>
      <c r="O272" s="1"/>
      <c r="P272"/>
    </row>
    <row r="273" spans="1:16" x14ac:dyDescent="0.25">
      <c r="A273" s="6">
        <v>41640</v>
      </c>
      <c r="B273" s="5">
        <v>45743</v>
      </c>
      <c r="C273" s="7" t="s">
        <v>13</v>
      </c>
      <c r="O273" s="1"/>
      <c r="P273"/>
    </row>
    <row r="274" spans="1:16" x14ac:dyDescent="0.25">
      <c r="A274" s="6">
        <v>41640</v>
      </c>
      <c r="B274" s="5">
        <v>9674</v>
      </c>
      <c r="C274" s="7" t="s">
        <v>21</v>
      </c>
      <c r="O274" s="1"/>
      <c r="P274"/>
    </row>
    <row r="275" spans="1:16" x14ac:dyDescent="0.25">
      <c r="A275" s="6">
        <v>41640</v>
      </c>
      <c r="B275" s="5">
        <v>9752</v>
      </c>
      <c r="C275" s="7" t="s">
        <v>20</v>
      </c>
      <c r="O275" s="1"/>
      <c r="P275"/>
    </row>
    <row r="276" spans="1:16" x14ac:dyDescent="0.25">
      <c r="A276" s="6">
        <v>41671</v>
      </c>
      <c r="B276" s="5">
        <v>48084</v>
      </c>
      <c r="C276" s="7" t="s">
        <v>13</v>
      </c>
      <c r="O276" s="1"/>
      <c r="P276"/>
    </row>
    <row r="277" spans="1:16" x14ac:dyDescent="0.25">
      <c r="A277" s="6">
        <v>41671</v>
      </c>
      <c r="B277" s="5">
        <v>9770</v>
      </c>
      <c r="C277" s="7" t="s">
        <v>21</v>
      </c>
      <c r="O277" s="1"/>
      <c r="P277"/>
    </row>
    <row r="278" spans="1:16" x14ac:dyDescent="0.25">
      <c r="A278" s="6">
        <v>41671</v>
      </c>
      <c r="B278" s="5">
        <v>9671</v>
      </c>
      <c r="C278" s="7" t="s">
        <v>20</v>
      </c>
      <c r="O278" s="1"/>
      <c r="P278"/>
    </row>
    <row r="279" spans="1:16" x14ac:dyDescent="0.25">
      <c r="A279" s="6">
        <v>41699</v>
      </c>
      <c r="B279" s="5">
        <v>32181</v>
      </c>
      <c r="C279" s="7" t="s">
        <v>13</v>
      </c>
      <c r="O279" s="1"/>
      <c r="P279"/>
    </row>
    <row r="280" spans="1:16" x14ac:dyDescent="0.25">
      <c r="A280" s="6">
        <v>41699</v>
      </c>
      <c r="B280" s="5">
        <v>6582</v>
      </c>
      <c r="C280" s="7" t="s">
        <v>21</v>
      </c>
      <c r="O280" s="1"/>
      <c r="P280"/>
    </row>
    <row r="281" spans="1:16" x14ac:dyDescent="0.25">
      <c r="A281" s="6">
        <v>41699</v>
      </c>
      <c r="B281" s="5">
        <v>8095</v>
      </c>
      <c r="C281" s="7" t="s">
        <v>20</v>
      </c>
      <c r="O281" s="1"/>
      <c r="P281"/>
    </row>
    <row r="282" spans="1:16" x14ac:dyDescent="0.25">
      <c r="A282" s="6">
        <v>41699</v>
      </c>
      <c r="B282" s="5">
        <v>6</v>
      </c>
      <c r="C282" s="7" t="s">
        <v>22</v>
      </c>
      <c r="O282" s="1"/>
      <c r="P282"/>
    </row>
    <row r="283" spans="1:16" x14ac:dyDescent="0.25">
      <c r="A283" s="6">
        <v>41730</v>
      </c>
      <c r="B283" s="5">
        <v>3315</v>
      </c>
      <c r="C283" s="7" t="s">
        <v>20</v>
      </c>
      <c r="O283" s="1"/>
      <c r="P283"/>
    </row>
    <row r="284" spans="1:16" x14ac:dyDescent="0.25">
      <c r="A284" s="6">
        <v>41730</v>
      </c>
      <c r="B284" s="5">
        <v>34463</v>
      </c>
      <c r="C284" s="7" t="s">
        <v>13</v>
      </c>
      <c r="O284" s="1"/>
      <c r="P284"/>
    </row>
    <row r="285" spans="1:16" x14ac:dyDescent="0.25">
      <c r="A285" s="6">
        <v>41730</v>
      </c>
      <c r="B285" s="5">
        <v>1241</v>
      </c>
      <c r="C285" s="7" t="s">
        <v>21</v>
      </c>
      <c r="O285" s="1"/>
      <c r="P285"/>
    </row>
    <row r="286" spans="1:16" x14ac:dyDescent="0.25">
      <c r="A286" s="6">
        <v>41730</v>
      </c>
      <c r="B286" s="5">
        <v>8232</v>
      </c>
      <c r="C286" s="7" t="s">
        <v>22</v>
      </c>
      <c r="O286" s="1"/>
      <c r="P286"/>
    </row>
    <row r="287" spans="1:16" x14ac:dyDescent="0.25">
      <c r="A287" s="6">
        <v>41760</v>
      </c>
      <c r="B287" s="5">
        <v>3393</v>
      </c>
      <c r="C287" s="7" t="s">
        <v>20</v>
      </c>
      <c r="O287" s="1"/>
      <c r="P287"/>
    </row>
    <row r="288" spans="1:16" x14ac:dyDescent="0.25">
      <c r="A288" s="6">
        <v>41760</v>
      </c>
      <c r="B288" s="5">
        <v>1786</v>
      </c>
      <c r="C288" s="7" t="s">
        <v>21</v>
      </c>
      <c r="O288" s="1"/>
      <c r="P288"/>
    </row>
    <row r="289" spans="1:16" x14ac:dyDescent="0.25">
      <c r="A289" s="6">
        <v>41760</v>
      </c>
      <c r="B289" s="5">
        <v>46338</v>
      </c>
      <c r="C289" s="7" t="s">
        <v>13</v>
      </c>
      <c r="O289" s="1"/>
      <c r="P289"/>
    </row>
    <row r="290" spans="1:16" x14ac:dyDescent="0.25">
      <c r="A290" s="6">
        <v>41760</v>
      </c>
      <c r="B290" s="5">
        <v>9807</v>
      </c>
      <c r="C290" s="7" t="s">
        <v>22</v>
      </c>
      <c r="O290" s="1"/>
      <c r="P290"/>
    </row>
    <row r="291" spans="1:16" x14ac:dyDescent="0.25">
      <c r="A291" s="6">
        <v>41791</v>
      </c>
      <c r="B291" s="5">
        <v>49506</v>
      </c>
      <c r="C291" s="7" t="s">
        <v>13</v>
      </c>
      <c r="O291" s="1"/>
      <c r="P291"/>
    </row>
    <row r="292" spans="1:16" x14ac:dyDescent="0.25">
      <c r="A292" s="6">
        <v>41791</v>
      </c>
      <c r="B292" s="5">
        <v>1628</v>
      </c>
      <c r="C292" s="7" t="s">
        <v>21</v>
      </c>
      <c r="O292" s="1"/>
      <c r="P292"/>
    </row>
    <row r="293" spans="1:16" x14ac:dyDescent="0.25">
      <c r="A293" s="6">
        <v>41791</v>
      </c>
      <c r="B293" s="5">
        <v>3248</v>
      </c>
      <c r="C293" s="7" t="s">
        <v>20</v>
      </c>
      <c r="O293" s="1"/>
      <c r="P293"/>
    </row>
    <row r="294" spans="1:16" x14ac:dyDescent="0.25">
      <c r="A294" s="6">
        <v>41791</v>
      </c>
      <c r="B294" s="5">
        <v>9606</v>
      </c>
      <c r="C294" s="7" t="s">
        <v>22</v>
      </c>
      <c r="O294" s="1"/>
      <c r="P294"/>
    </row>
    <row r="295" spans="1:16" x14ac:dyDescent="0.25">
      <c r="A295" s="6">
        <v>41821</v>
      </c>
      <c r="B295" s="5">
        <v>55296</v>
      </c>
      <c r="C295" s="7" t="s">
        <v>13</v>
      </c>
      <c r="O295" s="1"/>
      <c r="P295"/>
    </row>
    <row r="296" spans="1:16" x14ac:dyDescent="0.25">
      <c r="A296" s="6">
        <v>41821</v>
      </c>
      <c r="B296" s="5">
        <v>1621</v>
      </c>
      <c r="C296" s="7" t="s">
        <v>21</v>
      </c>
      <c r="O296" s="1"/>
      <c r="P296"/>
    </row>
    <row r="297" spans="1:16" x14ac:dyDescent="0.25">
      <c r="A297" s="6">
        <v>41821</v>
      </c>
      <c r="B297" s="5">
        <v>2784</v>
      </c>
      <c r="C297" s="7" t="s">
        <v>20</v>
      </c>
      <c r="O297" s="1"/>
      <c r="P297"/>
    </row>
    <row r="298" spans="1:16" x14ac:dyDescent="0.25">
      <c r="A298" s="6">
        <v>41821</v>
      </c>
      <c r="B298" s="5">
        <v>8919</v>
      </c>
      <c r="C298" s="7" t="s">
        <v>22</v>
      </c>
      <c r="O298" s="1"/>
      <c r="P298"/>
    </row>
    <row r="299" spans="1:16" x14ac:dyDescent="0.25">
      <c r="A299" s="6">
        <v>41852</v>
      </c>
      <c r="B299" s="5">
        <v>65987</v>
      </c>
      <c r="C299" s="7" t="s">
        <v>13</v>
      </c>
      <c r="O299" s="1"/>
      <c r="P299"/>
    </row>
    <row r="300" spans="1:16" x14ac:dyDescent="0.25">
      <c r="A300" s="6">
        <v>41852</v>
      </c>
      <c r="B300" s="5">
        <v>2345</v>
      </c>
      <c r="C300" s="7" t="s">
        <v>21</v>
      </c>
      <c r="O300" s="1"/>
      <c r="P300"/>
    </row>
    <row r="301" spans="1:16" x14ac:dyDescent="0.25">
      <c r="A301" s="6">
        <v>41852</v>
      </c>
      <c r="B301" s="5">
        <v>2417</v>
      </c>
      <c r="C301" s="7" t="s">
        <v>20</v>
      </c>
      <c r="O301" s="1"/>
      <c r="P301"/>
    </row>
    <row r="302" spans="1:16" x14ac:dyDescent="0.25">
      <c r="A302" s="6">
        <v>41852</v>
      </c>
      <c r="B302" s="5">
        <v>11115</v>
      </c>
      <c r="C302" s="7" t="s">
        <v>22</v>
      </c>
      <c r="O302" s="1"/>
      <c r="P302"/>
    </row>
    <row r="303" spans="1:16" x14ac:dyDescent="0.25">
      <c r="A303" s="6">
        <v>41883</v>
      </c>
      <c r="B303" s="5">
        <v>67292</v>
      </c>
      <c r="C303" s="7" t="s">
        <v>13</v>
      </c>
      <c r="O303" s="1"/>
      <c r="P303"/>
    </row>
    <row r="304" spans="1:16" x14ac:dyDescent="0.25">
      <c r="A304" s="6">
        <v>41883</v>
      </c>
      <c r="B304" s="5">
        <v>2324</v>
      </c>
      <c r="C304" s="7" t="s">
        <v>21</v>
      </c>
      <c r="O304" s="1"/>
      <c r="P304"/>
    </row>
    <row r="305" spans="1:16" x14ac:dyDescent="0.25">
      <c r="A305" s="6">
        <v>41883</v>
      </c>
      <c r="B305" s="5">
        <v>2312</v>
      </c>
      <c r="C305" s="7" t="s">
        <v>20</v>
      </c>
      <c r="O305" s="1"/>
      <c r="P305"/>
    </row>
    <row r="306" spans="1:16" x14ac:dyDescent="0.25">
      <c r="A306" s="6">
        <v>41883</v>
      </c>
      <c r="B306" s="5">
        <v>11857</v>
      </c>
      <c r="C306" s="7" t="s">
        <v>22</v>
      </c>
      <c r="O306" s="1"/>
      <c r="P306"/>
    </row>
    <row r="307" spans="1:16" x14ac:dyDescent="0.25">
      <c r="A307" s="6">
        <v>41913</v>
      </c>
      <c r="B307" s="5">
        <v>63700</v>
      </c>
      <c r="C307" s="7" t="s">
        <v>13</v>
      </c>
      <c r="O307" s="1"/>
      <c r="P307"/>
    </row>
    <row r="308" spans="1:16" x14ac:dyDescent="0.25">
      <c r="A308" s="6">
        <v>41913</v>
      </c>
      <c r="B308" s="5">
        <v>2516</v>
      </c>
      <c r="C308" s="7" t="s">
        <v>21</v>
      </c>
      <c r="O308" s="1"/>
      <c r="P308"/>
    </row>
    <row r="309" spans="1:16" x14ac:dyDescent="0.25">
      <c r="A309" s="6">
        <v>41913</v>
      </c>
      <c r="B309" s="5">
        <v>2380</v>
      </c>
      <c r="C309" s="7" t="s">
        <v>20</v>
      </c>
      <c r="O309" s="1"/>
      <c r="P309"/>
    </row>
    <row r="310" spans="1:16" x14ac:dyDescent="0.25">
      <c r="A310" s="6">
        <v>41913</v>
      </c>
      <c r="B310" s="5">
        <v>11835</v>
      </c>
      <c r="C310" s="7" t="s">
        <v>22</v>
      </c>
      <c r="O310" s="1"/>
      <c r="P310"/>
    </row>
    <row r="311" spans="1:16" x14ac:dyDescent="0.25">
      <c r="A311" s="6">
        <v>41944</v>
      </c>
      <c r="B311" s="5">
        <v>59685</v>
      </c>
      <c r="C311" s="7" t="s">
        <v>13</v>
      </c>
      <c r="O311" s="1"/>
      <c r="P311"/>
    </row>
    <row r="312" spans="1:16" x14ac:dyDescent="0.25">
      <c r="A312" s="6">
        <v>41944</v>
      </c>
      <c r="B312" s="5">
        <v>2786</v>
      </c>
      <c r="C312" s="7" t="s">
        <v>21</v>
      </c>
      <c r="O312" s="1"/>
      <c r="P312"/>
    </row>
    <row r="313" spans="1:16" x14ac:dyDescent="0.25">
      <c r="A313" s="6">
        <v>41944</v>
      </c>
      <c r="B313" s="5">
        <v>2381</v>
      </c>
      <c r="C313" s="7" t="s">
        <v>20</v>
      </c>
      <c r="O313" s="1"/>
      <c r="P313"/>
    </row>
    <row r="314" spans="1:16" x14ac:dyDescent="0.25">
      <c r="A314" s="6">
        <v>41944</v>
      </c>
      <c r="B314" s="5">
        <v>12558</v>
      </c>
      <c r="C314" s="7" t="s">
        <v>22</v>
      </c>
      <c r="O314" s="1"/>
      <c r="P314"/>
    </row>
    <row r="315" spans="1:16" x14ac:dyDescent="0.25">
      <c r="A315" s="6">
        <v>41974</v>
      </c>
      <c r="B315" s="5">
        <v>54342</v>
      </c>
      <c r="C315" s="7" t="s">
        <v>13</v>
      </c>
      <c r="O315" s="1"/>
      <c r="P315"/>
    </row>
    <row r="316" spans="1:16" x14ac:dyDescent="0.25">
      <c r="A316" s="6">
        <v>41974</v>
      </c>
      <c r="B316" s="5">
        <v>3233</v>
      </c>
      <c r="C316" s="7" t="s">
        <v>21</v>
      </c>
      <c r="O316" s="1"/>
      <c r="P316"/>
    </row>
    <row r="317" spans="1:16" x14ac:dyDescent="0.25">
      <c r="A317" s="6">
        <v>41974</v>
      </c>
      <c r="B317" s="5">
        <v>2277</v>
      </c>
      <c r="C317" s="7" t="s">
        <v>20</v>
      </c>
      <c r="O317" s="1"/>
      <c r="P317"/>
    </row>
    <row r="318" spans="1:16" x14ac:dyDescent="0.25">
      <c r="A318" s="6">
        <v>41974</v>
      </c>
      <c r="B318" s="5">
        <v>12658</v>
      </c>
      <c r="C318" s="7" t="s">
        <v>22</v>
      </c>
      <c r="O318" s="1"/>
      <c r="P318"/>
    </row>
    <row r="319" spans="1:16" x14ac:dyDescent="0.25">
      <c r="A319" s="6">
        <v>42005</v>
      </c>
      <c r="B319" s="5">
        <v>47250</v>
      </c>
      <c r="C319" s="7" t="s">
        <v>13</v>
      </c>
      <c r="O319" s="1"/>
      <c r="P319"/>
    </row>
    <row r="320" spans="1:16" x14ac:dyDescent="0.25">
      <c r="A320" s="6">
        <v>42005</v>
      </c>
      <c r="B320" s="5">
        <v>4156</v>
      </c>
      <c r="C320" s="7" t="s">
        <v>21</v>
      </c>
      <c r="O320" s="1"/>
      <c r="P320"/>
    </row>
    <row r="321" spans="1:16" x14ac:dyDescent="0.25">
      <c r="A321" s="6">
        <v>42005</v>
      </c>
      <c r="B321" s="5">
        <v>1975</v>
      </c>
      <c r="C321" s="7" t="s">
        <v>20</v>
      </c>
      <c r="O321" s="1"/>
      <c r="P321"/>
    </row>
    <row r="322" spans="1:16" x14ac:dyDescent="0.25">
      <c r="A322" s="6">
        <v>42005</v>
      </c>
      <c r="B322" s="5">
        <v>15345</v>
      </c>
      <c r="C322" s="7" t="s">
        <v>22</v>
      </c>
      <c r="O322" s="1"/>
      <c r="P322"/>
    </row>
    <row r="323" spans="1:16" x14ac:dyDescent="0.25">
      <c r="A323" s="6">
        <v>42036</v>
      </c>
      <c r="B323" s="5">
        <v>50078</v>
      </c>
      <c r="C323" s="7" t="s">
        <v>13</v>
      </c>
      <c r="O323" s="1"/>
      <c r="P323"/>
    </row>
    <row r="324" spans="1:16" x14ac:dyDescent="0.25">
      <c r="A324" s="6">
        <v>42036</v>
      </c>
      <c r="B324" s="5">
        <v>3406</v>
      </c>
      <c r="C324" s="7" t="s">
        <v>21</v>
      </c>
      <c r="O324" s="1"/>
      <c r="P324"/>
    </row>
    <row r="325" spans="1:16" x14ac:dyDescent="0.25">
      <c r="A325" s="6">
        <v>42036</v>
      </c>
      <c r="B325" s="5">
        <v>2128</v>
      </c>
      <c r="C325" s="7" t="s">
        <v>20</v>
      </c>
      <c r="O325" s="1"/>
      <c r="P325"/>
    </row>
    <row r="326" spans="1:16" x14ac:dyDescent="0.25">
      <c r="A326" s="6">
        <v>42036</v>
      </c>
      <c r="B326" s="5">
        <v>15404</v>
      </c>
      <c r="C326" s="7" t="s">
        <v>22</v>
      </c>
      <c r="O326" s="1"/>
      <c r="P326"/>
    </row>
    <row r="327" spans="1:16" x14ac:dyDescent="0.25">
      <c r="A327" s="6">
        <v>42064</v>
      </c>
      <c r="B327" s="5">
        <v>39431</v>
      </c>
      <c r="C327" s="7" t="s">
        <v>13</v>
      </c>
      <c r="O327" s="1"/>
      <c r="P327"/>
    </row>
    <row r="328" spans="1:16" x14ac:dyDescent="0.25">
      <c r="A328" s="6">
        <v>42064</v>
      </c>
      <c r="B328" s="5">
        <v>4673</v>
      </c>
      <c r="C328" s="7" t="s">
        <v>21</v>
      </c>
      <c r="O328" s="1"/>
      <c r="P328"/>
    </row>
    <row r="329" spans="1:16" x14ac:dyDescent="0.25">
      <c r="A329" s="6">
        <v>42064</v>
      </c>
      <c r="B329" s="5">
        <v>1852</v>
      </c>
      <c r="C329" s="7" t="s">
        <v>20</v>
      </c>
      <c r="O329" s="1"/>
      <c r="P329"/>
    </row>
    <row r="330" spans="1:16" x14ac:dyDescent="0.25">
      <c r="A330" s="6">
        <v>42064</v>
      </c>
      <c r="B330" s="5">
        <v>17606</v>
      </c>
      <c r="C330" s="7" t="s">
        <v>22</v>
      </c>
      <c r="O330" s="1"/>
      <c r="P330"/>
    </row>
    <row r="331" spans="1:16" x14ac:dyDescent="0.25">
      <c r="A331" s="6">
        <v>42095</v>
      </c>
      <c r="B331" s="5">
        <v>45767</v>
      </c>
      <c r="C331" s="7" t="s">
        <v>13</v>
      </c>
    </row>
    <row r="332" spans="1:16" x14ac:dyDescent="0.25">
      <c r="A332" s="6">
        <v>42095</v>
      </c>
      <c r="B332" s="5">
        <v>6584</v>
      </c>
      <c r="C332" s="7" t="s">
        <v>21</v>
      </c>
    </row>
    <row r="333" spans="1:16" x14ac:dyDescent="0.25">
      <c r="A333" s="6">
        <v>42095</v>
      </c>
      <c r="B333" s="5">
        <v>1910</v>
      </c>
      <c r="C333" s="7" t="s">
        <v>20</v>
      </c>
    </row>
    <row r="334" spans="1:16" x14ac:dyDescent="0.25">
      <c r="A334" s="6">
        <v>42095</v>
      </c>
      <c r="B334" s="5">
        <v>26522</v>
      </c>
      <c r="C334" s="7" t="s">
        <v>22</v>
      </c>
    </row>
    <row r="335" spans="1:16" x14ac:dyDescent="0.25">
      <c r="A335" s="6">
        <v>42125</v>
      </c>
      <c r="B335" s="5">
        <v>63289</v>
      </c>
      <c r="C335" s="7" t="s">
        <v>13</v>
      </c>
    </row>
    <row r="336" spans="1:16" x14ac:dyDescent="0.25">
      <c r="A336" s="6">
        <v>42125</v>
      </c>
      <c r="B336" s="5">
        <v>7985</v>
      </c>
      <c r="C336" s="7" t="s">
        <v>21</v>
      </c>
    </row>
    <row r="337" spans="1:3" x14ac:dyDescent="0.25">
      <c r="A337" s="6">
        <v>42125</v>
      </c>
      <c r="B337" s="5">
        <v>2171</v>
      </c>
      <c r="C337" s="7" t="s">
        <v>20</v>
      </c>
    </row>
    <row r="338" spans="1:3" x14ac:dyDescent="0.25">
      <c r="A338" s="6">
        <v>42125</v>
      </c>
      <c r="B338" s="5">
        <v>29462</v>
      </c>
      <c r="C338" s="7" t="s">
        <v>22</v>
      </c>
    </row>
    <row r="339" spans="1:3" x14ac:dyDescent="0.25">
      <c r="A339" s="6">
        <v>42156</v>
      </c>
      <c r="B339" s="5">
        <v>66830</v>
      </c>
      <c r="C339" s="7" t="s">
        <v>13</v>
      </c>
    </row>
    <row r="340" spans="1:3" x14ac:dyDescent="0.25">
      <c r="A340" s="6">
        <v>42156</v>
      </c>
      <c r="B340" s="5">
        <v>5434</v>
      </c>
      <c r="C340" s="7" t="s">
        <v>21</v>
      </c>
    </row>
    <row r="341" spans="1:3" x14ac:dyDescent="0.25">
      <c r="A341" s="6">
        <v>42156</v>
      </c>
      <c r="B341" s="5">
        <v>2004</v>
      </c>
      <c r="C341" s="7" t="s">
        <v>20</v>
      </c>
    </row>
    <row r="342" spans="1:3" x14ac:dyDescent="0.25">
      <c r="A342" s="6">
        <v>42156</v>
      </c>
      <c r="B342" s="5">
        <v>23102</v>
      </c>
      <c r="C342" s="7" t="s">
        <v>22</v>
      </c>
    </row>
    <row r="343" spans="1:3" x14ac:dyDescent="0.25">
      <c r="A343" s="6">
        <v>42186</v>
      </c>
      <c r="B343" s="5">
        <v>70156</v>
      </c>
      <c r="C343" s="7" t="s">
        <v>13</v>
      </c>
    </row>
    <row r="344" spans="1:3" x14ac:dyDescent="0.25">
      <c r="A344" s="6">
        <v>42186</v>
      </c>
      <c r="B344" s="5">
        <v>4615</v>
      </c>
      <c r="C344" s="7" t="s">
        <v>21</v>
      </c>
    </row>
    <row r="345" spans="1:3" x14ac:dyDescent="0.25">
      <c r="A345" s="6">
        <v>42186</v>
      </c>
      <c r="B345" s="5">
        <v>1721</v>
      </c>
      <c r="C345" s="7" t="s">
        <v>20</v>
      </c>
    </row>
    <row r="346" spans="1:3" x14ac:dyDescent="0.25">
      <c r="A346" s="6">
        <v>42186</v>
      </c>
      <c r="B346" s="5">
        <v>19905</v>
      </c>
      <c r="C346" s="7" t="s">
        <v>22</v>
      </c>
    </row>
    <row r="347" spans="1:3" x14ac:dyDescent="0.25">
      <c r="A347" s="6">
        <v>42217</v>
      </c>
      <c r="B347" s="5">
        <v>73092</v>
      </c>
      <c r="C347" s="7" t="s">
        <v>13</v>
      </c>
    </row>
    <row r="348" spans="1:3" x14ac:dyDescent="0.25">
      <c r="A348" s="6">
        <v>42217</v>
      </c>
      <c r="B348" s="5">
        <v>15934</v>
      </c>
      <c r="C348" s="7" t="s">
        <v>22</v>
      </c>
    </row>
    <row r="349" spans="1:3" x14ac:dyDescent="0.25">
      <c r="A349" s="6">
        <v>42217</v>
      </c>
      <c r="B349" s="5">
        <v>3830</v>
      </c>
      <c r="C349" s="7" t="s">
        <v>21</v>
      </c>
    </row>
    <row r="350" spans="1:3" x14ac:dyDescent="0.25">
      <c r="A350" s="6">
        <v>42217</v>
      </c>
      <c r="B350" s="5">
        <v>1641</v>
      </c>
      <c r="C350" s="7" t="s">
        <v>20</v>
      </c>
    </row>
    <row r="351" spans="1:3" x14ac:dyDescent="0.25">
      <c r="A351" s="6">
        <v>42248</v>
      </c>
      <c r="B351" s="5">
        <v>2800</v>
      </c>
      <c r="C351" s="7" t="s">
        <v>21</v>
      </c>
    </row>
    <row r="352" spans="1:3" x14ac:dyDescent="0.25">
      <c r="A352" s="6">
        <v>42248</v>
      </c>
      <c r="B352" s="5">
        <v>71669</v>
      </c>
      <c r="C352" s="7" t="s">
        <v>13</v>
      </c>
    </row>
    <row r="353" spans="1:3" x14ac:dyDescent="0.25">
      <c r="A353" s="6">
        <v>42248</v>
      </c>
      <c r="B353" s="5">
        <v>12911</v>
      </c>
      <c r="C353" s="7" t="s">
        <v>22</v>
      </c>
    </row>
    <row r="354" spans="1:3" x14ac:dyDescent="0.25">
      <c r="A354" s="6">
        <v>42248</v>
      </c>
      <c r="B354" s="5">
        <v>1471</v>
      </c>
      <c r="C354" s="7" t="s">
        <v>20</v>
      </c>
    </row>
    <row r="355" spans="1:3" x14ac:dyDescent="0.25">
      <c r="A355" s="6">
        <v>42278</v>
      </c>
      <c r="B355" s="5">
        <v>12057</v>
      </c>
      <c r="C355" s="7" t="s">
        <v>22</v>
      </c>
    </row>
    <row r="356" spans="1:3" x14ac:dyDescent="0.25">
      <c r="A356" s="6">
        <v>42278</v>
      </c>
      <c r="B356" s="5">
        <v>1498</v>
      </c>
      <c r="C356" s="7" t="s">
        <v>20</v>
      </c>
    </row>
    <row r="357" spans="1:3" x14ac:dyDescent="0.25">
      <c r="A357" s="6">
        <v>42278</v>
      </c>
      <c r="B357" s="5">
        <v>2992</v>
      </c>
      <c r="C357" s="7" t="s">
        <v>21</v>
      </c>
    </row>
    <row r="358" spans="1:3" x14ac:dyDescent="0.25">
      <c r="A358" s="6">
        <v>42278</v>
      </c>
      <c r="B358" s="5">
        <v>69113</v>
      </c>
      <c r="C358" s="7" t="s">
        <v>13</v>
      </c>
    </row>
    <row r="359" spans="1:3" x14ac:dyDescent="0.25">
      <c r="A359" s="6">
        <v>42309</v>
      </c>
      <c r="B359" s="5">
        <v>65422</v>
      </c>
      <c r="C359" s="7" t="s">
        <v>13</v>
      </c>
    </row>
    <row r="360" spans="1:3" x14ac:dyDescent="0.25">
      <c r="A360" s="6">
        <v>42309</v>
      </c>
      <c r="B360" s="5">
        <v>3210</v>
      </c>
      <c r="C360" s="7" t="s">
        <v>21</v>
      </c>
    </row>
    <row r="361" spans="1:3" x14ac:dyDescent="0.25">
      <c r="A361" s="6">
        <v>42309</v>
      </c>
      <c r="B361" s="5">
        <v>1459</v>
      </c>
      <c r="C361" s="7" t="s">
        <v>20</v>
      </c>
    </row>
    <row r="362" spans="1:3" x14ac:dyDescent="0.25">
      <c r="A362" s="6">
        <v>42309</v>
      </c>
      <c r="B362" s="5">
        <v>12982</v>
      </c>
      <c r="C362" s="7" t="s">
        <v>22</v>
      </c>
    </row>
    <row r="363" spans="1:3" x14ac:dyDescent="0.25">
      <c r="A363" s="6">
        <v>42339</v>
      </c>
      <c r="B363" s="5">
        <v>62442</v>
      </c>
      <c r="C363" s="7" t="s">
        <v>13</v>
      </c>
    </row>
    <row r="364" spans="1:3" x14ac:dyDescent="0.25">
      <c r="A364" s="6">
        <v>42339</v>
      </c>
      <c r="B364" s="5">
        <v>3706</v>
      </c>
      <c r="C364" s="7" t="s">
        <v>21</v>
      </c>
    </row>
    <row r="365" spans="1:3" x14ac:dyDescent="0.25">
      <c r="A365" s="6">
        <v>42339</v>
      </c>
      <c r="B365" s="5">
        <v>1372</v>
      </c>
      <c r="C365" s="7" t="s">
        <v>20</v>
      </c>
    </row>
    <row r="366" spans="1:3" x14ac:dyDescent="0.25">
      <c r="A366" s="6">
        <v>42339</v>
      </c>
      <c r="B366" s="5">
        <v>13629</v>
      </c>
      <c r="C366" s="7" t="s">
        <v>22</v>
      </c>
    </row>
    <row r="367" spans="1:3" x14ac:dyDescent="0.25">
      <c r="A367" s="6">
        <v>42370</v>
      </c>
      <c r="B367" s="5">
        <v>48675</v>
      </c>
      <c r="C367" s="7" t="s">
        <v>13</v>
      </c>
    </row>
    <row r="368" spans="1:3" x14ac:dyDescent="0.25">
      <c r="A368" s="6">
        <v>42370</v>
      </c>
      <c r="B368" s="5">
        <v>3373</v>
      </c>
      <c r="C368" s="7" t="s">
        <v>21</v>
      </c>
    </row>
    <row r="369" spans="1:3" x14ac:dyDescent="0.25">
      <c r="A369" s="6">
        <v>42370</v>
      </c>
      <c r="B369" s="5">
        <v>1040</v>
      </c>
      <c r="C369" s="7" t="s">
        <v>20</v>
      </c>
    </row>
    <row r="370" spans="1:3" x14ac:dyDescent="0.25">
      <c r="A370" s="6">
        <v>42370</v>
      </c>
      <c r="B370" s="5">
        <v>12087</v>
      </c>
      <c r="C370" s="7" t="s">
        <v>22</v>
      </c>
    </row>
    <row r="371" spans="1:3" x14ac:dyDescent="0.25">
      <c r="A371" s="6">
        <v>42401</v>
      </c>
      <c r="B371" s="5">
        <v>31604</v>
      </c>
      <c r="C371" s="7" t="s">
        <v>13</v>
      </c>
    </row>
    <row r="372" spans="1:3" x14ac:dyDescent="0.25">
      <c r="A372" s="6">
        <v>42401</v>
      </c>
      <c r="B372" s="5">
        <v>1924</v>
      </c>
      <c r="C372" s="7" t="s">
        <v>21</v>
      </c>
    </row>
    <row r="373" spans="1:3" x14ac:dyDescent="0.25">
      <c r="A373" s="6">
        <v>42401</v>
      </c>
      <c r="B373" s="5">
        <v>780</v>
      </c>
      <c r="C373" s="7" t="s">
        <v>20</v>
      </c>
    </row>
    <row r="374" spans="1:3" x14ac:dyDescent="0.25">
      <c r="A374" s="6">
        <v>42401</v>
      </c>
      <c r="B374" s="5">
        <v>7011</v>
      </c>
      <c r="C374" s="7" t="s">
        <v>22</v>
      </c>
    </row>
    <row r="375" spans="1:3" x14ac:dyDescent="0.25">
      <c r="A375" s="6">
        <v>42430</v>
      </c>
      <c r="B375" s="5">
        <v>1561</v>
      </c>
      <c r="C375" s="7" t="s">
        <v>13</v>
      </c>
    </row>
    <row r="376" spans="1:3" x14ac:dyDescent="0.25">
      <c r="A376" s="6">
        <v>42430</v>
      </c>
      <c r="B376" s="5">
        <v>119</v>
      </c>
      <c r="C376" s="7" t="s">
        <v>21</v>
      </c>
    </row>
    <row r="377" spans="1:3" x14ac:dyDescent="0.25">
      <c r="A377" s="6">
        <v>42430</v>
      </c>
      <c r="B377" s="5">
        <v>77</v>
      </c>
      <c r="C377" s="7" t="s">
        <v>20</v>
      </c>
    </row>
    <row r="378" spans="1:3" x14ac:dyDescent="0.25">
      <c r="A378" s="6">
        <v>42430</v>
      </c>
      <c r="B378" s="5">
        <v>473</v>
      </c>
      <c r="C378" s="7" t="s">
        <v>22</v>
      </c>
    </row>
    <row r="379" spans="1:3" x14ac:dyDescent="0.25">
      <c r="A379" s="1"/>
    </row>
  </sheetData>
  <pageMargins left="0.7" right="0.7" top="0.75" bottom="0.75" header="0.3" footer="0.3"/>
  <pageSetup orientation="portrait" horizontalDpi="1200" verticalDpi="12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Algo II</vt:lpstr>
      <vt:lpstr>Enhence Algo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2016-02-01T21:09:09Z</dcterms:created>
  <dcterms:modified xsi:type="dcterms:W3CDTF">2016-02-01T21:44:22Z</dcterms:modified>
</cp:coreProperties>
</file>