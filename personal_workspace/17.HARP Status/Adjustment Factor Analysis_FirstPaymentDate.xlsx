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queryTables/queryTable3.xml" ContentType="application/vnd.openxmlformats-officedocument.spreadsheetml.queryTable+xml"/>
  <Override PartName="/xl/tables/table2.xml" ContentType="application/vnd.openxmlformats-officedocument.spreadsheetml.table+xml"/>
  <Override PartName="/xl/queryTables/queryTable4.xml" ContentType="application/vnd.openxmlformats-officedocument.spreadsheetml.queryTable+xml"/>
  <Override PartName="/xl/charts/chart14.xml" ContentType="application/vnd.openxmlformats-officedocument.drawingml.chart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queryTables/queryTable5.xml" ContentType="application/vnd.openxmlformats-officedocument.spreadsheetml.queryTable+xml"/>
  <Override PartName="/xl/tables/table4.xml" ContentType="application/vnd.openxmlformats-officedocument.spreadsheetml.table+xml"/>
  <Override PartName="/xl/queryTables/queryTable6.xml" ContentType="application/vnd.openxmlformats-officedocument.spreadsheetml.queryTable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queryTables/queryTable7.xml" ContentType="application/vnd.openxmlformats-officedocument.spreadsheetml.queryTable+xml"/>
  <Override PartName="/xl/tables/table6.xml" ContentType="application/vnd.openxmlformats-officedocument.spreadsheetml.table+xml"/>
  <Override PartName="/xl/queryTables/queryTable8.xml" ContentType="application/vnd.openxmlformats-officedocument.spreadsheetml.queryTable+xml"/>
  <Override PartName="/xl/charts/chart17.xml" ContentType="application/vnd.openxmlformats-officedocument.drawingml.chart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34515" windowHeight="18705" firstSheet="4" activeTab="7"/>
  </bookViews>
  <sheets>
    <sheet name="Sheet1" sheetId="1" state="hidden" r:id="rId1"/>
    <sheet name="Sheet2" sheetId="2" state="hidden" r:id="rId2"/>
    <sheet name="Sheet3" sheetId="3" state="hidden" r:id="rId3"/>
    <sheet name="Sheet5" sheetId="5" state="hidden" r:id="rId4"/>
    <sheet name="&gt;80 LTV" sheetId="6" r:id="rId5"/>
    <sheet name="&lt;80 LTV" sheetId="10" r:id="rId6"/>
    <sheet name="no LTV filter" sheetId="9" r:id="rId7"/>
    <sheet name="Sheet6" sheetId="12" r:id="rId8"/>
  </sheets>
  <definedNames>
    <definedName name="Query_from_Agency_13" localSheetId="5" hidden="1">'&lt;80 LTV'!$A$4:$C$333</definedName>
    <definedName name="Query_from_Agency_13" localSheetId="4" hidden="1">'&gt;80 LTV'!$A$4:$C$332</definedName>
    <definedName name="Query_from_Agency_13" localSheetId="6" hidden="1">'no LTV filter'!$A$4:$C$333</definedName>
    <definedName name="Query_from_Agency_14" localSheetId="5" hidden="1">'&lt;80 LTV'!$F$4:$H$274</definedName>
    <definedName name="Query_from_Agency_14" localSheetId="4" hidden="1">'&gt;80 LTV'!$G$4:$I$409</definedName>
    <definedName name="Query_from_Agency_14" localSheetId="6" hidden="1">'no LTV filter'!$F$4:$H$409</definedName>
    <definedName name="temp_1" localSheetId="0">Sheet1!$A$1:$C$384</definedName>
    <definedName name="temp_2" localSheetId="0">Sheet1!$U$1:$W$367</definedName>
    <definedName name="temp_3" localSheetId="0">Sheet1!#REF!</definedName>
  </definedNames>
  <calcPr calcId="145621"/>
  <pivotCaches>
    <pivotCache cacheId="68" r:id="rId9"/>
    <pivotCache cacheId="69" r:id="rId10"/>
    <pivotCache cacheId="70" r:id="rId11"/>
    <pivotCache cacheId="71" r:id="rId12"/>
    <pivotCache cacheId="133" r:id="rId13"/>
    <pivotCache cacheId="137" r:id="rId14"/>
    <pivotCache cacheId="149" r:id="rId15"/>
    <pivotCache cacheId="153" r:id="rId16"/>
    <pivotCache cacheId="157" r:id="rId17"/>
    <pivotCache cacheId="161" r:id="rId18"/>
  </pivotCaches>
</workbook>
</file>

<file path=xl/calcChain.xml><?xml version="1.0" encoding="utf-8"?>
<calcChain xmlns="http://schemas.openxmlformats.org/spreadsheetml/2006/main">
  <c r="AG7" i="10" l="1"/>
  <c r="AG8" i="10"/>
  <c r="AG9" i="10"/>
  <c r="AG10" i="10"/>
  <c r="AG11" i="10"/>
  <c r="AG12" i="10"/>
  <c r="AG13" i="10"/>
  <c r="AG14" i="10"/>
  <c r="AG15" i="10"/>
  <c r="AG16" i="10"/>
  <c r="AG17" i="10"/>
  <c r="AG18" i="10"/>
  <c r="AG19" i="10"/>
  <c r="AG20" i="10"/>
  <c r="AG21" i="10"/>
  <c r="AG22" i="10"/>
  <c r="AG23" i="10"/>
  <c r="AG24" i="10"/>
  <c r="AG25" i="10"/>
  <c r="AG26" i="10"/>
  <c r="AG27" i="10"/>
  <c r="AG28" i="10"/>
  <c r="AG29" i="10"/>
  <c r="AG30" i="10"/>
  <c r="AG31" i="10"/>
  <c r="AG32" i="10"/>
  <c r="AG33" i="10"/>
  <c r="AG34" i="10"/>
  <c r="AG35" i="10"/>
  <c r="AG36" i="10"/>
  <c r="AG37" i="10"/>
  <c r="AG38" i="10"/>
  <c r="AG39" i="10"/>
  <c r="AG40" i="10"/>
  <c r="AG41" i="10"/>
  <c r="AG42" i="10"/>
  <c r="AG43" i="10"/>
  <c r="AG44" i="10"/>
  <c r="AG45" i="10"/>
  <c r="AG46" i="10"/>
  <c r="AG47" i="10"/>
  <c r="AG48" i="10"/>
  <c r="AG49" i="10"/>
  <c r="AG50" i="10"/>
  <c r="AG51" i="10"/>
  <c r="AG52" i="10"/>
  <c r="AG53" i="10"/>
  <c r="AG54" i="10"/>
  <c r="AG55" i="10"/>
  <c r="AG56" i="10"/>
  <c r="AG57" i="10"/>
  <c r="AG58" i="10"/>
  <c r="AG59" i="10"/>
  <c r="AG60" i="10"/>
  <c r="AG61" i="10"/>
  <c r="AG62" i="10"/>
  <c r="AG63" i="10"/>
  <c r="AG64" i="10"/>
  <c r="AG65" i="10"/>
  <c r="AG66" i="10"/>
  <c r="AG67" i="10"/>
  <c r="AG68" i="10"/>
  <c r="AG69" i="10"/>
  <c r="AG70" i="10"/>
  <c r="AG71" i="10"/>
  <c r="AG72" i="10"/>
  <c r="AG73" i="10"/>
  <c r="AG74" i="10"/>
  <c r="AG75" i="10"/>
  <c r="AG76" i="10"/>
  <c r="AG77" i="10"/>
  <c r="AG78" i="10"/>
  <c r="AG79" i="10"/>
  <c r="AG80" i="10"/>
  <c r="AG81" i="10"/>
  <c r="AG82" i="10"/>
  <c r="AG83" i="10"/>
  <c r="AG84" i="10"/>
  <c r="AG85" i="10"/>
  <c r="AG86" i="10"/>
  <c r="AG6" i="10"/>
  <c r="AF7" i="10"/>
  <c r="AK7" i="9" s="1"/>
  <c r="AF8" i="10"/>
  <c r="AK8" i="9" s="1"/>
  <c r="AF9" i="10"/>
  <c r="AK9" i="9" s="1"/>
  <c r="AF10" i="10"/>
  <c r="AK10" i="9" s="1"/>
  <c r="AF11" i="10"/>
  <c r="AK11" i="9" s="1"/>
  <c r="AF12" i="10"/>
  <c r="AK12" i="9" s="1"/>
  <c r="AF13" i="10"/>
  <c r="AK13" i="9" s="1"/>
  <c r="AF14" i="10"/>
  <c r="AK14" i="9" s="1"/>
  <c r="AF15" i="10"/>
  <c r="AK15" i="9" s="1"/>
  <c r="AF16" i="10"/>
  <c r="AK16" i="9" s="1"/>
  <c r="AF17" i="10"/>
  <c r="AK17" i="9" s="1"/>
  <c r="AF18" i="10"/>
  <c r="AK18" i="9" s="1"/>
  <c r="AF19" i="10"/>
  <c r="AK19" i="9" s="1"/>
  <c r="AF20" i="10"/>
  <c r="AK20" i="9" s="1"/>
  <c r="AF21" i="10"/>
  <c r="AK21" i="9" s="1"/>
  <c r="AF22" i="10"/>
  <c r="AK22" i="9" s="1"/>
  <c r="AF23" i="10"/>
  <c r="AK23" i="9" s="1"/>
  <c r="AF24" i="10"/>
  <c r="AK24" i="9" s="1"/>
  <c r="AF25" i="10"/>
  <c r="AK25" i="9" s="1"/>
  <c r="AF26" i="10"/>
  <c r="AK26" i="9" s="1"/>
  <c r="AF27" i="10"/>
  <c r="AK27" i="9" s="1"/>
  <c r="AF28" i="10"/>
  <c r="AK28" i="9" s="1"/>
  <c r="AF29" i="10"/>
  <c r="AK29" i="9" s="1"/>
  <c r="AF30" i="10"/>
  <c r="AK30" i="9" s="1"/>
  <c r="AF31" i="10"/>
  <c r="AK31" i="9" s="1"/>
  <c r="AF32" i="10"/>
  <c r="AK32" i="9" s="1"/>
  <c r="AF33" i="10"/>
  <c r="AK33" i="9" s="1"/>
  <c r="AF34" i="10"/>
  <c r="AK34" i="9" s="1"/>
  <c r="AF35" i="10"/>
  <c r="AK35" i="9" s="1"/>
  <c r="AF36" i="10"/>
  <c r="AK36" i="9" s="1"/>
  <c r="AF37" i="10"/>
  <c r="AK37" i="9" s="1"/>
  <c r="AF38" i="10"/>
  <c r="AK38" i="9" s="1"/>
  <c r="AF39" i="10"/>
  <c r="AK39" i="9" s="1"/>
  <c r="AF40" i="10"/>
  <c r="AK40" i="9" s="1"/>
  <c r="AF41" i="10"/>
  <c r="AK41" i="9" s="1"/>
  <c r="AF42" i="10"/>
  <c r="AK42" i="9" s="1"/>
  <c r="AF43" i="10"/>
  <c r="AK43" i="9" s="1"/>
  <c r="AF44" i="10"/>
  <c r="AK44" i="9" s="1"/>
  <c r="AF45" i="10"/>
  <c r="AK45" i="9" s="1"/>
  <c r="AF46" i="10"/>
  <c r="AK46" i="9" s="1"/>
  <c r="AF47" i="10"/>
  <c r="AK47" i="9" s="1"/>
  <c r="AF48" i="10"/>
  <c r="AK48" i="9" s="1"/>
  <c r="AF49" i="10"/>
  <c r="AK49" i="9" s="1"/>
  <c r="AF50" i="10"/>
  <c r="AK50" i="9" s="1"/>
  <c r="AF51" i="10"/>
  <c r="AK51" i="9" s="1"/>
  <c r="AF52" i="10"/>
  <c r="AK52" i="9" s="1"/>
  <c r="AF53" i="10"/>
  <c r="AK53" i="9" s="1"/>
  <c r="AF54" i="10"/>
  <c r="AK54" i="9" s="1"/>
  <c r="AF55" i="10"/>
  <c r="AK55" i="9" s="1"/>
  <c r="AF56" i="10"/>
  <c r="AK56" i="9" s="1"/>
  <c r="AF57" i="10"/>
  <c r="AK57" i="9" s="1"/>
  <c r="AF58" i="10"/>
  <c r="AK58" i="9" s="1"/>
  <c r="AF59" i="10"/>
  <c r="AK59" i="9" s="1"/>
  <c r="AF60" i="10"/>
  <c r="AK60" i="9" s="1"/>
  <c r="AF61" i="10"/>
  <c r="AK61" i="9" s="1"/>
  <c r="AF62" i="10"/>
  <c r="AK62" i="9" s="1"/>
  <c r="AF63" i="10"/>
  <c r="AK63" i="9" s="1"/>
  <c r="AF64" i="10"/>
  <c r="AK64" i="9" s="1"/>
  <c r="AF65" i="10"/>
  <c r="AK65" i="9" s="1"/>
  <c r="AF66" i="10"/>
  <c r="AK66" i="9" s="1"/>
  <c r="AF67" i="10"/>
  <c r="AK67" i="9" s="1"/>
  <c r="AF68" i="10"/>
  <c r="AK68" i="9" s="1"/>
  <c r="AF69" i="10"/>
  <c r="AK69" i="9" s="1"/>
  <c r="AF70" i="10"/>
  <c r="AK70" i="9" s="1"/>
  <c r="AF71" i="10"/>
  <c r="AK71" i="9" s="1"/>
  <c r="AF72" i="10"/>
  <c r="AK72" i="9" s="1"/>
  <c r="AF73" i="10"/>
  <c r="AK73" i="9" s="1"/>
  <c r="AF74" i="10"/>
  <c r="AK74" i="9" s="1"/>
  <c r="AF75" i="10"/>
  <c r="AK75" i="9" s="1"/>
  <c r="AF76" i="10"/>
  <c r="AK76" i="9" s="1"/>
  <c r="AF77" i="10"/>
  <c r="AK77" i="9" s="1"/>
  <c r="AF78" i="10"/>
  <c r="AK78" i="9" s="1"/>
  <c r="AF79" i="10"/>
  <c r="AK79" i="9" s="1"/>
  <c r="AF80" i="10"/>
  <c r="AK80" i="9" s="1"/>
  <c r="AF81" i="10"/>
  <c r="AK81" i="9" s="1"/>
  <c r="AF82" i="10"/>
  <c r="AK82" i="9" s="1"/>
  <c r="AF83" i="10"/>
  <c r="AK83" i="9" s="1"/>
  <c r="AF84" i="10"/>
  <c r="AK84" i="9" s="1"/>
  <c r="AF85" i="10"/>
  <c r="AK85" i="9" s="1"/>
  <c r="AF86" i="10"/>
  <c r="AK86" i="9" s="1"/>
  <c r="AF6" i="10"/>
  <c r="AK6" i="9" s="1"/>
  <c r="AH7" i="9"/>
  <c r="AH8" i="9"/>
  <c r="AH9" i="9"/>
  <c r="AH10" i="9"/>
  <c r="AH11" i="9"/>
  <c r="AH12" i="9"/>
  <c r="AH13" i="9"/>
  <c r="AH14" i="9"/>
  <c r="AH15" i="9"/>
  <c r="AH16" i="9"/>
  <c r="AH17" i="9"/>
  <c r="AH18" i="9"/>
  <c r="AH19" i="9"/>
  <c r="AH20" i="9"/>
  <c r="AH21" i="9"/>
  <c r="AH22" i="9"/>
  <c r="AH23" i="9"/>
  <c r="AH24" i="9"/>
  <c r="AH25" i="9"/>
  <c r="AH26" i="9"/>
  <c r="AH27" i="9"/>
  <c r="AH28" i="9"/>
  <c r="AH29" i="9"/>
  <c r="AH30" i="9"/>
  <c r="AH31" i="9"/>
  <c r="AH32" i="9"/>
  <c r="AH33" i="9"/>
  <c r="AH34" i="9"/>
  <c r="AH35" i="9"/>
  <c r="AH36" i="9"/>
  <c r="AH37" i="9"/>
  <c r="AH38" i="9"/>
  <c r="AH39" i="9"/>
  <c r="AH40" i="9"/>
  <c r="AH41" i="9"/>
  <c r="AH42" i="9"/>
  <c r="AH43" i="9"/>
  <c r="AH44" i="9"/>
  <c r="AH45" i="9"/>
  <c r="AH46" i="9"/>
  <c r="AH47" i="9"/>
  <c r="AH48" i="9"/>
  <c r="AH49" i="9"/>
  <c r="AH50" i="9"/>
  <c r="AH51" i="9"/>
  <c r="AH52" i="9"/>
  <c r="AH53" i="9"/>
  <c r="AH54" i="9"/>
  <c r="AH55" i="9"/>
  <c r="AH56" i="9"/>
  <c r="AH57" i="9"/>
  <c r="AH58" i="9"/>
  <c r="AH59" i="9"/>
  <c r="AH60" i="9"/>
  <c r="AH61" i="9"/>
  <c r="AH62" i="9"/>
  <c r="AH63" i="9"/>
  <c r="AH64" i="9"/>
  <c r="AH65" i="9"/>
  <c r="AH66" i="9"/>
  <c r="AH67" i="9"/>
  <c r="AH68" i="9"/>
  <c r="AH69" i="9"/>
  <c r="AH70" i="9"/>
  <c r="AH71" i="9"/>
  <c r="AH72" i="9"/>
  <c r="AH73" i="9"/>
  <c r="AH74" i="9"/>
  <c r="AH75" i="9"/>
  <c r="AH76" i="9"/>
  <c r="AH77" i="9"/>
  <c r="AH78" i="9"/>
  <c r="AH79" i="9"/>
  <c r="AH80" i="9"/>
  <c r="AH81" i="9"/>
  <c r="AH82" i="9"/>
  <c r="AH83" i="9"/>
  <c r="AH84" i="9"/>
  <c r="AH85" i="9"/>
  <c r="AH86" i="9"/>
  <c r="AH6" i="9"/>
  <c r="AI6" i="9"/>
  <c r="AF7" i="6"/>
  <c r="AG7" i="6"/>
  <c r="AI7" i="6"/>
  <c r="AJ7" i="9" s="1"/>
  <c r="AJ7" i="6"/>
  <c r="AF8" i="6"/>
  <c r="AG8" i="6"/>
  <c r="AI8" i="6"/>
  <c r="AJ8" i="9" s="1"/>
  <c r="AJ8" i="6"/>
  <c r="AF9" i="6"/>
  <c r="AG9" i="6"/>
  <c r="AI9" i="6"/>
  <c r="AJ9" i="9" s="1"/>
  <c r="AJ9" i="6"/>
  <c r="AF10" i="6"/>
  <c r="AG10" i="6"/>
  <c r="AI10" i="6"/>
  <c r="AJ10" i="9" s="1"/>
  <c r="AJ10" i="6"/>
  <c r="AF11" i="6"/>
  <c r="AG11" i="6"/>
  <c r="AI11" i="6"/>
  <c r="AJ11" i="9" s="1"/>
  <c r="AJ11" i="6"/>
  <c r="AF12" i="6"/>
  <c r="AG12" i="6"/>
  <c r="AI12" i="6"/>
  <c r="AJ12" i="9" s="1"/>
  <c r="AJ12" i="6"/>
  <c r="AF13" i="6"/>
  <c r="AG13" i="6"/>
  <c r="AI13" i="6"/>
  <c r="AJ13" i="9" s="1"/>
  <c r="AJ13" i="6"/>
  <c r="AF14" i="6"/>
  <c r="AG14" i="6"/>
  <c r="AI14" i="6"/>
  <c r="AJ14" i="9" s="1"/>
  <c r="AJ14" i="6"/>
  <c r="AF15" i="6"/>
  <c r="AG15" i="6"/>
  <c r="AI15" i="6"/>
  <c r="AJ15" i="9" s="1"/>
  <c r="AJ15" i="6"/>
  <c r="AF16" i="6"/>
  <c r="AG16" i="6"/>
  <c r="AI16" i="6"/>
  <c r="AJ16" i="9" s="1"/>
  <c r="AJ16" i="6"/>
  <c r="AF17" i="6"/>
  <c r="AG17" i="6"/>
  <c r="AI17" i="6"/>
  <c r="AJ17" i="9" s="1"/>
  <c r="AJ17" i="6"/>
  <c r="AF18" i="6"/>
  <c r="AG18" i="6"/>
  <c r="AI18" i="6"/>
  <c r="AJ18" i="9" s="1"/>
  <c r="AJ18" i="6"/>
  <c r="AF19" i="6"/>
  <c r="AG19" i="6"/>
  <c r="AI19" i="6"/>
  <c r="AJ19" i="9" s="1"/>
  <c r="AJ19" i="6"/>
  <c r="AF20" i="6"/>
  <c r="AG20" i="6"/>
  <c r="AH20" i="6" s="1"/>
  <c r="AI20" i="6"/>
  <c r="AJ20" i="9" s="1"/>
  <c r="AJ20" i="6"/>
  <c r="AF21" i="6"/>
  <c r="AG21" i="6"/>
  <c r="AI21" i="6"/>
  <c r="AJ21" i="9" s="1"/>
  <c r="AJ21" i="6"/>
  <c r="AF22" i="6"/>
  <c r="AG22" i="6"/>
  <c r="AI22" i="6"/>
  <c r="AJ22" i="9" s="1"/>
  <c r="AJ22" i="6"/>
  <c r="AF23" i="6"/>
  <c r="AG23" i="6"/>
  <c r="AI23" i="6"/>
  <c r="AJ23" i="9" s="1"/>
  <c r="AJ23" i="6"/>
  <c r="AF24" i="6"/>
  <c r="AG24" i="6"/>
  <c r="AI24" i="6"/>
  <c r="AJ24" i="9" s="1"/>
  <c r="AJ24" i="6"/>
  <c r="AF25" i="6"/>
  <c r="AG25" i="6"/>
  <c r="AI25" i="6"/>
  <c r="AJ25" i="9" s="1"/>
  <c r="AJ25" i="6"/>
  <c r="AF26" i="6"/>
  <c r="AG26" i="6"/>
  <c r="AI26" i="6"/>
  <c r="AJ26" i="9" s="1"/>
  <c r="AJ26" i="6"/>
  <c r="AF27" i="6"/>
  <c r="AG27" i="6"/>
  <c r="AI27" i="6"/>
  <c r="AJ27" i="9" s="1"/>
  <c r="AJ27" i="6"/>
  <c r="AF28" i="6"/>
  <c r="AG28" i="6"/>
  <c r="AI28" i="6"/>
  <c r="AJ28" i="9" s="1"/>
  <c r="AJ28" i="6"/>
  <c r="AF29" i="6"/>
  <c r="AG29" i="6"/>
  <c r="AI29" i="6"/>
  <c r="AJ29" i="9" s="1"/>
  <c r="AJ29" i="6"/>
  <c r="AF30" i="6"/>
  <c r="AG30" i="6"/>
  <c r="AI30" i="6"/>
  <c r="AJ30" i="9" s="1"/>
  <c r="AJ30" i="6"/>
  <c r="AF31" i="6"/>
  <c r="AG31" i="6"/>
  <c r="AI31" i="6"/>
  <c r="AJ31" i="9" s="1"/>
  <c r="AJ31" i="6"/>
  <c r="AF32" i="6"/>
  <c r="AG32" i="6"/>
  <c r="AI32" i="6"/>
  <c r="AJ32" i="9" s="1"/>
  <c r="AJ32" i="6"/>
  <c r="AF33" i="6"/>
  <c r="AG33" i="6"/>
  <c r="AI33" i="6"/>
  <c r="AJ33" i="9" s="1"/>
  <c r="AJ33" i="6"/>
  <c r="AF34" i="6"/>
  <c r="AG34" i="6"/>
  <c r="AI34" i="6"/>
  <c r="AJ34" i="9" s="1"/>
  <c r="AJ34" i="6"/>
  <c r="AF35" i="6"/>
  <c r="AG35" i="6"/>
  <c r="AI35" i="6"/>
  <c r="AJ35" i="9" s="1"/>
  <c r="AJ35" i="6"/>
  <c r="AF36" i="6"/>
  <c r="AG36" i="6"/>
  <c r="AI36" i="6"/>
  <c r="AJ36" i="9" s="1"/>
  <c r="AJ36" i="6"/>
  <c r="AF37" i="6"/>
  <c r="AG37" i="6"/>
  <c r="AI37" i="6"/>
  <c r="AJ37" i="9" s="1"/>
  <c r="AJ37" i="6"/>
  <c r="AF38" i="6"/>
  <c r="AG38" i="6"/>
  <c r="AI38" i="6"/>
  <c r="AJ38" i="9" s="1"/>
  <c r="AJ38" i="6"/>
  <c r="AF39" i="6"/>
  <c r="AG39" i="6"/>
  <c r="AI39" i="6"/>
  <c r="AJ39" i="9" s="1"/>
  <c r="AJ39" i="6"/>
  <c r="AF40" i="6"/>
  <c r="AG40" i="6"/>
  <c r="AI40" i="6"/>
  <c r="AJ40" i="9" s="1"/>
  <c r="AJ40" i="6"/>
  <c r="AF41" i="6"/>
  <c r="AG41" i="6"/>
  <c r="AI41" i="6"/>
  <c r="AJ41" i="9" s="1"/>
  <c r="AJ41" i="6"/>
  <c r="AF42" i="6"/>
  <c r="AG42" i="6"/>
  <c r="AI42" i="6"/>
  <c r="AJ42" i="9" s="1"/>
  <c r="AJ42" i="6"/>
  <c r="AF43" i="6"/>
  <c r="AG43" i="6"/>
  <c r="AI43" i="6"/>
  <c r="AJ43" i="9" s="1"/>
  <c r="AJ43" i="6"/>
  <c r="AF44" i="6"/>
  <c r="AG44" i="6"/>
  <c r="AI44" i="6"/>
  <c r="AJ44" i="9" s="1"/>
  <c r="AJ44" i="6"/>
  <c r="AF45" i="6"/>
  <c r="AG45" i="6"/>
  <c r="AI45" i="6"/>
  <c r="AJ45" i="9" s="1"/>
  <c r="AJ45" i="6"/>
  <c r="AF46" i="6"/>
  <c r="AG46" i="6"/>
  <c r="AI46" i="6"/>
  <c r="AJ46" i="9" s="1"/>
  <c r="AJ46" i="6"/>
  <c r="AF47" i="6"/>
  <c r="AG47" i="6"/>
  <c r="AI47" i="6"/>
  <c r="AJ47" i="9" s="1"/>
  <c r="AJ47" i="6"/>
  <c r="AF48" i="6"/>
  <c r="AG48" i="6"/>
  <c r="AI48" i="6"/>
  <c r="AJ48" i="9" s="1"/>
  <c r="AJ48" i="6"/>
  <c r="AF49" i="6"/>
  <c r="AG49" i="6"/>
  <c r="AI49" i="6"/>
  <c r="AJ49" i="9" s="1"/>
  <c r="AJ49" i="6"/>
  <c r="AF50" i="6"/>
  <c r="AG50" i="6"/>
  <c r="AI50" i="6"/>
  <c r="AJ50" i="9" s="1"/>
  <c r="AJ50" i="6"/>
  <c r="AF51" i="6"/>
  <c r="AG51" i="6"/>
  <c r="AI51" i="6"/>
  <c r="AJ51" i="9" s="1"/>
  <c r="AJ51" i="6"/>
  <c r="AF52" i="6"/>
  <c r="AG52" i="6"/>
  <c r="AI52" i="6"/>
  <c r="AJ52" i="9" s="1"/>
  <c r="AJ52" i="6"/>
  <c r="AF53" i="6"/>
  <c r="AG53" i="6"/>
  <c r="AI53" i="6"/>
  <c r="AJ53" i="9" s="1"/>
  <c r="AJ53" i="6"/>
  <c r="AF54" i="6"/>
  <c r="AG54" i="6"/>
  <c r="AI54" i="6"/>
  <c r="AJ54" i="9" s="1"/>
  <c r="AJ54" i="6"/>
  <c r="AF55" i="6"/>
  <c r="AG55" i="6"/>
  <c r="AI55" i="6"/>
  <c r="AJ55" i="9" s="1"/>
  <c r="AJ55" i="6"/>
  <c r="AF56" i="6"/>
  <c r="AG56" i="6"/>
  <c r="AI56" i="6"/>
  <c r="AJ56" i="9" s="1"/>
  <c r="AJ56" i="6"/>
  <c r="AF57" i="6"/>
  <c r="AG57" i="6"/>
  <c r="AI57" i="6"/>
  <c r="AJ57" i="9" s="1"/>
  <c r="AJ57" i="6"/>
  <c r="AF58" i="6"/>
  <c r="AG58" i="6"/>
  <c r="AI58" i="6"/>
  <c r="AJ58" i="9" s="1"/>
  <c r="AJ58" i="6"/>
  <c r="AF59" i="6"/>
  <c r="AG59" i="6"/>
  <c r="AI59" i="6"/>
  <c r="AJ59" i="9" s="1"/>
  <c r="AJ59" i="6"/>
  <c r="AF60" i="6"/>
  <c r="AG60" i="6"/>
  <c r="AI60" i="6"/>
  <c r="AJ60" i="9" s="1"/>
  <c r="AJ60" i="6"/>
  <c r="AF61" i="6"/>
  <c r="AG61" i="6"/>
  <c r="AI61" i="6"/>
  <c r="AJ61" i="9" s="1"/>
  <c r="AJ61" i="6"/>
  <c r="AF62" i="6"/>
  <c r="AG62" i="6"/>
  <c r="AI62" i="6"/>
  <c r="AJ62" i="9" s="1"/>
  <c r="AJ62" i="6"/>
  <c r="AF63" i="6"/>
  <c r="AG63" i="6"/>
  <c r="AI63" i="6"/>
  <c r="AJ63" i="9" s="1"/>
  <c r="AJ63" i="6"/>
  <c r="AF64" i="6"/>
  <c r="AG64" i="6"/>
  <c r="AI64" i="6"/>
  <c r="AJ64" i="9" s="1"/>
  <c r="AJ64" i="6"/>
  <c r="AF65" i="6"/>
  <c r="AG65" i="6"/>
  <c r="AI65" i="6"/>
  <c r="AJ65" i="9" s="1"/>
  <c r="AJ65" i="6"/>
  <c r="AF66" i="6"/>
  <c r="AG66" i="6"/>
  <c r="AH66" i="6" s="1"/>
  <c r="AI66" i="6"/>
  <c r="AJ66" i="9" s="1"/>
  <c r="AJ66" i="6"/>
  <c r="AF67" i="6"/>
  <c r="AG67" i="6"/>
  <c r="AH67" i="6" s="1"/>
  <c r="AI67" i="6"/>
  <c r="AJ67" i="9" s="1"/>
  <c r="AJ67" i="6"/>
  <c r="AF68" i="6"/>
  <c r="AG68" i="6"/>
  <c r="AI68" i="6"/>
  <c r="AJ68" i="9" s="1"/>
  <c r="AJ68" i="6"/>
  <c r="AF69" i="6"/>
  <c r="AG69" i="6"/>
  <c r="AI69" i="6"/>
  <c r="AJ69" i="9" s="1"/>
  <c r="AJ69" i="6"/>
  <c r="AF70" i="6"/>
  <c r="AG70" i="6"/>
  <c r="AI70" i="6"/>
  <c r="AJ70" i="9" s="1"/>
  <c r="AJ70" i="6"/>
  <c r="AF71" i="6"/>
  <c r="AG71" i="6"/>
  <c r="AI71" i="6"/>
  <c r="AJ71" i="9" s="1"/>
  <c r="AJ71" i="6"/>
  <c r="AF72" i="6"/>
  <c r="AG72" i="6"/>
  <c r="AI72" i="6"/>
  <c r="AJ72" i="9" s="1"/>
  <c r="AJ72" i="6"/>
  <c r="AF73" i="6"/>
  <c r="AG73" i="6"/>
  <c r="AH73" i="6" s="1"/>
  <c r="AI73" i="6"/>
  <c r="AJ73" i="9" s="1"/>
  <c r="AJ73" i="6"/>
  <c r="AF74" i="6"/>
  <c r="AG74" i="6"/>
  <c r="AI74" i="6"/>
  <c r="AJ74" i="9" s="1"/>
  <c r="AJ74" i="6"/>
  <c r="AF75" i="6"/>
  <c r="AG75" i="6"/>
  <c r="AH75" i="6" s="1"/>
  <c r="AI75" i="6"/>
  <c r="AJ75" i="9" s="1"/>
  <c r="AJ75" i="6"/>
  <c r="AF76" i="6"/>
  <c r="AG76" i="6"/>
  <c r="AI76" i="6"/>
  <c r="AJ76" i="9" s="1"/>
  <c r="AJ76" i="6"/>
  <c r="AF77" i="6"/>
  <c r="AG77" i="6"/>
  <c r="AH77" i="6" s="1"/>
  <c r="AI77" i="6"/>
  <c r="AJ77" i="9" s="1"/>
  <c r="AJ77" i="6"/>
  <c r="AF78" i="6"/>
  <c r="AG78" i="6"/>
  <c r="AI78" i="6"/>
  <c r="AJ78" i="9" s="1"/>
  <c r="AJ78" i="6"/>
  <c r="AF79" i="6"/>
  <c r="AG79" i="6"/>
  <c r="AH79" i="6" s="1"/>
  <c r="AI79" i="6"/>
  <c r="AJ79" i="9" s="1"/>
  <c r="AJ79" i="6"/>
  <c r="AF80" i="6"/>
  <c r="AG80" i="6"/>
  <c r="AI80" i="6"/>
  <c r="AJ80" i="9" s="1"/>
  <c r="AJ80" i="6"/>
  <c r="AF81" i="6"/>
  <c r="AG81" i="6"/>
  <c r="AH81" i="6" s="1"/>
  <c r="AI81" i="6"/>
  <c r="AJ81" i="9" s="1"/>
  <c r="AJ81" i="6"/>
  <c r="AF82" i="6"/>
  <c r="AG82" i="6"/>
  <c r="AI82" i="6"/>
  <c r="AJ82" i="9" s="1"/>
  <c r="AJ82" i="6"/>
  <c r="AF83" i="6"/>
  <c r="AG83" i="6"/>
  <c r="AH83" i="6" s="1"/>
  <c r="AI83" i="6"/>
  <c r="AJ83" i="9" s="1"/>
  <c r="AJ83" i="6"/>
  <c r="AF84" i="6"/>
  <c r="AG84" i="6"/>
  <c r="AI84" i="6"/>
  <c r="AJ84" i="9" s="1"/>
  <c r="AJ84" i="6"/>
  <c r="AF85" i="6"/>
  <c r="AG85" i="6"/>
  <c r="AI85" i="6"/>
  <c r="AJ85" i="9" s="1"/>
  <c r="AJ85" i="6"/>
  <c r="AF86" i="6"/>
  <c r="AG86" i="6"/>
  <c r="AI86" i="6"/>
  <c r="AJ86" i="9" s="1"/>
  <c r="AJ86" i="6"/>
  <c r="AJ6" i="6"/>
  <c r="AI6" i="6"/>
  <c r="AJ6" i="9" s="1"/>
  <c r="AG6" i="6"/>
  <c r="AF6" i="6"/>
  <c r="AL51" i="9" l="1"/>
  <c r="AL43" i="9"/>
  <c r="AL19" i="9"/>
  <c r="AL9" i="9"/>
  <c r="AL65" i="9"/>
  <c r="AL27" i="9"/>
  <c r="AL17" i="9"/>
  <c r="AL67" i="9"/>
  <c r="AL57" i="9"/>
  <c r="AL41" i="9"/>
  <c r="AL25" i="9"/>
  <c r="AL21" i="9"/>
  <c r="AL11" i="9"/>
  <c r="AL70" i="9"/>
  <c r="AL68" i="9"/>
  <c r="AL66" i="9"/>
  <c r="AL62" i="9"/>
  <c r="AL60" i="9"/>
  <c r="AL56" i="9"/>
  <c r="AL54" i="9"/>
  <c r="AL52" i="9"/>
  <c r="AL48" i="9"/>
  <c r="AL46" i="9"/>
  <c r="AL44" i="9"/>
  <c r="AL42" i="9"/>
  <c r="AL40" i="9"/>
  <c r="AL38" i="9"/>
  <c r="AL36" i="9"/>
  <c r="AL28" i="9"/>
  <c r="AL22" i="9"/>
  <c r="AL20" i="9"/>
  <c r="AL14" i="9"/>
  <c r="AL12" i="9"/>
  <c r="AL8" i="9"/>
  <c r="AL61" i="9"/>
  <c r="AL45" i="9"/>
  <c r="AL13" i="9"/>
  <c r="AL39" i="9"/>
  <c r="AL63" i="9"/>
  <c r="AL47" i="9"/>
  <c r="AL31" i="9"/>
  <c r="AL15" i="9"/>
  <c r="AL6" i="9"/>
  <c r="AL35" i="9"/>
  <c r="AL58" i="9"/>
  <c r="AL34" i="9"/>
  <c r="AL29" i="9"/>
  <c r="AL18" i="9"/>
  <c r="AL79" i="9"/>
  <c r="AL75" i="9"/>
  <c r="AL59" i="9"/>
  <c r="AL10" i="9"/>
  <c r="AL64" i="9"/>
  <c r="AL23" i="9"/>
  <c r="AL50" i="9"/>
  <c r="AL33" i="9"/>
  <c r="AL86" i="9"/>
  <c r="AL30" i="9"/>
  <c r="AL24" i="9"/>
  <c r="AL74" i="9"/>
  <c r="AL55" i="9"/>
  <c r="AL49" i="9"/>
  <c r="AL32" i="9"/>
  <c r="AL26" i="9"/>
  <c r="AL16" i="9"/>
  <c r="AL7" i="9"/>
  <c r="AH33" i="6"/>
  <c r="AH31" i="6"/>
  <c r="AL85" i="9"/>
  <c r="AL69" i="9"/>
  <c r="AL53" i="9"/>
  <c r="AL37" i="9"/>
  <c r="AL77" i="9"/>
  <c r="AH82" i="6"/>
  <c r="AH72" i="6"/>
  <c r="AH60" i="6"/>
  <c r="AH58" i="6"/>
  <c r="AH56" i="6"/>
  <c r="AH36" i="6"/>
  <c r="AH26" i="6"/>
  <c r="AH24" i="6"/>
  <c r="AH18" i="6"/>
  <c r="AH12" i="6"/>
  <c r="AH8" i="6"/>
  <c r="AH51" i="6"/>
  <c r="AH49" i="6"/>
  <c r="AH47" i="6"/>
  <c r="AH45" i="6"/>
  <c r="AH43" i="6"/>
  <c r="AH41" i="6"/>
  <c r="AH35" i="6"/>
  <c r="AH19" i="6"/>
  <c r="AH52" i="6"/>
  <c r="AH48" i="6"/>
  <c r="AH46" i="6"/>
  <c r="AH65" i="6"/>
  <c r="AH63" i="6"/>
  <c r="AH61" i="6"/>
  <c r="AH59" i="6"/>
  <c r="AH57" i="6"/>
  <c r="AH84" i="6"/>
  <c r="AH80" i="6"/>
  <c r="AH78" i="6"/>
  <c r="AH50" i="6"/>
  <c r="AH40" i="6"/>
  <c r="AH17" i="6"/>
  <c r="AH15" i="6"/>
  <c r="AH13" i="6"/>
  <c r="AH29" i="6"/>
  <c r="AH27" i="6"/>
  <c r="AH6" i="6"/>
  <c r="AH44" i="6"/>
  <c r="AH42" i="6"/>
  <c r="AH25" i="6"/>
  <c r="AH76" i="6"/>
  <c r="AH74" i="6"/>
  <c r="AH11" i="6"/>
  <c r="AH9" i="6"/>
  <c r="AH68" i="6"/>
  <c r="AH34" i="6"/>
  <c r="AH28" i="6"/>
  <c r="AH7" i="6"/>
  <c r="AH16" i="6"/>
  <c r="AH64" i="6"/>
  <c r="AH62" i="6"/>
  <c r="AH32" i="6"/>
  <c r="AH30" i="6"/>
  <c r="AH86" i="6"/>
  <c r="AH70" i="6"/>
  <c r="AH54" i="6"/>
  <c r="AH38" i="6"/>
  <c r="AH22" i="6"/>
  <c r="AH10" i="6"/>
  <c r="AH85" i="6"/>
  <c r="AH71" i="6"/>
  <c r="AH69" i="6"/>
  <c r="AH55" i="6"/>
  <c r="AH53" i="6"/>
  <c r="AH39" i="6"/>
  <c r="AH37" i="6"/>
  <c r="AH23" i="6"/>
  <c r="AH21" i="6"/>
  <c r="AH14" i="6"/>
  <c r="AL71" i="9"/>
  <c r="AL72" i="9"/>
  <c r="AL73" i="9"/>
  <c r="AL76" i="9"/>
  <c r="AL78" i="9"/>
  <c r="AL80" i="9"/>
  <c r="AL81" i="9"/>
  <c r="AL82" i="9"/>
  <c r="AL83" i="9"/>
  <c r="AL84" i="9"/>
  <c r="AH7" i="10"/>
  <c r="AH8" i="10"/>
  <c r="AH9" i="10"/>
  <c r="AH10" i="10"/>
  <c r="AH11" i="10"/>
  <c r="AH12" i="10"/>
  <c r="AH13" i="10"/>
  <c r="AH14" i="10"/>
  <c r="AH15" i="10"/>
  <c r="AH16" i="10"/>
  <c r="AH17" i="10"/>
  <c r="AH18" i="10"/>
  <c r="AH19" i="10"/>
  <c r="AH20" i="10"/>
  <c r="AH21" i="10"/>
  <c r="AH22" i="10"/>
  <c r="AH23" i="10"/>
  <c r="AH24" i="10"/>
  <c r="AH25" i="10"/>
  <c r="AH26" i="10"/>
  <c r="AH27" i="10"/>
  <c r="AH28" i="10"/>
  <c r="AH29" i="10"/>
  <c r="AH30" i="10"/>
  <c r="AH31" i="10"/>
  <c r="AH32" i="10"/>
  <c r="AH33" i="10"/>
  <c r="AH34" i="10"/>
  <c r="AH35" i="10"/>
  <c r="AH36" i="10"/>
  <c r="AH37" i="10"/>
  <c r="AH38" i="10"/>
  <c r="AH39" i="10"/>
  <c r="AH40" i="10"/>
  <c r="AH41" i="10"/>
  <c r="AH42" i="10"/>
  <c r="AH43" i="10"/>
  <c r="AH44" i="10"/>
  <c r="AH45" i="10"/>
  <c r="AH46" i="10"/>
  <c r="AH47" i="10"/>
  <c r="AH48" i="10"/>
  <c r="AH49" i="10"/>
  <c r="AH50" i="10"/>
  <c r="AH51" i="10"/>
  <c r="AH52" i="10"/>
  <c r="AH53" i="10"/>
  <c r="AH54" i="10"/>
  <c r="AH55" i="10"/>
  <c r="AH56" i="10"/>
  <c r="AH57" i="10"/>
  <c r="AH58" i="10"/>
  <c r="AH59" i="10"/>
  <c r="AH60" i="10"/>
  <c r="AH61" i="10"/>
  <c r="AH62" i="10"/>
  <c r="AH63" i="10"/>
  <c r="AH64" i="10"/>
  <c r="AH65" i="10"/>
  <c r="AH66" i="10"/>
  <c r="AH67" i="10"/>
  <c r="AH68" i="10"/>
  <c r="AH69" i="10"/>
  <c r="AH70" i="10"/>
  <c r="AH71" i="10"/>
  <c r="AH72" i="10"/>
  <c r="AH73" i="10"/>
  <c r="AH74" i="10"/>
  <c r="AH75" i="10"/>
  <c r="AH76" i="10"/>
  <c r="AH77" i="10"/>
  <c r="AH78" i="10"/>
  <c r="AH79" i="10"/>
  <c r="AH80" i="10"/>
  <c r="AH81" i="10"/>
  <c r="AH82" i="10"/>
  <c r="AH83" i="10"/>
  <c r="AH84" i="10"/>
  <c r="AH85" i="10"/>
  <c r="AH86" i="10"/>
  <c r="AH6" i="10"/>
  <c r="AE86" i="10"/>
  <c r="AE85" i="10"/>
  <c r="AE84" i="10"/>
  <c r="AE83" i="10"/>
  <c r="AE82" i="10"/>
  <c r="AE81" i="10"/>
  <c r="AE80" i="10"/>
  <c r="AE79" i="10"/>
  <c r="AE78" i="10"/>
  <c r="AE77" i="10"/>
  <c r="AE76" i="10"/>
  <c r="AE75" i="10"/>
  <c r="AE74" i="10"/>
  <c r="AE73" i="10"/>
  <c r="AE72" i="10"/>
  <c r="AE71" i="10"/>
  <c r="AE70" i="10"/>
  <c r="AE69" i="10"/>
  <c r="AE68" i="10"/>
  <c r="AI68" i="10" s="1"/>
  <c r="AE67" i="10"/>
  <c r="AE66" i="10"/>
  <c r="AE65" i="10"/>
  <c r="AI65" i="10" s="1"/>
  <c r="AE64" i="10"/>
  <c r="AE63" i="10"/>
  <c r="AE62" i="10"/>
  <c r="AE61" i="10"/>
  <c r="AE60" i="10"/>
  <c r="AI60" i="10" s="1"/>
  <c r="AE59" i="10"/>
  <c r="AE58" i="10"/>
  <c r="AE57" i="10"/>
  <c r="AI57" i="10" s="1"/>
  <c r="AE56" i="10"/>
  <c r="AE55" i="10"/>
  <c r="AE54" i="10"/>
  <c r="AE53" i="10"/>
  <c r="AE52" i="10"/>
  <c r="AI52" i="10" s="1"/>
  <c r="AE51" i="10"/>
  <c r="AE50" i="10"/>
  <c r="AE49" i="10"/>
  <c r="AI49" i="10" s="1"/>
  <c r="AE48" i="10"/>
  <c r="AE47" i="10"/>
  <c r="AE46" i="10"/>
  <c r="AE45" i="10"/>
  <c r="AE44" i="10"/>
  <c r="AI44" i="10" s="1"/>
  <c r="AE43" i="10"/>
  <c r="AI43" i="10" s="1"/>
  <c r="AE42" i="10"/>
  <c r="AE41" i="10"/>
  <c r="AI41" i="10" s="1"/>
  <c r="AE40" i="10"/>
  <c r="AE39" i="10"/>
  <c r="AE38" i="10"/>
  <c r="AE37" i="10"/>
  <c r="AE36" i="10"/>
  <c r="AI36" i="10" s="1"/>
  <c r="AE35" i="10"/>
  <c r="AE34" i="10"/>
  <c r="AE33" i="10"/>
  <c r="AI33" i="10" s="1"/>
  <c r="AE32" i="10"/>
  <c r="AE31" i="10"/>
  <c r="AE30" i="10"/>
  <c r="AE29" i="10"/>
  <c r="AE28" i="10"/>
  <c r="AI28" i="10" s="1"/>
  <c r="AE27" i="10"/>
  <c r="AI27" i="10" s="1"/>
  <c r="AE26" i="10"/>
  <c r="AE25" i="10"/>
  <c r="AI25" i="10" s="1"/>
  <c r="AE24" i="10"/>
  <c r="AE23" i="10"/>
  <c r="AE22" i="10"/>
  <c r="AE21" i="10"/>
  <c r="AE20" i="10"/>
  <c r="AI20" i="10" s="1"/>
  <c r="AE19" i="10"/>
  <c r="AE18" i="10"/>
  <c r="AE17" i="10"/>
  <c r="AI17" i="10" s="1"/>
  <c r="AE16" i="10"/>
  <c r="AE15" i="10"/>
  <c r="AE14" i="10"/>
  <c r="AE13" i="10"/>
  <c r="AE12" i="10"/>
  <c r="AI12" i="10" s="1"/>
  <c r="AE11" i="10"/>
  <c r="AI11" i="10" s="1"/>
  <c r="AE10" i="10"/>
  <c r="AE9" i="10"/>
  <c r="AI9" i="10" s="1"/>
  <c r="AE8" i="10"/>
  <c r="AE7" i="10"/>
  <c r="AE6" i="10"/>
  <c r="AI86" i="9"/>
  <c r="AF86" i="9"/>
  <c r="AE86" i="9"/>
  <c r="AI85" i="9"/>
  <c r="AF85" i="9"/>
  <c r="AE85" i="9"/>
  <c r="AI84" i="9"/>
  <c r="AF84" i="9"/>
  <c r="AE84" i="9"/>
  <c r="AI83" i="9"/>
  <c r="AF83" i="9"/>
  <c r="AE83" i="9"/>
  <c r="AI82" i="9"/>
  <c r="AF82" i="9"/>
  <c r="AE82" i="9"/>
  <c r="AI81" i="9"/>
  <c r="AF81" i="9"/>
  <c r="AE81" i="9"/>
  <c r="AI80" i="9"/>
  <c r="AF80" i="9"/>
  <c r="AE80" i="9"/>
  <c r="AI79" i="9"/>
  <c r="AF79" i="9"/>
  <c r="AE79" i="9"/>
  <c r="AI78" i="9"/>
  <c r="AF78" i="9"/>
  <c r="AE78" i="9"/>
  <c r="AI77" i="9"/>
  <c r="AF77" i="9"/>
  <c r="AE77" i="9"/>
  <c r="AI76" i="9"/>
  <c r="AF76" i="9"/>
  <c r="AE76" i="9"/>
  <c r="AI75" i="9"/>
  <c r="AF75" i="9"/>
  <c r="AE75" i="9"/>
  <c r="AI74" i="9"/>
  <c r="AF74" i="9"/>
  <c r="AE74" i="9"/>
  <c r="AI73" i="9"/>
  <c r="AF73" i="9"/>
  <c r="AE73" i="9"/>
  <c r="AI72" i="9"/>
  <c r="AF72" i="9"/>
  <c r="AE72" i="9"/>
  <c r="AI71" i="9"/>
  <c r="AF71" i="9"/>
  <c r="AE71" i="9"/>
  <c r="AI70" i="9"/>
  <c r="AF70" i="9"/>
  <c r="AE70" i="9"/>
  <c r="AI69" i="9"/>
  <c r="AF69" i="9"/>
  <c r="AE69" i="9"/>
  <c r="AI68" i="9"/>
  <c r="AF68" i="9"/>
  <c r="AE68" i="9"/>
  <c r="AI67" i="9"/>
  <c r="AF67" i="9"/>
  <c r="AE67" i="9"/>
  <c r="AI66" i="9"/>
  <c r="AF66" i="9"/>
  <c r="AE66" i="9"/>
  <c r="AI65" i="9"/>
  <c r="AF65" i="9"/>
  <c r="AE65" i="9"/>
  <c r="AI64" i="9"/>
  <c r="AF64" i="9"/>
  <c r="AE64" i="9"/>
  <c r="AI63" i="9"/>
  <c r="AF63" i="9"/>
  <c r="AE63" i="9"/>
  <c r="AI62" i="9"/>
  <c r="AF62" i="9"/>
  <c r="AE62" i="9"/>
  <c r="AI61" i="9"/>
  <c r="AF61" i="9"/>
  <c r="AE61" i="9"/>
  <c r="AI60" i="9"/>
  <c r="AF60" i="9"/>
  <c r="AE60" i="9"/>
  <c r="AI59" i="9"/>
  <c r="AF59" i="9"/>
  <c r="AE59" i="9"/>
  <c r="AI58" i="9"/>
  <c r="AF58" i="9"/>
  <c r="AE58" i="9"/>
  <c r="AI57" i="9"/>
  <c r="AF57" i="9"/>
  <c r="AE57" i="9"/>
  <c r="AI56" i="9"/>
  <c r="AF56" i="9"/>
  <c r="AE56" i="9"/>
  <c r="AI55" i="9"/>
  <c r="AF55" i="9"/>
  <c r="AE55" i="9"/>
  <c r="AI54" i="9"/>
  <c r="AF54" i="9"/>
  <c r="AE54" i="9"/>
  <c r="AI53" i="9"/>
  <c r="AF53" i="9"/>
  <c r="AE53" i="9"/>
  <c r="AI52" i="9"/>
  <c r="AF52" i="9"/>
  <c r="AE52" i="9"/>
  <c r="AI51" i="9"/>
  <c r="AF51" i="9"/>
  <c r="AE51" i="9"/>
  <c r="AI50" i="9"/>
  <c r="AF50" i="9"/>
  <c r="AE50" i="9"/>
  <c r="AI49" i="9"/>
  <c r="AF49" i="9"/>
  <c r="AE49" i="9"/>
  <c r="AI48" i="9"/>
  <c r="AF48" i="9"/>
  <c r="AE48" i="9"/>
  <c r="AI47" i="9"/>
  <c r="AF47" i="9"/>
  <c r="AE47" i="9"/>
  <c r="AI46" i="9"/>
  <c r="AF46" i="9"/>
  <c r="AE46" i="9"/>
  <c r="AI45" i="9"/>
  <c r="AF45" i="9"/>
  <c r="AE45" i="9"/>
  <c r="AI44" i="9"/>
  <c r="AF44" i="9"/>
  <c r="AE44" i="9"/>
  <c r="AI43" i="9"/>
  <c r="AF43" i="9"/>
  <c r="AE43" i="9"/>
  <c r="AI42" i="9"/>
  <c r="AF42" i="9"/>
  <c r="AE42" i="9"/>
  <c r="AI41" i="9"/>
  <c r="AF41" i="9"/>
  <c r="AE41" i="9"/>
  <c r="AI40" i="9"/>
  <c r="AF40" i="9"/>
  <c r="AE40" i="9"/>
  <c r="AI39" i="9"/>
  <c r="AF39" i="9"/>
  <c r="AE39" i="9"/>
  <c r="AI38" i="9"/>
  <c r="AF38" i="9"/>
  <c r="AE38" i="9"/>
  <c r="AI37" i="9"/>
  <c r="AF37" i="9"/>
  <c r="AE37" i="9"/>
  <c r="AI36" i="9"/>
  <c r="AF36" i="9"/>
  <c r="AE36" i="9"/>
  <c r="AI35" i="9"/>
  <c r="AF35" i="9"/>
  <c r="AE35" i="9"/>
  <c r="AI34" i="9"/>
  <c r="AF34" i="9"/>
  <c r="AE34" i="9"/>
  <c r="AI33" i="9"/>
  <c r="AF33" i="9"/>
  <c r="AE33" i="9"/>
  <c r="AI32" i="9"/>
  <c r="AF32" i="9"/>
  <c r="AE32" i="9"/>
  <c r="AI31" i="9"/>
  <c r="AF31" i="9"/>
  <c r="AE31" i="9"/>
  <c r="AI30" i="9"/>
  <c r="AF30" i="9"/>
  <c r="AE30" i="9"/>
  <c r="AI29" i="9"/>
  <c r="AF29" i="9"/>
  <c r="AE29" i="9"/>
  <c r="AI28" i="9"/>
  <c r="AF28" i="9"/>
  <c r="AE28" i="9"/>
  <c r="AI27" i="9"/>
  <c r="AF27" i="9"/>
  <c r="AE27" i="9"/>
  <c r="AI26" i="9"/>
  <c r="AF26" i="9"/>
  <c r="AE26" i="9"/>
  <c r="AI25" i="9"/>
  <c r="AF25" i="9"/>
  <c r="AE25" i="9"/>
  <c r="AI24" i="9"/>
  <c r="AF24" i="9"/>
  <c r="AE24" i="9"/>
  <c r="AI23" i="9"/>
  <c r="AF23" i="9"/>
  <c r="AE23" i="9"/>
  <c r="AI22" i="9"/>
  <c r="AF22" i="9"/>
  <c r="AE22" i="9"/>
  <c r="AI21" i="9"/>
  <c r="AF21" i="9"/>
  <c r="AE21" i="9"/>
  <c r="AI20" i="9"/>
  <c r="AF20" i="9"/>
  <c r="AE20" i="9"/>
  <c r="AI19" i="9"/>
  <c r="AF19" i="9"/>
  <c r="AE19" i="9"/>
  <c r="AI18" i="9"/>
  <c r="AF18" i="9"/>
  <c r="AE18" i="9"/>
  <c r="AI17" i="9"/>
  <c r="AF17" i="9"/>
  <c r="AE17" i="9"/>
  <c r="AI16" i="9"/>
  <c r="AF16" i="9"/>
  <c r="AE16" i="9"/>
  <c r="AI15" i="9"/>
  <c r="AF15" i="9"/>
  <c r="AE15" i="9"/>
  <c r="AI14" i="9"/>
  <c r="AF14" i="9"/>
  <c r="AE14" i="9"/>
  <c r="AI13" i="9"/>
  <c r="AF13" i="9"/>
  <c r="AE13" i="9"/>
  <c r="AI12" i="9"/>
  <c r="AF12" i="9"/>
  <c r="AE12" i="9"/>
  <c r="AI11" i="9"/>
  <c r="AF11" i="9"/>
  <c r="AE11" i="9"/>
  <c r="AI10" i="9"/>
  <c r="AF10" i="9"/>
  <c r="AE10" i="9"/>
  <c r="AI9" i="9"/>
  <c r="AF9" i="9"/>
  <c r="AE9" i="9"/>
  <c r="AI8" i="9"/>
  <c r="AF8" i="9"/>
  <c r="AE8" i="9"/>
  <c r="AI7" i="9"/>
  <c r="AF7" i="9"/>
  <c r="AE7" i="9"/>
  <c r="AF6" i="9"/>
  <c r="AE6" i="9"/>
  <c r="AI73" i="10" l="1"/>
  <c r="AI81" i="10"/>
  <c r="AI76" i="10"/>
  <c r="AI84" i="10"/>
  <c r="AI51" i="10"/>
  <c r="AI59" i="10"/>
  <c r="AI75" i="10"/>
  <c r="AI83" i="10"/>
  <c r="AI16" i="10"/>
  <c r="AI48" i="10"/>
  <c r="AI8" i="10"/>
  <c r="AI32" i="10"/>
  <c r="AI64" i="10"/>
  <c r="AI66" i="10"/>
  <c r="AI86" i="10"/>
  <c r="AI77" i="10"/>
  <c r="AG13" i="9"/>
  <c r="AI62" i="10"/>
  <c r="AI38" i="10"/>
  <c r="AI18" i="10"/>
  <c r="AI26" i="10"/>
  <c r="AI34" i="10"/>
  <c r="AI42" i="10"/>
  <c r="AI50" i="10"/>
  <c r="AI74" i="10"/>
  <c r="AI82" i="10"/>
  <c r="AI13" i="10"/>
  <c r="AI54" i="10"/>
  <c r="AI78" i="10"/>
  <c r="AI58" i="10"/>
  <c r="AI10" i="10"/>
  <c r="AI30" i="10"/>
  <c r="AI53" i="10"/>
  <c r="AI70" i="10"/>
  <c r="AI24" i="10"/>
  <c r="AI37" i="10"/>
  <c r="AI72" i="10"/>
  <c r="AI46" i="10"/>
  <c r="AI45" i="10"/>
  <c r="AI80" i="10"/>
  <c r="AI40" i="10"/>
  <c r="AI56" i="10"/>
  <c r="AI69" i="10"/>
  <c r="AI19" i="10"/>
  <c r="AI39" i="10"/>
  <c r="AI71" i="10"/>
  <c r="AI31" i="10"/>
  <c r="AI63" i="10"/>
  <c r="AI7" i="10"/>
  <c r="AI14" i="10"/>
  <c r="AI21" i="10"/>
  <c r="AI47" i="10"/>
  <c r="AI79" i="10"/>
  <c r="AI85" i="10"/>
  <c r="AI15" i="10"/>
  <c r="AI22" i="10"/>
  <c r="AI29" i="10"/>
  <c r="AI35" i="10"/>
  <c r="AI61" i="10"/>
  <c r="AI67" i="10"/>
  <c r="AI23" i="10"/>
  <c r="AI55" i="10"/>
  <c r="AI6" i="10"/>
  <c r="AG27" i="9"/>
  <c r="AG43" i="9"/>
  <c r="AG57" i="9"/>
  <c r="AG25" i="9"/>
  <c r="AG39" i="9"/>
  <c r="AG41" i="9"/>
  <c r="AG47" i="9"/>
  <c r="AG49" i="9"/>
  <c r="AG59" i="9"/>
  <c r="AG12" i="9"/>
  <c r="AG22" i="9"/>
  <c r="AG24" i="9"/>
  <c r="AG26" i="9"/>
  <c r="AG28" i="9"/>
  <c r="AG36" i="9"/>
  <c r="AG44" i="9"/>
  <c r="AG54" i="9"/>
  <c r="AG56" i="9"/>
  <c r="AG58" i="9"/>
  <c r="AG60" i="9"/>
  <c r="AG70" i="9"/>
  <c r="AG72" i="9"/>
  <c r="AG74" i="9"/>
  <c r="AG76" i="9"/>
  <c r="AG84" i="9"/>
  <c r="AG51" i="9"/>
  <c r="AG23" i="9"/>
  <c r="AG55" i="9"/>
  <c r="AG20" i="9"/>
  <c r="AG14" i="9"/>
  <c r="AG16" i="9"/>
  <c r="AG18" i="9"/>
  <c r="AG52" i="9"/>
  <c r="AG68" i="9"/>
  <c r="AG8" i="9"/>
  <c r="AG80" i="9"/>
  <c r="AG86" i="9"/>
  <c r="AG10" i="9"/>
  <c r="AG78" i="9"/>
  <c r="AG29" i="9"/>
  <c r="AG61" i="9"/>
  <c r="AG69" i="9"/>
  <c r="AG6" i="9"/>
  <c r="AG82" i="9"/>
  <c r="AG77" i="9"/>
  <c r="AG30" i="9"/>
  <c r="AG11" i="9"/>
  <c r="AG38" i="9"/>
  <c r="AG71" i="9"/>
  <c r="AG15" i="9"/>
  <c r="AG17" i="9"/>
  <c r="AG19" i="9"/>
  <c r="AG21" i="9"/>
  <c r="AG46" i="9"/>
  <c r="AG48" i="9"/>
  <c r="AG50" i="9"/>
  <c r="AG79" i="9"/>
  <c r="AG81" i="9"/>
  <c r="AG83" i="9"/>
  <c r="AG85" i="9"/>
  <c r="AG32" i="9"/>
  <c r="AG65" i="9"/>
  <c r="AG40" i="9"/>
  <c r="AG31" i="9"/>
  <c r="AG33" i="9"/>
  <c r="AG35" i="9"/>
  <c r="AG37" i="9"/>
  <c r="AG62" i="9"/>
  <c r="AG64" i="9"/>
  <c r="AG66" i="9"/>
  <c r="AG67" i="9"/>
  <c r="AG9" i="9"/>
  <c r="AG42" i="9"/>
  <c r="AG73" i="9"/>
  <c r="AG45" i="9"/>
  <c r="AG34" i="9"/>
  <c r="AG63" i="9"/>
  <c r="AG7" i="9"/>
  <c r="AG75" i="9"/>
  <c r="AG53" i="9"/>
  <c r="T100" i="5" l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2" i="5"/>
  <c r="H73" i="3"/>
  <c r="D73" i="3"/>
  <c r="C73" i="3"/>
  <c r="G73" i="3"/>
  <c r="AD46" i="5"/>
  <c r="AD47" i="5"/>
  <c r="AD48" i="5"/>
  <c r="AC48" i="5"/>
  <c r="S3" i="5" l="1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T45" i="5" s="1"/>
  <c r="R46" i="5"/>
  <c r="T46" i="5" s="1"/>
  <c r="R47" i="5"/>
  <c r="R48" i="5"/>
  <c r="R49" i="5"/>
  <c r="T49" i="5" s="1"/>
  <c r="R50" i="5"/>
  <c r="R51" i="5"/>
  <c r="R52" i="5"/>
  <c r="T52" i="5" s="1"/>
  <c r="R53" i="5"/>
  <c r="T53" i="5" s="1"/>
  <c r="R54" i="5"/>
  <c r="T54" i="5" s="1"/>
  <c r="R55" i="5"/>
  <c r="R56" i="5"/>
  <c r="R57" i="5"/>
  <c r="T57" i="5" s="1"/>
  <c r="R58" i="5"/>
  <c r="R59" i="5"/>
  <c r="R60" i="5"/>
  <c r="T60" i="5" s="1"/>
  <c r="R61" i="5"/>
  <c r="T61" i="5" s="1"/>
  <c r="R62" i="5"/>
  <c r="T62" i="5" s="1"/>
  <c r="R63" i="5"/>
  <c r="R64" i="5"/>
  <c r="R65" i="5"/>
  <c r="T65" i="5" s="1"/>
  <c r="R66" i="5"/>
  <c r="R67" i="5"/>
  <c r="R68" i="5"/>
  <c r="T68" i="5" s="1"/>
  <c r="R69" i="5"/>
  <c r="T69" i="5" s="1"/>
  <c r="R70" i="5"/>
  <c r="T70" i="5" s="1"/>
  <c r="R71" i="5"/>
  <c r="R72" i="5"/>
  <c r="R73" i="5"/>
  <c r="R74" i="5"/>
  <c r="R75" i="5"/>
  <c r="R76" i="5"/>
  <c r="T76" i="5" s="1"/>
  <c r="R77" i="5"/>
  <c r="T77" i="5" s="1"/>
  <c r="R78" i="5"/>
  <c r="T78" i="5" s="1"/>
  <c r="R79" i="5"/>
  <c r="R80" i="5"/>
  <c r="R81" i="5"/>
  <c r="R82" i="5"/>
  <c r="R83" i="5"/>
  <c r="R84" i="5"/>
  <c r="T84" i="5" s="1"/>
  <c r="R85" i="5"/>
  <c r="T85" i="5" s="1"/>
  <c r="R86" i="5"/>
  <c r="T86" i="5" s="1"/>
  <c r="R87" i="5"/>
  <c r="R88" i="5"/>
  <c r="R89" i="5"/>
  <c r="R90" i="5"/>
  <c r="R91" i="5"/>
  <c r="R92" i="5"/>
  <c r="T92" i="5" s="1"/>
  <c r="R93" i="5"/>
  <c r="T93" i="5" s="1"/>
  <c r="R94" i="5"/>
  <c r="T94" i="5" s="1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2" i="5"/>
  <c r="G50" i="3"/>
  <c r="T99" i="5" l="1"/>
  <c r="T91" i="5"/>
  <c r="T83" i="5"/>
  <c r="T75" i="5"/>
  <c r="T67" i="5"/>
  <c r="T51" i="5"/>
  <c r="T59" i="5"/>
  <c r="T98" i="5"/>
  <c r="T90" i="5"/>
  <c r="T82" i="5"/>
  <c r="T74" i="5"/>
  <c r="T66" i="5"/>
  <c r="T58" i="5"/>
  <c r="T50" i="5"/>
  <c r="T97" i="5"/>
  <c r="T89" i="5"/>
  <c r="T81" i="5"/>
  <c r="T73" i="5"/>
  <c r="T96" i="5"/>
  <c r="T88" i="5"/>
  <c r="T80" i="5"/>
  <c r="T72" i="5"/>
  <c r="T64" i="5"/>
  <c r="T56" i="5"/>
  <c r="T48" i="5"/>
  <c r="T95" i="5"/>
  <c r="T87" i="5"/>
  <c r="T79" i="5"/>
  <c r="T71" i="5"/>
  <c r="T63" i="5"/>
  <c r="T55" i="5"/>
  <c r="T47" i="5"/>
  <c r="C61" i="3"/>
  <c r="C50" i="3"/>
  <c r="J2" i="3" l="1"/>
  <c r="F12" i="3" l="1"/>
  <c r="G11" i="3"/>
  <c r="E6" i="3"/>
  <c r="E5" i="3"/>
  <c r="D4" i="3"/>
  <c r="E3" i="3"/>
  <c r="D3" i="3"/>
  <c r="E2" i="3"/>
  <c r="D2" i="3"/>
  <c r="C2" i="3"/>
</calcChain>
</file>

<file path=xl/connections.xml><?xml version="1.0" encoding="utf-8"?>
<connections xmlns="http://schemas.openxmlformats.org/spreadsheetml/2006/main">
  <connection id="1" name="FH80I" type="1" refreshedVersion="4" savePassword="1" saveData="1">
    <dbPr connection="DSN=Agency" command="select (firstPaymtDt - day(firstPaymtDt) + 1) as pmtdate, count(*), MHAStatus _x000d__x000a_from fhl.cello_loan_x000d__x000a_where pmtdate &gt;= '2005-01-01'_x000d__x000a_and marketticker = 'FGLMC'_x000d__x000a_and origLTV &gt;80_x000d__x000a_group by pmtdate, MHAStatus_x000d__x000a_order by pmtdate"/>
  </connection>
  <connection id="2" name="FH80II" type="1" refreshedVersion="4" savePassword="1" saveData="1">
    <dbPr connection="DSN=Agency" command="select (firstPaymtDt - day(firstPaymtDt) + 1) as pmtdate, count(*), HARPStatus _x000d__x000a_from fhl.cello_loan_x000d__x000a_where pmtdate &gt;= '2005-01-01'_x000d__x000a_and marketticker = 'FGLMC'_x000d__x000a_and origLTV &gt;80_x000d__x000a_group by pmtdate, HARPStatus_x000d__x000a_order by pmtdate"/>
  </connection>
  <connection id="3" name="FL80I" type="1" refreshedVersion="4" savePassword="1" saveData="1">
    <dbPr connection="DSN=Agency" command="select (firstPaymtDt - day(firstPaymtDt) + 1) as pmtdate, count(*), MHAStatus _x000d__x000a_from fhl.cello_loan_x000d__x000a_where pmtdate &gt;= '2005-01-01'_x000d__x000a_and origLTV &lt;=80_x000d__x000a_and marketticker = 'FGLMC'_x000d__x000a_group by pmtdate, MHAStatus _x000d__x000a_order by pmtdate"/>
  </connection>
  <connection id="4" name="FL80II" type="1" refreshedVersion="4" savePassword="1" saveData="1">
    <dbPr connection="DSN=Agency" command="select (firstPaymtDt - day(firstPaymtDt) + 1) as pmtdate, count(*), HARPStatus _x000d__x000a_from fhl.cello_loan_x000d__x000a_where pmtdate &gt;= '2005-01-01'_x000d__x000a_and marketticker = 'FGLMC'_x000d__x000a_and origLTV &lt;=80_x000d__x000a_group by pmtdate, HARPStatus_x000d__x000a_order by pmtdate"/>
  </connection>
  <connection id="5" name="FnoLTVI" type="1" refreshedVersion="4" savePassword="1" saveData="1">
    <dbPr connection="DSN=Agency" command="select (firstPaymtDt - day(firstPaymtDt) + 1) as pmtdate, count(*), MHAStatus _x000d__x000a_from fhl.cello_loan_x000d__x000a_where pmtdate &gt;= '2005-01-01'_x000d__x000a_and marketticker = 'FGLMC'_x000d__x000a_group by pmtdate, MHAStatus _x000d__x000a_order by pmtdate"/>
  </connection>
  <connection id="6" name="FnoLTVII" type="1" refreshedVersion="4" savePassword="1" saveData="1">
    <dbPr connection="DSN=Agency" command="select (firstPaymtDt - day(firstPaymtDt) + 1) as pmtdate, count(*), HARPStatus _x000d__x000a_from fhl.cello_loan_x000d__x000a_where pmtdate &gt;= '2005-01-01'_x000d__x000a_--and origLTV &gt;80_x000d__x000a_and marketticker = 'FGLMC'_x000d__x000a_group by pmtdate, HARPStatus_x000d__x000a_order by pmtdate"/>
  </connection>
  <connection id="7" name="temp" type="6" refreshedVersion="4" background="1" saveData="1">
    <textPr codePage="437" sourceFile="C:\Users\lien.chen\Desktop\temp.csv" comma="1" delimiter="-">
      <textFields count="3">
        <textField/>
        <textField/>
        <textField/>
      </textFields>
    </textPr>
  </connection>
  <connection id="8" name="temp1" type="6" refreshedVersion="4" background="1" saveData="1">
    <textPr codePage="437" sourceFile="C:\Users\lien.chen\Desktop\temp.csv" comma="1" delimiter="-">
      <textFields count="3">
        <textField/>
        <textField/>
        <textField/>
      </textFields>
    </textPr>
  </connection>
  <connection id="9" name="temp2" type="6" refreshedVersion="4" background="1">
    <textPr codePage="437" sourceFile="C:\Users\lien.chen\Desktop\temp.csv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<sst xmlns="http://schemas.openxmlformats.org/spreadsheetml/2006/main" count="3761" uniqueCount="48">
  <si>
    <t>count()</t>
  </si>
  <si>
    <t>HARPStatus</t>
  </si>
  <si>
    <t>N/A</t>
  </si>
  <si>
    <t>&lt; 2009-06</t>
  </si>
  <si>
    <t>NON-HARP</t>
  </si>
  <si>
    <t>HARP</t>
  </si>
  <si>
    <t>Unknown</t>
  </si>
  <si>
    <t>Row Labels</t>
  </si>
  <si>
    <t>(blank)</t>
  </si>
  <si>
    <t>Grand Total</t>
  </si>
  <si>
    <t>Column Labels</t>
  </si>
  <si>
    <t>Sum of count()</t>
  </si>
  <si>
    <t>poolIssueDate</t>
  </si>
  <si>
    <t>MHAStatus</t>
  </si>
  <si>
    <t>MHA-ELIGIBLE</t>
  </si>
  <si>
    <t>NOMHA-REFI</t>
  </si>
  <si>
    <t>NOMHA-PURCHASE</t>
  </si>
  <si>
    <t>2016-01-07</t>
  </si>
  <si>
    <t>2016-01-08</t>
  </si>
  <si>
    <t>2016-01-11</t>
  </si>
  <si>
    <t>2016-01-12</t>
  </si>
  <si>
    <t>CombinedHARPStatus</t>
  </si>
  <si>
    <t xml:space="preserve">N/A       </t>
  </si>
  <si>
    <t xml:space="preserve">&lt; 2009-06 </t>
  </si>
  <si>
    <t>NON-HARPed</t>
  </si>
  <si>
    <t xml:space="preserve">HARPed    </t>
  </si>
  <si>
    <t>pmtdate</t>
  </si>
  <si>
    <t>count(1)</t>
  </si>
  <si>
    <t>NOMHA-REFI-CO</t>
  </si>
  <si>
    <t>MISC-VERIFY</t>
  </si>
  <si>
    <t>NOMHA-REFI-NCO</t>
  </si>
  <si>
    <t>All</t>
  </si>
  <si>
    <t>New</t>
  </si>
  <si>
    <t>Old</t>
  </si>
  <si>
    <t>Ratio</t>
  </si>
  <si>
    <t>FNMA</t>
  </si>
  <si>
    <t>Total</t>
  </si>
  <si>
    <t>HARPed</t>
  </si>
  <si>
    <t>loan count ratio (Algo II / Algo I) for loans with LTV &gt; 80</t>
  </si>
  <si>
    <t>HARP-I</t>
  </si>
  <si>
    <t>Total-I</t>
  </si>
  <si>
    <t>HARP-II</t>
  </si>
  <si>
    <t>Total-II</t>
  </si>
  <si>
    <t>Ratio II/I</t>
  </si>
  <si>
    <t>Total Refi-II</t>
  </si>
  <si>
    <t>Ratio HARP/Refi</t>
  </si>
  <si>
    <t>Tot6al-II</t>
  </si>
  <si>
    <t>I-NOMHA-REFI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</si>
</sst>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0"/>
      <color theme="6" tint="-0.2499465926084170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hair">
        <color rgb="FF7F7F7F"/>
      </top>
      <bottom style="hair">
        <color rgb="FF7F7F7F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8">
    <xf numFmtId="0" fontId="0" fillId="0" borderId="0"/>
    <xf numFmtId="43" fontId="1" fillId="0" borderId="0" applyFont="0" applyFill="0" applyBorder="0" applyAlignment="0" applyProtection="0"/>
    <xf numFmtId="0" fontId="3" fillId="2" borderId="0"/>
    <xf numFmtId="0" fontId="4" fillId="3" borderId="0"/>
    <xf numFmtId="0" fontId="2" fillId="3" borderId="1" applyNumberFormat="0"/>
    <xf numFmtId="0" fontId="5" fillId="4" borderId="1" applyNumberFormat="0"/>
    <xf numFmtId="14" fontId="6" fillId="3" borderId="2" applyNumberFormat="0" applyAlignment="0"/>
    <xf numFmtId="0" fontId="7" fillId="5" borderId="3" applyBorder="0">
      <alignment horizontal="center" wrapText="1"/>
    </xf>
    <xf numFmtId="0" fontId="7" fillId="6" borderId="3" applyBorder="0">
      <alignment horizontal="center" wrapText="1"/>
    </xf>
    <xf numFmtId="0" fontId="7" fillId="7" borderId="3" applyBorder="0">
      <alignment horizontal="center" wrapText="1"/>
    </xf>
    <xf numFmtId="1" fontId="9" fillId="3" borderId="2"/>
    <xf numFmtId="0" fontId="8" fillId="3" borderId="4" applyNumberFormat="0" applyAlignment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43" fontId="0" fillId="0" borderId="0" xfId="1" applyFont="1"/>
    <xf numFmtId="43" fontId="0" fillId="0" borderId="0" xfId="0" applyNumberFormat="1"/>
    <xf numFmtId="10" fontId="0" fillId="0" borderId="0" xfId="0" applyNumberFormat="1"/>
    <xf numFmtId="2" fontId="0" fillId="0" borderId="0" xfId="0" applyNumberFormat="1"/>
    <xf numFmtId="14" fontId="11" fillId="0" borderId="0" xfId="0" applyNumberFormat="1" applyFont="1"/>
    <xf numFmtId="0" fontId="11" fillId="0" borderId="0" xfId="0" applyFont="1"/>
    <xf numFmtId="9" fontId="0" fillId="0" borderId="0" xfId="17" applyFont="1"/>
    <xf numFmtId="0" fontId="0" fillId="0" borderId="0" xfId="0" applyAlignment="1">
      <alignment horizontal="center"/>
    </xf>
    <xf numFmtId="0" fontId="0" fillId="0" borderId="0" xfId="0" quotePrefix="1"/>
    <xf numFmtId="165" fontId="0" fillId="0" borderId="0" xfId="1" applyNumberFormat="1" applyFont="1"/>
    <xf numFmtId="165" fontId="0" fillId="0" borderId="0" xfId="1" quotePrefix="1" applyNumberFormat="1" applyFont="1"/>
  </cellXfs>
  <cellStyles count="18">
    <cellStyle name="Cello Calculation" xfId="4"/>
    <cellStyle name="Cello Input" xfId="5"/>
    <cellStyle name="Cello Linked Cell" xfId="6"/>
    <cellStyle name="Comma" xfId="1" builtinId="3"/>
    <cellStyle name="Comma 2" xfId="16"/>
    <cellStyle name="Comma 3" xfId="12"/>
    <cellStyle name="Currency 2" xfId="14"/>
    <cellStyle name="Normal" xfId="0" builtinId="0"/>
    <cellStyle name="Normal 2" xfId="3"/>
    <cellStyle name="Normal 2 7" xfId="2"/>
    <cellStyle name="Normal 3" xfId="15"/>
    <cellStyle name="Percent" xfId="17" builtinId="5"/>
    <cellStyle name="Percent 2" xfId="13"/>
    <cellStyle name="Title Calculations" xfId="7"/>
    <cellStyle name="Title Indicative" xfId="8"/>
    <cellStyle name="Title Pricing Assumptions" xfId="9"/>
    <cellStyle name="YB Calculations" xfId="10"/>
    <cellStyle name="YB Indicative" xfId="11"/>
  </cellStyles>
  <dxfs count="30"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pivotCacheDefinition" Target="pivotCache/pivotCacheDefinition10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pivotCacheDefinition" Target="pivotCache/pivotCacheDefinition9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8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23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Sheet2!$X$1</c:f>
              <c:strCache>
                <c:ptCount val="1"/>
                <c:pt idx="0">
                  <c:v>NOMHA-PURCHASE</c:v>
                </c:pt>
              </c:strCache>
            </c:strRef>
          </c:tx>
          <c:cat>
            <c:numRef>
              <c:f>Sheet2!$W$2:$W$123</c:f>
              <c:numCache>
                <c:formatCode>m/d/yyyy</c:formatCode>
                <c:ptCount val="122"/>
                <c:pt idx="0">
                  <c:v>38687</c:v>
                </c:pt>
                <c:pt idx="1">
                  <c:v>38718</c:v>
                </c:pt>
                <c:pt idx="2">
                  <c:v>38749</c:v>
                </c:pt>
                <c:pt idx="3">
                  <c:v>38777</c:v>
                </c:pt>
                <c:pt idx="4">
                  <c:v>38808</c:v>
                </c:pt>
                <c:pt idx="5">
                  <c:v>38838</c:v>
                </c:pt>
                <c:pt idx="6">
                  <c:v>38869</c:v>
                </c:pt>
                <c:pt idx="7">
                  <c:v>38899</c:v>
                </c:pt>
                <c:pt idx="8">
                  <c:v>38930</c:v>
                </c:pt>
                <c:pt idx="9">
                  <c:v>38961</c:v>
                </c:pt>
                <c:pt idx="10">
                  <c:v>38991</c:v>
                </c:pt>
                <c:pt idx="11">
                  <c:v>39022</c:v>
                </c:pt>
                <c:pt idx="12">
                  <c:v>39052</c:v>
                </c:pt>
                <c:pt idx="13">
                  <c:v>39083</c:v>
                </c:pt>
                <c:pt idx="14">
                  <c:v>39114</c:v>
                </c:pt>
                <c:pt idx="15">
                  <c:v>39142</c:v>
                </c:pt>
                <c:pt idx="16">
                  <c:v>39173</c:v>
                </c:pt>
                <c:pt idx="17">
                  <c:v>39203</c:v>
                </c:pt>
                <c:pt idx="18">
                  <c:v>39234</c:v>
                </c:pt>
                <c:pt idx="19">
                  <c:v>39264</c:v>
                </c:pt>
                <c:pt idx="20">
                  <c:v>39295</c:v>
                </c:pt>
                <c:pt idx="21">
                  <c:v>39326</c:v>
                </c:pt>
                <c:pt idx="22">
                  <c:v>39356</c:v>
                </c:pt>
                <c:pt idx="23">
                  <c:v>39387</c:v>
                </c:pt>
                <c:pt idx="24">
                  <c:v>39417</c:v>
                </c:pt>
                <c:pt idx="25">
                  <c:v>39448</c:v>
                </c:pt>
                <c:pt idx="26">
                  <c:v>39479</c:v>
                </c:pt>
                <c:pt idx="27">
                  <c:v>39508</c:v>
                </c:pt>
                <c:pt idx="28">
                  <c:v>39539</c:v>
                </c:pt>
                <c:pt idx="29">
                  <c:v>39569</c:v>
                </c:pt>
                <c:pt idx="30">
                  <c:v>39600</c:v>
                </c:pt>
                <c:pt idx="31">
                  <c:v>39630</c:v>
                </c:pt>
                <c:pt idx="32">
                  <c:v>39661</c:v>
                </c:pt>
                <c:pt idx="33">
                  <c:v>39692</c:v>
                </c:pt>
                <c:pt idx="34">
                  <c:v>39722</c:v>
                </c:pt>
                <c:pt idx="35">
                  <c:v>39753</c:v>
                </c:pt>
                <c:pt idx="36">
                  <c:v>39783</c:v>
                </c:pt>
                <c:pt idx="37">
                  <c:v>39814</c:v>
                </c:pt>
                <c:pt idx="38">
                  <c:v>39845</c:v>
                </c:pt>
                <c:pt idx="39">
                  <c:v>39873</c:v>
                </c:pt>
                <c:pt idx="40">
                  <c:v>39904</c:v>
                </c:pt>
                <c:pt idx="41">
                  <c:v>39934</c:v>
                </c:pt>
                <c:pt idx="42">
                  <c:v>39965</c:v>
                </c:pt>
                <c:pt idx="43">
                  <c:v>39995</c:v>
                </c:pt>
                <c:pt idx="44">
                  <c:v>40026</c:v>
                </c:pt>
                <c:pt idx="45">
                  <c:v>40057</c:v>
                </c:pt>
                <c:pt idx="46">
                  <c:v>40087</c:v>
                </c:pt>
                <c:pt idx="47">
                  <c:v>40118</c:v>
                </c:pt>
                <c:pt idx="48">
                  <c:v>40148</c:v>
                </c:pt>
                <c:pt idx="49">
                  <c:v>40179</c:v>
                </c:pt>
                <c:pt idx="50">
                  <c:v>40210</c:v>
                </c:pt>
                <c:pt idx="51">
                  <c:v>40238</c:v>
                </c:pt>
                <c:pt idx="52">
                  <c:v>40269</c:v>
                </c:pt>
                <c:pt idx="53">
                  <c:v>40299</c:v>
                </c:pt>
                <c:pt idx="54">
                  <c:v>40330</c:v>
                </c:pt>
                <c:pt idx="55">
                  <c:v>40360</c:v>
                </c:pt>
                <c:pt idx="56">
                  <c:v>40391</c:v>
                </c:pt>
                <c:pt idx="57">
                  <c:v>40422</c:v>
                </c:pt>
                <c:pt idx="58">
                  <c:v>40452</c:v>
                </c:pt>
                <c:pt idx="59">
                  <c:v>40483</c:v>
                </c:pt>
                <c:pt idx="60">
                  <c:v>40513</c:v>
                </c:pt>
                <c:pt idx="61">
                  <c:v>40544</c:v>
                </c:pt>
                <c:pt idx="62">
                  <c:v>40575</c:v>
                </c:pt>
                <c:pt idx="63">
                  <c:v>40603</c:v>
                </c:pt>
                <c:pt idx="64">
                  <c:v>40634</c:v>
                </c:pt>
                <c:pt idx="65">
                  <c:v>40664</c:v>
                </c:pt>
                <c:pt idx="66">
                  <c:v>40695</c:v>
                </c:pt>
                <c:pt idx="67">
                  <c:v>40725</c:v>
                </c:pt>
                <c:pt idx="68">
                  <c:v>40756</c:v>
                </c:pt>
                <c:pt idx="69">
                  <c:v>40787</c:v>
                </c:pt>
                <c:pt idx="70">
                  <c:v>40817</c:v>
                </c:pt>
                <c:pt idx="71">
                  <c:v>40848</c:v>
                </c:pt>
                <c:pt idx="72">
                  <c:v>40878</c:v>
                </c:pt>
                <c:pt idx="73">
                  <c:v>40909</c:v>
                </c:pt>
                <c:pt idx="74">
                  <c:v>40940</c:v>
                </c:pt>
                <c:pt idx="75">
                  <c:v>40969</c:v>
                </c:pt>
                <c:pt idx="76">
                  <c:v>41000</c:v>
                </c:pt>
                <c:pt idx="77">
                  <c:v>41030</c:v>
                </c:pt>
                <c:pt idx="78">
                  <c:v>41061</c:v>
                </c:pt>
                <c:pt idx="79">
                  <c:v>41091</c:v>
                </c:pt>
                <c:pt idx="80">
                  <c:v>41122</c:v>
                </c:pt>
                <c:pt idx="81">
                  <c:v>41153</c:v>
                </c:pt>
                <c:pt idx="82">
                  <c:v>41183</c:v>
                </c:pt>
                <c:pt idx="83">
                  <c:v>41214</c:v>
                </c:pt>
                <c:pt idx="84">
                  <c:v>41244</c:v>
                </c:pt>
                <c:pt idx="85">
                  <c:v>41275</c:v>
                </c:pt>
                <c:pt idx="86">
                  <c:v>41306</c:v>
                </c:pt>
                <c:pt idx="87">
                  <c:v>41334</c:v>
                </c:pt>
                <c:pt idx="88">
                  <c:v>41365</c:v>
                </c:pt>
                <c:pt idx="89">
                  <c:v>41395</c:v>
                </c:pt>
                <c:pt idx="90">
                  <c:v>41426</c:v>
                </c:pt>
                <c:pt idx="91">
                  <c:v>41456</c:v>
                </c:pt>
                <c:pt idx="92">
                  <c:v>41487</c:v>
                </c:pt>
                <c:pt idx="93">
                  <c:v>41518</c:v>
                </c:pt>
                <c:pt idx="94">
                  <c:v>41548</c:v>
                </c:pt>
                <c:pt idx="95">
                  <c:v>41579</c:v>
                </c:pt>
                <c:pt idx="96">
                  <c:v>41609</c:v>
                </c:pt>
                <c:pt idx="97">
                  <c:v>41640</c:v>
                </c:pt>
                <c:pt idx="98">
                  <c:v>41671</c:v>
                </c:pt>
                <c:pt idx="99">
                  <c:v>41699</c:v>
                </c:pt>
                <c:pt idx="100">
                  <c:v>41730</c:v>
                </c:pt>
                <c:pt idx="101">
                  <c:v>41760</c:v>
                </c:pt>
                <c:pt idx="102">
                  <c:v>41791</c:v>
                </c:pt>
                <c:pt idx="103">
                  <c:v>41821</c:v>
                </c:pt>
                <c:pt idx="104">
                  <c:v>41852</c:v>
                </c:pt>
                <c:pt idx="105">
                  <c:v>41883</c:v>
                </c:pt>
                <c:pt idx="106">
                  <c:v>41913</c:v>
                </c:pt>
                <c:pt idx="107">
                  <c:v>41944</c:v>
                </c:pt>
                <c:pt idx="108">
                  <c:v>41974</c:v>
                </c:pt>
                <c:pt idx="109">
                  <c:v>42005</c:v>
                </c:pt>
                <c:pt idx="110">
                  <c:v>42036</c:v>
                </c:pt>
                <c:pt idx="111">
                  <c:v>42064</c:v>
                </c:pt>
                <c:pt idx="112">
                  <c:v>42095</c:v>
                </c:pt>
                <c:pt idx="113">
                  <c:v>42125</c:v>
                </c:pt>
                <c:pt idx="114">
                  <c:v>42156</c:v>
                </c:pt>
                <c:pt idx="115">
                  <c:v>42186</c:v>
                </c:pt>
                <c:pt idx="116">
                  <c:v>42217</c:v>
                </c:pt>
                <c:pt idx="117">
                  <c:v>42248</c:v>
                </c:pt>
                <c:pt idx="118">
                  <c:v>42278</c:v>
                </c:pt>
                <c:pt idx="119">
                  <c:v>42309</c:v>
                </c:pt>
                <c:pt idx="120">
                  <c:v>42339</c:v>
                </c:pt>
                <c:pt idx="121">
                  <c:v>42370</c:v>
                </c:pt>
              </c:numCache>
            </c:numRef>
          </c:cat>
          <c:val>
            <c:numRef>
              <c:f>Sheet2!$X$2:$X$123</c:f>
              <c:numCache>
                <c:formatCode>General</c:formatCode>
                <c:ptCount val="122"/>
                <c:pt idx="0">
                  <c:v>69801</c:v>
                </c:pt>
                <c:pt idx="1">
                  <c:v>56048</c:v>
                </c:pt>
                <c:pt idx="2">
                  <c:v>48505</c:v>
                </c:pt>
                <c:pt idx="3">
                  <c:v>45628</c:v>
                </c:pt>
                <c:pt idx="4">
                  <c:v>50072</c:v>
                </c:pt>
                <c:pt idx="5">
                  <c:v>50281</c:v>
                </c:pt>
                <c:pt idx="6">
                  <c:v>60815</c:v>
                </c:pt>
                <c:pt idx="7">
                  <c:v>62896</c:v>
                </c:pt>
                <c:pt idx="8">
                  <c:v>74272</c:v>
                </c:pt>
                <c:pt idx="9">
                  <c:v>74289</c:v>
                </c:pt>
                <c:pt idx="10">
                  <c:v>59427</c:v>
                </c:pt>
                <c:pt idx="11">
                  <c:v>48845</c:v>
                </c:pt>
                <c:pt idx="12">
                  <c:v>65808</c:v>
                </c:pt>
                <c:pt idx="13">
                  <c:v>52477</c:v>
                </c:pt>
                <c:pt idx="14">
                  <c:v>56557</c:v>
                </c:pt>
                <c:pt idx="15">
                  <c:v>60614</c:v>
                </c:pt>
                <c:pt idx="16">
                  <c:v>55862</c:v>
                </c:pt>
                <c:pt idx="17">
                  <c:v>63827</c:v>
                </c:pt>
                <c:pt idx="18">
                  <c:v>69687</c:v>
                </c:pt>
                <c:pt idx="19">
                  <c:v>63220</c:v>
                </c:pt>
                <c:pt idx="20">
                  <c:v>77551</c:v>
                </c:pt>
                <c:pt idx="21">
                  <c:v>97102</c:v>
                </c:pt>
                <c:pt idx="22">
                  <c:v>72966</c:v>
                </c:pt>
                <c:pt idx="23">
                  <c:v>77897</c:v>
                </c:pt>
                <c:pt idx="24">
                  <c:v>69883</c:v>
                </c:pt>
                <c:pt idx="25">
                  <c:v>54557</c:v>
                </c:pt>
                <c:pt idx="26">
                  <c:v>72837</c:v>
                </c:pt>
                <c:pt idx="27">
                  <c:v>43659</c:v>
                </c:pt>
                <c:pt idx="28">
                  <c:v>50960</c:v>
                </c:pt>
                <c:pt idx="29">
                  <c:v>58452</c:v>
                </c:pt>
                <c:pt idx="30">
                  <c:v>67055</c:v>
                </c:pt>
                <c:pt idx="31">
                  <c:v>41004</c:v>
                </c:pt>
                <c:pt idx="32">
                  <c:v>47631</c:v>
                </c:pt>
                <c:pt idx="33">
                  <c:v>47720</c:v>
                </c:pt>
                <c:pt idx="34">
                  <c:v>31841</c:v>
                </c:pt>
                <c:pt idx="35">
                  <c:v>28701</c:v>
                </c:pt>
                <c:pt idx="36">
                  <c:v>34511</c:v>
                </c:pt>
                <c:pt idx="37">
                  <c:v>28940</c:v>
                </c:pt>
                <c:pt idx="38">
                  <c:v>24431</c:v>
                </c:pt>
                <c:pt idx="39">
                  <c:v>27687</c:v>
                </c:pt>
                <c:pt idx="40">
                  <c:v>24673</c:v>
                </c:pt>
                <c:pt idx="41">
                  <c:v>24641</c:v>
                </c:pt>
                <c:pt idx="42">
                  <c:v>41335</c:v>
                </c:pt>
                <c:pt idx="43">
                  <c:v>32476</c:v>
                </c:pt>
                <c:pt idx="44">
                  <c:v>42643</c:v>
                </c:pt>
                <c:pt idx="45">
                  <c:v>41473</c:v>
                </c:pt>
                <c:pt idx="46">
                  <c:v>37039</c:v>
                </c:pt>
                <c:pt idx="47">
                  <c:v>32297</c:v>
                </c:pt>
                <c:pt idx="48">
                  <c:v>42345</c:v>
                </c:pt>
                <c:pt idx="49">
                  <c:v>29955</c:v>
                </c:pt>
                <c:pt idx="50">
                  <c:v>27636</c:v>
                </c:pt>
                <c:pt idx="51">
                  <c:v>30875</c:v>
                </c:pt>
                <c:pt idx="52">
                  <c:v>23058</c:v>
                </c:pt>
                <c:pt idx="53">
                  <c:v>30710</c:v>
                </c:pt>
                <c:pt idx="54">
                  <c:v>38377</c:v>
                </c:pt>
                <c:pt idx="55">
                  <c:v>36953</c:v>
                </c:pt>
                <c:pt idx="56">
                  <c:v>32778</c:v>
                </c:pt>
                <c:pt idx="57">
                  <c:v>25077</c:v>
                </c:pt>
                <c:pt idx="58">
                  <c:v>21824</c:v>
                </c:pt>
                <c:pt idx="59">
                  <c:v>19204</c:v>
                </c:pt>
                <c:pt idx="60">
                  <c:v>17561</c:v>
                </c:pt>
                <c:pt idx="61">
                  <c:v>21831</c:v>
                </c:pt>
                <c:pt idx="62">
                  <c:v>22007</c:v>
                </c:pt>
                <c:pt idx="63">
                  <c:v>16260</c:v>
                </c:pt>
                <c:pt idx="64">
                  <c:v>15307</c:v>
                </c:pt>
                <c:pt idx="65">
                  <c:v>18349</c:v>
                </c:pt>
                <c:pt idx="66">
                  <c:v>23616</c:v>
                </c:pt>
                <c:pt idx="67">
                  <c:v>19009</c:v>
                </c:pt>
                <c:pt idx="68">
                  <c:v>25639</c:v>
                </c:pt>
                <c:pt idx="69">
                  <c:v>27102</c:v>
                </c:pt>
                <c:pt idx="70">
                  <c:v>20424</c:v>
                </c:pt>
                <c:pt idx="71">
                  <c:v>15277</c:v>
                </c:pt>
                <c:pt idx="72">
                  <c:v>7570</c:v>
                </c:pt>
                <c:pt idx="73">
                  <c:v>16546</c:v>
                </c:pt>
                <c:pt idx="74">
                  <c:v>20135</c:v>
                </c:pt>
                <c:pt idx="75">
                  <c:v>14854</c:v>
                </c:pt>
                <c:pt idx="76">
                  <c:v>22249</c:v>
                </c:pt>
                <c:pt idx="77">
                  <c:v>16856</c:v>
                </c:pt>
                <c:pt idx="78">
                  <c:v>37261</c:v>
                </c:pt>
                <c:pt idx="79">
                  <c:v>26911</c:v>
                </c:pt>
                <c:pt idx="80">
                  <c:v>37843</c:v>
                </c:pt>
                <c:pt idx="81">
                  <c:v>23418</c:v>
                </c:pt>
                <c:pt idx="82">
                  <c:v>34325</c:v>
                </c:pt>
                <c:pt idx="83">
                  <c:v>46278</c:v>
                </c:pt>
                <c:pt idx="84">
                  <c:v>16571</c:v>
                </c:pt>
                <c:pt idx="85">
                  <c:v>25177</c:v>
                </c:pt>
                <c:pt idx="86">
                  <c:v>25580</c:v>
                </c:pt>
                <c:pt idx="87">
                  <c:v>28914</c:v>
                </c:pt>
                <c:pt idx="88">
                  <c:v>35275</c:v>
                </c:pt>
                <c:pt idx="89">
                  <c:v>34586</c:v>
                </c:pt>
                <c:pt idx="90">
                  <c:v>44700</c:v>
                </c:pt>
                <c:pt idx="91">
                  <c:v>39068</c:v>
                </c:pt>
                <c:pt idx="92">
                  <c:v>47444</c:v>
                </c:pt>
                <c:pt idx="93">
                  <c:v>35267</c:v>
                </c:pt>
                <c:pt idx="94">
                  <c:v>33777</c:v>
                </c:pt>
                <c:pt idx="95">
                  <c:v>40694</c:v>
                </c:pt>
                <c:pt idx="96">
                  <c:v>40788</c:v>
                </c:pt>
                <c:pt idx="97">
                  <c:v>32552</c:v>
                </c:pt>
                <c:pt idx="98">
                  <c:v>32575</c:v>
                </c:pt>
                <c:pt idx="99">
                  <c:v>25292</c:v>
                </c:pt>
                <c:pt idx="100">
                  <c:v>33556</c:v>
                </c:pt>
                <c:pt idx="101">
                  <c:v>36971</c:v>
                </c:pt>
                <c:pt idx="102">
                  <c:v>44546</c:v>
                </c:pt>
                <c:pt idx="103">
                  <c:v>47158</c:v>
                </c:pt>
                <c:pt idx="104">
                  <c:v>58661</c:v>
                </c:pt>
                <c:pt idx="105">
                  <c:v>53474</c:v>
                </c:pt>
                <c:pt idx="106">
                  <c:v>52441</c:v>
                </c:pt>
                <c:pt idx="107">
                  <c:v>48167</c:v>
                </c:pt>
                <c:pt idx="108">
                  <c:v>37180</c:v>
                </c:pt>
                <c:pt idx="109">
                  <c:v>37274</c:v>
                </c:pt>
                <c:pt idx="110">
                  <c:v>41840</c:v>
                </c:pt>
                <c:pt idx="111">
                  <c:v>29926</c:v>
                </c:pt>
                <c:pt idx="112">
                  <c:v>40194</c:v>
                </c:pt>
                <c:pt idx="113">
                  <c:v>45666</c:v>
                </c:pt>
                <c:pt idx="114">
                  <c:v>53369</c:v>
                </c:pt>
                <c:pt idx="115">
                  <c:v>58490</c:v>
                </c:pt>
                <c:pt idx="116">
                  <c:v>50580</c:v>
                </c:pt>
                <c:pt idx="117">
                  <c:v>62040</c:v>
                </c:pt>
                <c:pt idx="118">
                  <c:v>56968</c:v>
                </c:pt>
                <c:pt idx="119">
                  <c:v>45390</c:v>
                </c:pt>
                <c:pt idx="120">
                  <c:v>41614</c:v>
                </c:pt>
                <c:pt idx="121">
                  <c:v>28453</c:v>
                </c:pt>
              </c:numCache>
            </c:numRef>
          </c:val>
        </c:ser>
        <c:ser>
          <c:idx val="1"/>
          <c:order val="1"/>
          <c:tx>
            <c:strRef>
              <c:f>Sheet2!$Y$1</c:f>
              <c:strCache>
                <c:ptCount val="1"/>
                <c:pt idx="0">
                  <c:v>NOMHA-REFI</c:v>
                </c:pt>
              </c:strCache>
            </c:strRef>
          </c:tx>
          <c:cat>
            <c:numRef>
              <c:f>Sheet2!$W$2:$W$123</c:f>
              <c:numCache>
                <c:formatCode>m/d/yyyy</c:formatCode>
                <c:ptCount val="122"/>
                <c:pt idx="0">
                  <c:v>38687</c:v>
                </c:pt>
                <c:pt idx="1">
                  <c:v>38718</c:v>
                </c:pt>
                <c:pt idx="2">
                  <c:v>38749</c:v>
                </c:pt>
                <c:pt idx="3">
                  <c:v>38777</c:v>
                </c:pt>
                <c:pt idx="4">
                  <c:v>38808</c:v>
                </c:pt>
                <c:pt idx="5">
                  <c:v>38838</c:v>
                </c:pt>
                <c:pt idx="6">
                  <c:v>38869</c:v>
                </c:pt>
                <c:pt idx="7">
                  <c:v>38899</c:v>
                </c:pt>
                <c:pt idx="8">
                  <c:v>38930</c:v>
                </c:pt>
                <c:pt idx="9">
                  <c:v>38961</c:v>
                </c:pt>
                <c:pt idx="10">
                  <c:v>38991</c:v>
                </c:pt>
                <c:pt idx="11">
                  <c:v>39022</c:v>
                </c:pt>
                <c:pt idx="12">
                  <c:v>39052</c:v>
                </c:pt>
                <c:pt idx="13">
                  <c:v>39083</c:v>
                </c:pt>
                <c:pt idx="14">
                  <c:v>39114</c:v>
                </c:pt>
                <c:pt idx="15">
                  <c:v>39142</c:v>
                </c:pt>
                <c:pt idx="16">
                  <c:v>39173</c:v>
                </c:pt>
                <c:pt idx="17">
                  <c:v>39203</c:v>
                </c:pt>
                <c:pt idx="18">
                  <c:v>39234</c:v>
                </c:pt>
                <c:pt idx="19">
                  <c:v>39264</c:v>
                </c:pt>
                <c:pt idx="20">
                  <c:v>39295</c:v>
                </c:pt>
                <c:pt idx="21">
                  <c:v>39326</c:v>
                </c:pt>
                <c:pt idx="22">
                  <c:v>39356</c:v>
                </c:pt>
                <c:pt idx="23">
                  <c:v>39387</c:v>
                </c:pt>
                <c:pt idx="24">
                  <c:v>39417</c:v>
                </c:pt>
                <c:pt idx="25">
                  <c:v>39448</c:v>
                </c:pt>
                <c:pt idx="26">
                  <c:v>39479</c:v>
                </c:pt>
                <c:pt idx="27">
                  <c:v>39508</c:v>
                </c:pt>
                <c:pt idx="28">
                  <c:v>39539</c:v>
                </c:pt>
                <c:pt idx="29">
                  <c:v>39569</c:v>
                </c:pt>
                <c:pt idx="30">
                  <c:v>39600</c:v>
                </c:pt>
                <c:pt idx="31">
                  <c:v>39630</c:v>
                </c:pt>
                <c:pt idx="32">
                  <c:v>39661</c:v>
                </c:pt>
                <c:pt idx="33">
                  <c:v>39692</c:v>
                </c:pt>
                <c:pt idx="34">
                  <c:v>39722</c:v>
                </c:pt>
                <c:pt idx="35">
                  <c:v>39753</c:v>
                </c:pt>
                <c:pt idx="36">
                  <c:v>39783</c:v>
                </c:pt>
                <c:pt idx="37">
                  <c:v>39814</c:v>
                </c:pt>
                <c:pt idx="38">
                  <c:v>39845</c:v>
                </c:pt>
                <c:pt idx="39">
                  <c:v>39873</c:v>
                </c:pt>
                <c:pt idx="40">
                  <c:v>39904</c:v>
                </c:pt>
                <c:pt idx="41">
                  <c:v>39934</c:v>
                </c:pt>
                <c:pt idx="42">
                  <c:v>39965</c:v>
                </c:pt>
                <c:pt idx="43">
                  <c:v>39995</c:v>
                </c:pt>
                <c:pt idx="44">
                  <c:v>40026</c:v>
                </c:pt>
                <c:pt idx="45">
                  <c:v>40057</c:v>
                </c:pt>
                <c:pt idx="46">
                  <c:v>40087</c:v>
                </c:pt>
                <c:pt idx="47">
                  <c:v>40118</c:v>
                </c:pt>
                <c:pt idx="48">
                  <c:v>40148</c:v>
                </c:pt>
                <c:pt idx="49">
                  <c:v>40179</c:v>
                </c:pt>
                <c:pt idx="50">
                  <c:v>40210</c:v>
                </c:pt>
                <c:pt idx="51">
                  <c:v>40238</c:v>
                </c:pt>
                <c:pt idx="52">
                  <c:v>40269</c:v>
                </c:pt>
                <c:pt idx="53">
                  <c:v>40299</c:v>
                </c:pt>
                <c:pt idx="54">
                  <c:v>40330</c:v>
                </c:pt>
                <c:pt idx="55">
                  <c:v>40360</c:v>
                </c:pt>
                <c:pt idx="56">
                  <c:v>40391</c:v>
                </c:pt>
                <c:pt idx="57">
                  <c:v>40422</c:v>
                </c:pt>
                <c:pt idx="58">
                  <c:v>40452</c:v>
                </c:pt>
                <c:pt idx="59">
                  <c:v>40483</c:v>
                </c:pt>
                <c:pt idx="60">
                  <c:v>40513</c:v>
                </c:pt>
                <c:pt idx="61">
                  <c:v>40544</c:v>
                </c:pt>
                <c:pt idx="62">
                  <c:v>40575</c:v>
                </c:pt>
                <c:pt idx="63">
                  <c:v>40603</c:v>
                </c:pt>
                <c:pt idx="64">
                  <c:v>40634</c:v>
                </c:pt>
                <c:pt idx="65">
                  <c:v>40664</c:v>
                </c:pt>
                <c:pt idx="66">
                  <c:v>40695</c:v>
                </c:pt>
                <c:pt idx="67">
                  <c:v>40725</c:v>
                </c:pt>
                <c:pt idx="68">
                  <c:v>40756</c:v>
                </c:pt>
                <c:pt idx="69">
                  <c:v>40787</c:v>
                </c:pt>
                <c:pt idx="70">
                  <c:v>40817</c:v>
                </c:pt>
                <c:pt idx="71">
                  <c:v>40848</c:v>
                </c:pt>
                <c:pt idx="72">
                  <c:v>40878</c:v>
                </c:pt>
                <c:pt idx="73">
                  <c:v>40909</c:v>
                </c:pt>
                <c:pt idx="74">
                  <c:v>40940</c:v>
                </c:pt>
                <c:pt idx="75">
                  <c:v>40969</c:v>
                </c:pt>
                <c:pt idx="76">
                  <c:v>41000</c:v>
                </c:pt>
                <c:pt idx="77">
                  <c:v>41030</c:v>
                </c:pt>
                <c:pt idx="78">
                  <c:v>41061</c:v>
                </c:pt>
                <c:pt idx="79">
                  <c:v>41091</c:v>
                </c:pt>
                <c:pt idx="80">
                  <c:v>41122</c:v>
                </c:pt>
                <c:pt idx="81">
                  <c:v>41153</c:v>
                </c:pt>
                <c:pt idx="82">
                  <c:v>41183</c:v>
                </c:pt>
                <c:pt idx="83">
                  <c:v>41214</c:v>
                </c:pt>
                <c:pt idx="84">
                  <c:v>41244</c:v>
                </c:pt>
                <c:pt idx="85">
                  <c:v>41275</c:v>
                </c:pt>
                <c:pt idx="86">
                  <c:v>41306</c:v>
                </c:pt>
                <c:pt idx="87">
                  <c:v>41334</c:v>
                </c:pt>
                <c:pt idx="88">
                  <c:v>41365</c:v>
                </c:pt>
                <c:pt idx="89">
                  <c:v>41395</c:v>
                </c:pt>
                <c:pt idx="90">
                  <c:v>41426</c:v>
                </c:pt>
                <c:pt idx="91">
                  <c:v>41456</c:v>
                </c:pt>
                <c:pt idx="92">
                  <c:v>41487</c:v>
                </c:pt>
                <c:pt idx="93">
                  <c:v>41518</c:v>
                </c:pt>
                <c:pt idx="94">
                  <c:v>41548</c:v>
                </c:pt>
                <c:pt idx="95">
                  <c:v>41579</c:v>
                </c:pt>
                <c:pt idx="96">
                  <c:v>41609</c:v>
                </c:pt>
                <c:pt idx="97">
                  <c:v>41640</c:v>
                </c:pt>
                <c:pt idx="98">
                  <c:v>41671</c:v>
                </c:pt>
                <c:pt idx="99">
                  <c:v>41699</c:v>
                </c:pt>
                <c:pt idx="100">
                  <c:v>41730</c:v>
                </c:pt>
                <c:pt idx="101">
                  <c:v>41760</c:v>
                </c:pt>
                <c:pt idx="102">
                  <c:v>41791</c:v>
                </c:pt>
                <c:pt idx="103">
                  <c:v>41821</c:v>
                </c:pt>
                <c:pt idx="104">
                  <c:v>41852</c:v>
                </c:pt>
                <c:pt idx="105">
                  <c:v>41883</c:v>
                </c:pt>
                <c:pt idx="106">
                  <c:v>41913</c:v>
                </c:pt>
                <c:pt idx="107">
                  <c:v>41944</c:v>
                </c:pt>
                <c:pt idx="108">
                  <c:v>41974</c:v>
                </c:pt>
                <c:pt idx="109">
                  <c:v>42005</c:v>
                </c:pt>
                <c:pt idx="110">
                  <c:v>42036</c:v>
                </c:pt>
                <c:pt idx="111">
                  <c:v>42064</c:v>
                </c:pt>
                <c:pt idx="112">
                  <c:v>42095</c:v>
                </c:pt>
                <c:pt idx="113">
                  <c:v>42125</c:v>
                </c:pt>
                <c:pt idx="114">
                  <c:v>42156</c:v>
                </c:pt>
                <c:pt idx="115">
                  <c:v>42186</c:v>
                </c:pt>
                <c:pt idx="116">
                  <c:v>42217</c:v>
                </c:pt>
                <c:pt idx="117">
                  <c:v>42248</c:v>
                </c:pt>
                <c:pt idx="118">
                  <c:v>42278</c:v>
                </c:pt>
                <c:pt idx="119">
                  <c:v>42309</c:v>
                </c:pt>
                <c:pt idx="120">
                  <c:v>42339</c:v>
                </c:pt>
                <c:pt idx="121">
                  <c:v>42370</c:v>
                </c:pt>
              </c:numCache>
            </c:numRef>
          </c:cat>
          <c:val>
            <c:numRef>
              <c:f>Sheet2!$Y$2:$Y$123</c:f>
              <c:numCache>
                <c:formatCode>General</c:formatCode>
                <c:ptCount val="122"/>
                <c:pt idx="0">
                  <c:v>64164</c:v>
                </c:pt>
                <c:pt idx="1">
                  <c:v>58448</c:v>
                </c:pt>
                <c:pt idx="2">
                  <c:v>49549</c:v>
                </c:pt>
                <c:pt idx="3">
                  <c:v>50913</c:v>
                </c:pt>
                <c:pt idx="4">
                  <c:v>54093</c:v>
                </c:pt>
                <c:pt idx="5">
                  <c:v>43099</c:v>
                </c:pt>
                <c:pt idx="6">
                  <c:v>45484</c:v>
                </c:pt>
                <c:pt idx="7">
                  <c:v>41248</c:v>
                </c:pt>
                <c:pt idx="8">
                  <c:v>42532</c:v>
                </c:pt>
                <c:pt idx="9">
                  <c:v>43129</c:v>
                </c:pt>
                <c:pt idx="10">
                  <c:v>43075</c:v>
                </c:pt>
                <c:pt idx="11">
                  <c:v>46704</c:v>
                </c:pt>
                <c:pt idx="12">
                  <c:v>60968</c:v>
                </c:pt>
                <c:pt idx="13">
                  <c:v>52621</c:v>
                </c:pt>
                <c:pt idx="14">
                  <c:v>71070</c:v>
                </c:pt>
                <c:pt idx="15">
                  <c:v>67164</c:v>
                </c:pt>
                <c:pt idx="16">
                  <c:v>64185</c:v>
                </c:pt>
                <c:pt idx="17">
                  <c:v>69464</c:v>
                </c:pt>
                <c:pt idx="18">
                  <c:v>61490</c:v>
                </c:pt>
                <c:pt idx="19">
                  <c:v>53816</c:v>
                </c:pt>
                <c:pt idx="20">
                  <c:v>55366</c:v>
                </c:pt>
                <c:pt idx="21">
                  <c:v>55888</c:v>
                </c:pt>
                <c:pt idx="22">
                  <c:v>51812</c:v>
                </c:pt>
                <c:pt idx="23">
                  <c:v>61078</c:v>
                </c:pt>
                <c:pt idx="24">
                  <c:v>60449</c:v>
                </c:pt>
                <c:pt idx="25">
                  <c:v>60598</c:v>
                </c:pt>
                <c:pt idx="26">
                  <c:v>91402</c:v>
                </c:pt>
                <c:pt idx="27">
                  <c:v>93377</c:v>
                </c:pt>
                <c:pt idx="28">
                  <c:v>91357</c:v>
                </c:pt>
                <c:pt idx="29">
                  <c:v>91752</c:v>
                </c:pt>
                <c:pt idx="30">
                  <c:v>70617</c:v>
                </c:pt>
                <c:pt idx="31">
                  <c:v>36040</c:v>
                </c:pt>
                <c:pt idx="32">
                  <c:v>33217</c:v>
                </c:pt>
                <c:pt idx="33">
                  <c:v>29595</c:v>
                </c:pt>
                <c:pt idx="34">
                  <c:v>22753</c:v>
                </c:pt>
                <c:pt idx="35">
                  <c:v>27885</c:v>
                </c:pt>
                <c:pt idx="36">
                  <c:v>28353</c:v>
                </c:pt>
                <c:pt idx="37">
                  <c:v>36364</c:v>
                </c:pt>
                <c:pt idx="38">
                  <c:v>88963</c:v>
                </c:pt>
                <c:pt idx="39">
                  <c:v>187401</c:v>
                </c:pt>
                <c:pt idx="40">
                  <c:v>140030</c:v>
                </c:pt>
                <c:pt idx="41">
                  <c:v>123547</c:v>
                </c:pt>
                <c:pt idx="42">
                  <c:v>183268</c:v>
                </c:pt>
                <c:pt idx="43">
                  <c:v>107233</c:v>
                </c:pt>
                <c:pt idx="44">
                  <c:v>104917</c:v>
                </c:pt>
                <c:pt idx="45">
                  <c:v>67936</c:v>
                </c:pt>
                <c:pt idx="46">
                  <c:v>54105</c:v>
                </c:pt>
                <c:pt idx="47">
                  <c:v>53423</c:v>
                </c:pt>
                <c:pt idx="48">
                  <c:v>71676</c:v>
                </c:pt>
                <c:pt idx="49">
                  <c:v>57979</c:v>
                </c:pt>
                <c:pt idx="50">
                  <c:v>64815</c:v>
                </c:pt>
                <c:pt idx="51">
                  <c:v>61902</c:v>
                </c:pt>
                <c:pt idx="52">
                  <c:v>37869</c:v>
                </c:pt>
                <c:pt idx="53">
                  <c:v>40562</c:v>
                </c:pt>
                <c:pt idx="54">
                  <c:v>40799</c:v>
                </c:pt>
                <c:pt idx="55">
                  <c:v>37795</c:v>
                </c:pt>
                <c:pt idx="56">
                  <c:v>44543</c:v>
                </c:pt>
                <c:pt idx="57">
                  <c:v>63945</c:v>
                </c:pt>
                <c:pt idx="58">
                  <c:v>69234</c:v>
                </c:pt>
                <c:pt idx="59">
                  <c:v>68606</c:v>
                </c:pt>
                <c:pt idx="60">
                  <c:v>73157</c:v>
                </c:pt>
                <c:pt idx="61">
                  <c:v>71333</c:v>
                </c:pt>
                <c:pt idx="62">
                  <c:v>61002</c:v>
                </c:pt>
                <c:pt idx="63">
                  <c:v>36850</c:v>
                </c:pt>
                <c:pt idx="64">
                  <c:v>28254</c:v>
                </c:pt>
                <c:pt idx="65">
                  <c:v>22304</c:v>
                </c:pt>
                <c:pt idx="66">
                  <c:v>22239</c:v>
                </c:pt>
                <c:pt idx="67">
                  <c:v>16955</c:v>
                </c:pt>
                <c:pt idx="68">
                  <c:v>24762</c:v>
                </c:pt>
                <c:pt idx="69">
                  <c:v>25880</c:v>
                </c:pt>
                <c:pt idx="70">
                  <c:v>32509</c:v>
                </c:pt>
                <c:pt idx="71">
                  <c:v>31848</c:v>
                </c:pt>
                <c:pt idx="72">
                  <c:v>30460</c:v>
                </c:pt>
                <c:pt idx="73">
                  <c:v>40253</c:v>
                </c:pt>
                <c:pt idx="74">
                  <c:v>59797</c:v>
                </c:pt>
                <c:pt idx="75">
                  <c:v>52700</c:v>
                </c:pt>
                <c:pt idx="76">
                  <c:v>52285</c:v>
                </c:pt>
                <c:pt idx="77">
                  <c:v>37066</c:v>
                </c:pt>
                <c:pt idx="78">
                  <c:v>46044</c:v>
                </c:pt>
                <c:pt idx="79">
                  <c:v>36784</c:v>
                </c:pt>
                <c:pt idx="80">
                  <c:v>51984</c:v>
                </c:pt>
                <c:pt idx="81">
                  <c:v>44391</c:v>
                </c:pt>
                <c:pt idx="82">
                  <c:v>66015</c:v>
                </c:pt>
                <c:pt idx="83">
                  <c:v>95074</c:v>
                </c:pt>
                <c:pt idx="84">
                  <c:v>41588</c:v>
                </c:pt>
                <c:pt idx="85">
                  <c:v>73417</c:v>
                </c:pt>
                <c:pt idx="86">
                  <c:v>67911</c:v>
                </c:pt>
                <c:pt idx="87">
                  <c:v>82614</c:v>
                </c:pt>
                <c:pt idx="88">
                  <c:v>75037</c:v>
                </c:pt>
                <c:pt idx="89">
                  <c:v>55021</c:v>
                </c:pt>
                <c:pt idx="90">
                  <c:v>66427</c:v>
                </c:pt>
                <c:pt idx="91">
                  <c:v>51039</c:v>
                </c:pt>
                <c:pt idx="92">
                  <c:v>46731</c:v>
                </c:pt>
                <c:pt idx="93">
                  <c:v>30127</c:v>
                </c:pt>
                <c:pt idx="94">
                  <c:v>22632</c:v>
                </c:pt>
                <c:pt idx="95">
                  <c:v>24532</c:v>
                </c:pt>
                <c:pt idx="96">
                  <c:v>25298</c:v>
                </c:pt>
                <c:pt idx="97">
                  <c:v>23301</c:v>
                </c:pt>
                <c:pt idx="98">
                  <c:v>21236</c:v>
                </c:pt>
                <c:pt idx="99">
                  <c:v>15910</c:v>
                </c:pt>
                <c:pt idx="100">
                  <c:v>18649</c:v>
                </c:pt>
                <c:pt idx="101">
                  <c:v>18072</c:v>
                </c:pt>
                <c:pt idx="102">
                  <c:v>19550</c:v>
                </c:pt>
                <c:pt idx="103">
                  <c:v>19246</c:v>
                </c:pt>
                <c:pt idx="104">
                  <c:v>34153</c:v>
                </c:pt>
                <c:pt idx="105">
                  <c:v>27138</c:v>
                </c:pt>
                <c:pt idx="106">
                  <c:v>28527</c:v>
                </c:pt>
                <c:pt idx="107">
                  <c:v>27618</c:v>
                </c:pt>
                <c:pt idx="108">
                  <c:v>29951</c:v>
                </c:pt>
                <c:pt idx="109">
                  <c:v>30559</c:v>
                </c:pt>
                <c:pt idx="110">
                  <c:v>53289</c:v>
                </c:pt>
                <c:pt idx="111">
                  <c:v>43003</c:v>
                </c:pt>
                <c:pt idx="112">
                  <c:v>54294</c:v>
                </c:pt>
                <c:pt idx="113">
                  <c:v>49112</c:v>
                </c:pt>
                <c:pt idx="114">
                  <c:v>51430</c:v>
                </c:pt>
                <c:pt idx="115">
                  <c:v>43435</c:v>
                </c:pt>
                <c:pt idx="116">
                  <c:v>34021</c:v>
                </c:pt>
                <c:pt idx="117">
                  <c:v>29633</c:v>
                </c:pt>
                <c:pt idx="118">
                  <c:v>32151</c:v>
                </c:pt>
                <c:pt idx="119">
                  <c:v>32016</c:v>
                </c:pt>
                <c:pt idx="120">
                  <c:v>31162</c:v>
                </c:pt>
                <c:pt idx="121">
                  <c:v>20137</c:v>
                </c:pt>
              </c:numCache>
            </c:numRef>
          </c:val>
        </c:ser>
        <c:ser>
          <c:idx val="2"/>
          <c:order val="2"/>
          <c:tx>
            <c:strRef>
              <c:f>Sheet2!$Z$1</c:f>
              <c:strCache>
                <c:ptCount val="1"/>
                <c:pt idx="0">
                  <c:v>MHA-ELIGIBLE</c:v>
                </c:pt>
              </c:strCache>
            </c:strRef>
          </c:tx>
          <c:cat>
            <c:numRef>
              <c:f>Sheet2!$W$2:$W$123</c:f>
              <c:numCache>
                <c:formatCode>m/d/yyyy</c:formatCode>
                <c:ptCount val="122"/>
                <c:pt idx="0">
                  <c:v>38687</c:v>
                </c:pt>
                <c:pt idx="1">
                  <c:v>38718</c:v>
                </c:pt>
                <c:pt idx="2">
                  <c:v>38749</c:v>
                </c:pt>
                <c:pt idx="3">
                  <c:v>38777</c:v>
                </c:pt>
                <c:pt idx="4">
                  <c:v>38808</c:v>
                </c:pt>
                <c:pt idx="5">
                  <c:v>38838</c:v>
                </c:pt>
                <c:pt idx="6">
                  <c:v>38869</c:v>
                </c:pt>
                <c:pt idx="7">
                  <c:v>38899</c:v>
                </c:pt>
                <c:pt idx="8">
                  <c:v>38930</c:v>
                </c:pt>
                <c:pt idx="9">
                  <c:v>38961</c:v>
                </c:pt>
                <c:pt idx="10">
                  <c:v>38991</c:v>
                </c:pt>
                <c:pt idx="11">
                  <c:v>39022</c:v>
                </c:pt>
                <c:pt idx="12">
                  <c:v>39052</c:v>
                </c:pt>
                <c:pt idx="13">
                  <c:v>39083</c:v>
                </c:pt>
                <c:pt idx="14">
                  <c:v>39114</c:v>
                </c:pt>
                <c:pt idx="15">
                  <c:v>39142</c:v>
                </c:pt>
                <c:pt idx="16">
                  <c:v>39173</c:v>
                </c:pt>
                <c:pt idx="17">
                  <c:v>39203</c:v>
                </c:pt>
                <c:pt idx="18">
                  <c:v>39234</c:v>
                </c:pt>
                <c:pt idx="19">
                  <c:v>39264</c:v>
                </c:pt>
                <c:pt idx="20">
                  <c:v>39295</c:v>
                </c:pt>
                <c:pt idx="21">
                  <c:v>39326</c:v>
                </c:pt>
                <c:pt idx="22">
                  <c:v>39356</c:v>
                </c:pt>
                <c:pt idx="23">
                  <c:v>39387</c:v>
                </c:pt>
                <c:pt idx="24">
                  <c:v>39417</c:v>
                </c:pt>
                <c:pt idx="25">
                  <c:v>39448</c:v>
                </c:pt>
                <c:pt idx="26">
                  <c:v>39479</c:v>
                </c:pt>
                <c:pt idx="27">
                  <c:v>39508</c:v>
                </c:pt>
                <c:pt idx="28">
                  <c:v>39539</c:v>
                </c:pt>
                <c:pt idx="29">
                  <c:v>39569</c:v>
                </c:pt>
                <c:pt idx="30">
                  <c:v>39600</c:v>
                </c:pt>
                <c:pt idx="31">
                  <c:v>39630</c:v>
                </c:pt>
                <c:pt idx="32">
                  <c:v>39661</c:v>
                </c:pt>
                <c:pt idx="33">
                  <c:v>39692</c:v>
                </c:pt>
                <c:pt idx="34">
                  <c:v>39722</c:v>
                </c:pt>
                <c:pt idx="35">
                  <c:v>39753</c:v>
                </c:pt>
                <c:pt idx="36">
                  <c:v>39783</c:v>
                </c:pt>
                <c:pt idx="37">
                  <c:v>39814</c:v>
                </c:pt>
                <c:pt idx="38">
                  <c:v>39845</c:v>
                </c:pt>
                <c:pt idx="39">
                  <c:v>39873</c:v>
                </c:pt>
                <c:pt idx="40">
                  <c:v>39904</c:v>
                </c:pt>
                <c:pt idx="41">
                  <c:v>39934</c:v>
                </c:pt>
                <c:pt idx="42">
                  <c:v>39965</c:v>
                </c:pt>
                <c:pt idx="43">
                  <c:v>39995</c:v>
                </c:pt>
                <c:pt idx="44">
                  <c:v>40026</c:v>
                </c:pt>
                <c:pt idx="45">
                  <c:v>40057</c:v>
                </c:pt>
                <c:pt idx="46">
                  <c:v>40087</c:v>
                </c:pt>
                <c:pt idx="47">
                  <c:v>40118</c:v>
                </c:pt>
                <c:pt idx="48">
                  <c:v>40148</c:v>
                </c:pt>
                <c:pt idx="49">
                  <c:v>40179</c:v>
                </c:pt>
                <c:pt idx="50">
                  <c:v>40210</c:v>
                </c:pt>
                <c:pt idx="51">
                  <c:v>40238</c:v>
                </c:pt>
                <c:pt idx="52">
                  <c:v>40269</c:v>
                </c:pt>
                <c:pt idx="53">
                  <c:v>40299</c:v>
                </c:pt>
                <c:pt idx="54">
                  <c:v>40330</c:v>
                </c:pt>
                <c:pt idx="55">
                  <c:v>40360</c:v>
                </c:pt>
                <c:pt idx="56">
                  <c:v>40391</c:v>
                </c:pt>
                <c:pt idx="57">
                  <c:v>40422</c:v>
                </c:pt>
                <c:pt idx="58">
                  <c:v>40452</c:v>
                </c:pt>
                <c:pt idx="59">
                  <c:v>40483</c:v>
                </c:pt>
                <c:pt idx="60">
                  <c:v>40513</c:v>
                </c:pt>
                <c:pt idx="61">
                  <c:v>40544</c:v>
                </c:pt>
                <c:pt idx="62">
                  <c:v>40575</c:v>
                </c:pt>
                <c:pt idx="63">
                  <c:v>40603</c:v>
                </c:pt>
                <c:pt idx="64">
                  <c:v>40634</c:v>
                </c:pt>
                <c:pt idx="65">
                  <c:v>40664</c:v>
                </c:pt>
                <c:pt idx="66">
                  <c:v>40695</c:v>
                </c:pt>
                <c:pt idx="67">
                  <c:v>40725</c:v>
                </c:pt>
                <c:pt idx="68">
                  <c:v>40756</c:v>
                </c:pt>
                <c:pt idx="69">
                  <c:v>40787</c:v>
                </c:pt>
                <c:pt idx="70">
                  <c:v>40817</c:v>
                </c:pt>
                <c:pt idx="71">
                  <c:v>40848</c:v>
                </c:pt>
                <c:pt idx="72">
                  <c:v>40878</c:v>
                </c:pt>
                <c:pt idx="73">
                  <c:v>40909</c:v>
                </c:pt>
                <c:pt idx="74">
                  <c:v>40940</c:v>
                </c:pt>
                <c:pt idx="75">
                  <c:v>40969</c:v>
                </c:pt>
                <c:pt idx="76">
                  <c:v>41000</c:v>
                </c:pt>
                <c:pt idx="77">
                  <c:v>41030</c:v>
                </c:pt>
                <c:pt idx="78">
                  <c:v>41061</c:v>
                </c:pt>
                <c:pt idx="79">
                  <c:v>41091</c:v>
                </c:pt>
                <c:pt idx="80">
                  <c:v>41122</c:v>
                </c:pt>
                <c:pt idx="81">
                  <c:v>41153</c:v>
                </c:pt>
                <c:pt idx="82">
                  <c:v>41183</c:v>
                </c:pt>
                <c:pt idx="83">
                  <c:v>41214</c:v>
                </c:pt>
                <c:pt idx="84">
                  <c:v>41244</c:v>
                </c:pt>
                <c:pt idx="85">
                  <c:v>41275</c:v>
                </c:pt>
                <c:pt idx="86">
                  <c:v>41306</c:v>
                </c:pt>
                <c:pt idx="87">
                  <c:v>41334</c:v>
                </c:pt>
                <c:pt idx="88">
                  <c:v>41365</c:v>
                </c:pt>
                <c:pt idx="89">
                  <c:v>41395</c:v>
                </c:pt>
                <c:pt idx="90">
                  <c:v>41426</c:v>
                </c:pt>
                <c:pt idx="91">
                  <c:v>41456</c:v>
                </c:pt>
                <c:pt idx="92">
                  <c:v>41487</c:v>
                </c:pt>
                <c:pt idx="93">
                  <c:v>41518</c:v>
                </c:pt>
                <c:pt idx="94">
                  <c:v>41548</c:v>
                </c:pt>
                <c:pt idx="95">
                  <c:v>41579</c:v>
                </c:pt>
                <c:pt idx="96">
                  <c:v>41609</c:v>
                </c:pt>
                <c:pt idx="97">
                  <c:v>41640</c:v>
                </c:pt>
                <c:pt idx="98">
                  <c:v>41671</c:v>
                </c:pt>
                <c:pt idx="99">
                  <c:v>41699</c:v>
                </c:pt>
                <c:pt idx="100">
                  <c:v>41730</c:v>
                </c:pt>
                <c:pt idx="101">
                  <c:v>41760</c:v>
                </c:pt>
                <c:pt idx="102">
                  <c:v>41791</c:v>
                </c:pt>
                <c:pt idx="103">
                  <c:v>41821</c:v>
                </c:pt>
                <c:pt idx="104">
                  <c:v>41852</c:v>
                </c:pt>
                <c:pt idx="105">
                  <c:v>41883</c:v>
                </c:pt>
                <c:pt idx="106">
                  <c:v>41913</c:v>
                </c:pt>
                <c:pt idx="107">
                  <c:v>41944</c:v>
                </c:pt>
                <c:pt idx="108">
                  <c:v>41974</c:v>
                </c:pt>
                <c:pt idx="109">
                  <c:v>42005</c:v>
                </c:pt>
                <c:pt idx="110">
                  <c:v>42036</c:v>
                </c:pt>
                <c:pt idx="111">
                  <c:v>42064</c:v>
                </c:pt>
                <c:pt idx="112">
                  <c:v>42095</c:v>
                </c:pt>
                <c:pt idx="113">
                  <c:v>42125</c:v>
                </c:pt>
                <c:pt idx="114">
                  <c:v>42156</c:v>
                </c:pt>
                <c:pt idx="115">
                  <c:v>42186</c:v>
                </c:pt>
                <c:pt idx="116">
                  <c:v>42217</c:v>
                </c:pt>
                <c:pt idx="117">
                  <c:v>42248</c:v>
                </c:pt>
                <c:pt idx="118">
                  <c:v>42278</c:v>
                </c:pt>
                <c:pt idx="119">
                  <c:v>42309</c:v>
                </c:pt>
                <c:pt idx="120">
                  <c:v>42339</c:v>
                </c:pt>
                <c:pt idx="121">
                  <c:v>42370</c:v>
                </c:pt>
              </c:numCache>
            </c:numRef>
          </c:cat>
          <c:val>
            <c:numRef>
              <c:f>Sheet2!$Z$2:$Z$123</c:f>
              <c:numCache>
                <c:formatCode>General</c:formatCode>
                <c:ptCount val="122"/>
                <c:pt idx="0">
                  <c:v>1771</c:v>
                </c:pt>
                <c:pt idx="1">
                  <c:v>1707</c:v>
                </c:pt>
                <c:pt idx="2">
                  <c:v>1596</c:v>
                </c:pt>
                <c:pt idx="3">
                  <c:v>1821</c:v>
                </c:pt>
                <c:pt idx="4">
                  <c:v>1451</c:v>
                </c:pt>
                <c:pt idx="5">
                  <c:v>1286</c:v>
                </c:pt>
                <c:pt idx="6">
                  <c:v>1464</c:v>
                </c:pt>
                <c:pt idx="7">
                  <c:v>1287</c:v>
                </c:pt>
                <c:pt idx="8">
                  <c:v>1273</c:v>
                </c:pt>
                <c:pt idx="9">
                  <c:v>1279</c:v>
                </c:pt>
                <c:pt idx="10">
                  <c:v>1152</c:v>
                </c:pt>
                <c:pt idx="11">
                  <c:v>1107</c:v>
                </c:pt>
                <c:pt idx="12">
                  <c:v>1423</c:v>
                </c:pt>
                <c:pt idx="13">
                  <c:v>1046</c:v>
                </c:pt>
                <c:pt idx="14">
                  <c:v>1203</c:v>
                </c:pt>
                <c:pt idx="15">
                  <c:v>1354</c:v>
                </c:pt>
                <c:pt idx="16">
                  <c:v>1198</c:v>
                </c:pt>
                <c:pt idx="17">
                  <c:v>1274</c:v>
                </c:pt>
                <c:pt idx="18">
                  <c:v>1295</c:v>
                </c:pt>
                <c:pt idx="19">
                  <c:v>1176</c:v>
                </c:pt>
                <c:pt idx="20">
                  <c:v>1317</c:v>
                </c:pt>
                <c:pt idx="21">
                  <c:v>1309</c:v>
                </c:pt>
                <c:pt idx="22">
                  <c:v>1507</c:v>
                </c:pt>
                <c:pt idx="23">
                  <c:v>1555</c:v>
                </c:pt>
                <c:pt idx="24">
                  <c:v>1580</c:v>
                </c:pt>
                <c:pt idx="25">
                  <c:v>1271</c:v>
                </c:pt>
                <c:pt idx="26">
                  <c:v>1484</c:v>
                </c:pt>
                <c:pt idx="27">
                  <c:v>1372</c:v>
                </c:pt>
                <c:pt idx="28">
                  <c:v>1368</c:v>
                </c:pt>
                <c:pt idx="29">
                  <c:v>1404</c:v>
                </c:pt>
                <c:pt idx="30">
                  <c:v>1370</c:v>
                </c:pt>
                <c:pt idx="31">
                  <c:v>427</c:v>
                </c:pt>
                <c:pt idx="32">
                  <c:v>419</c:v>
                </c:pt>
                <c:pt idx="33">
                  <c:v>409</c:v>
                </c:pt>
                <c:pt idx="34">
                  <c:v>177</c:v>
                </c:pt>
                <c:pt idx="35">
                  <c:v>407</c:v>
                </c:pt>
                <c:pt idx="36">
                  <c:v>375</c:v>
                </c:pt>
                <c:pt idx="37">
                  <c:v>397</c:v>
                </c:pt>
                <c:pt idx="38">
                  <c:v>1250</c:v>
                </c:pt>
                <c:pt idx="39">
                  <c:v>2318</c:v>
                </c:pt>
                <c:pt idx="40">
                  <c:v>1785</c:v>
                </c:pt>
                <c:pt idx="41">
                  <c:v>2588</c:v>
                </c:pt>
                <c:pt idx="42">
                  <c:v>9453</c:v>
                </c:pt>
                <c:pt idx="43">
                  <c:v>14498</c:v>
                </c:pt>
                <c:pt idx="44">
                  <c:v>16086</c:v>
                </c:pt>
                <c:pt idx="45">
                  <c:v>8996</c:v>
                </c:pt>
                <c:pt idx="46">
                  <c:v>6341</c:v>
                </c:pt>
                <c:pt idx="47">
                  <c:v>8103</c:v>
                </c:pt>
                <c:pt idx="48">
                  <c:v>12795</c:v>
                </c:pt>
                <c:pt idx="49">
                  <c:v>12696</c:v>
                </c:pt>
                <c:pt idx="50">
                  <c:v>13514</c:v>
                </c:pt>
                <c:pt idx="51">
                  <c:v>11773</c:v>
                </c:pt>
                <c:pt idx="52">
                  <c:v>10346</c:v>
                </c:pt>
                <c:pt idx="53">
                  <c:v>9171</c:v>
                </c:pt>
                <c:pt idx="54">
                  <c:v>10433</c:v>
                </c:pt>
                <c:pt idx="55">
                  <c:v>9017</c:v>
                </c:pt>
                <c:pt idx="56">
                  <c:v>9218</c:v>
                </c:pt>
                <c:pt idx="57">
                  <c:v>16012</c:v>
                </c:pt>
                <c:pt idx="58">
                  <c:v>13956</c:v>
                </c:pt>
                <c:pt idx="59">
                  <c:v>16014</c:v>
                </c:pt>
                <c:pt idx="60">
                  <c:v>17737</c:v>
                </c:pt>
                <c:pt idx="61">
                  <c:v>14937</c:v>
                </c:pt>
                <c:pt idx="62">
                  <c:v>17490</c:v>
                </c:pt>
                <c:pt idx="63">
                  <c:v>10517</c:v>
                </c:pt>
                <c:pt idx="64">
                  <c:v>9118</c:v>
                </c:pt>
                <c:pt idx="65">
                  <c:v>5828</c:v>
                </c:pt>
                <c:pt idx="66">
                  <c:v>5870</c:v>
                </c:pt>
                <c:pt idx="67">
                  <c:v>6101</c:v>
                </c:pt>
                <c:pt idx="68">
                  <c:v>6179</c:v>
                </c:pt>
                <c:pt idx="69">
                  <c:v>7308</c:v>
                </c:pt>
                <c:pt idx="70">
                  <c:v>7216</c:v>
                </c:pt>
                <c:pt idx="71">
                  <c:v>6751</c:v>
                </c:pt>
                <c:pt idx="72">
                  <c:v>5539</c:v>
                </c:pt>
                <c:pt idx="73">
                  <c:v>12378</c:v>
                </c:pt>
                <c:pt idx="74">
                  <c:v>9871</c:v>
                </c:pt>
                <c:pt idx="75">
                  <c:v>16508</c:v>
                </c:pt>
                <c:pt idx="76">
                  <c:v>12108</c:v>
                </c:pt>
                <c:pt idx="77">
                  <c:v>12394</c:v>
                </c:pt>
                <c:pt idx="78">
                  <c:v>15626</c:v>
                </c:pt>
                <c:pt idx="79">
                  <c:v>14877</c:v>
                </c:pt>
                <c:pt idx="80">
                  <c:v>13702</c:v>
                </c:pt>
                <c:pt idx="81">
                  <c:v>11344</c:v>
                </c:pt>
                <c:pt idx="82">
                  <c:v>12699</c:v>
                </c:pt>
                <c:pt idx="83">
                  <c:v>21038</c:v>
                </c:pt>
                <c:pt idx="84">
                  <c:v>8801</c:v>
                </c:pt>
                <c:pt idx="85">
                  <c:v>15956</c:v>
                </c:pt>
                <c:pt idx="86">
                  <c:v>14922</c:v>
                </c:pt>
                <c:pt idx="87">
                  <c:v>16099</c:v>
                </c:pt>
                <c:pt idx="88">
                  <c:v>16803</c:v>
                </c:pt>
                <c:pt idx="89">
                  <c:v>15227</c:v>
                </c:pt>
                <c:pt idx="90">
                  <c:v>14816</c:v>
                </c:pt>
                <c:pt idx="91">
                  <c:v>11331</c:v>
                </c:pt>
                <c:pt idx="92">
                  <c:v>9920</c:v>
                </c:pt>
                <c:pt idx="93">
                  <c:v>8504</c:v>
                </c:pt>
                <c:pt idx="94">
                  <c:v>7408</c:v>
                </c:pt>
                <c:pt idx="95">
                  <c:v>6199</c:v>
                </c:pt>
                <c:pt idx="96">
                  <c:v>3859</c:v>
                </c:pt>
                <c:pt idx="97">
                  <c:v>5345</c:v>
                </c:pt>
                <c:pt idx="98">
                  <c:v>4712</c:v>
                </c:pt>
                <c:pt idx="99">
                  <c:v>3157</c:v>
                </c:pt>
                <c:pt idx="100">
                  <c:v>3338</c:v>
                </c:pt>
                <c:pt idx="101">
                  <c:v>2957</c:v>
                </c:pt>
                <c:pt idx="102">
                  <c:v>3084</c:v>
                </c:pt>
                <c:pt idx="103">
                  <c:v>2342</c:v>
                </c:pt>
                <c:pt idx="104">
                  <c:v>2219</c:v>
                </c:pt>
                <c:pt idx="105">
                  <c:v>2631</c:v>
                </c:pt>
                <c:pt idx="106">
                  <c:v>2568</c:v>
                </c:pt>
                <c:pt idx="107">
                  <c:v>2198</c:v>
                </c:pt>
                <c:pt idx="108">
                  <c:v>2266</c:v>
                </c:pt>
                <c:pt idx="109">
                  <c:v>1926</c:v>
                </c:pt>
                <c:pt idx="110">
                  <c:v>2211</c:v>
                </c:pt>
                <c:pt idx="111">
                  <c:v>1947</c:v>
                </c:pt>
                <c:pt idx="112">
                  <c:v>2099</c:v>
                </c:pt>
                <c:pt idx="113">
                  <c:v>2013</c:v>
                </c:pt>
                <c:pt idx="114">
                  <c:v>1859</c:v>
                </c:pt>
                <c:pt idx="115">
                  <c:v>1686</c:v>
                </c:pt>
                <c:pt idx="116">
                  <c:v>1399</c:v>
                </c:pt>
                <c:pt idx="117">
                  <c:v>1669</c:v>
                </c:pt>
                <c:pt idx="118">
                  <c:v>1726</c:v>
                </c:pt>
                <c:pt idx="119">
                  <c:v>1395</c:v>
                </c:pt>
                <c:pt idx="120">
                  <c:v>1188</c:v>
                </c:pt>
                <c:pt idx="121">
                  <c:v>722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441344"/>
        <c:axId val="80442880"/>
      </c:areaChart>
      <c:dateAx>
        <c:axId val="804413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80442880"/>
        <c:crosses val="autoZero"/>
        <c:auto val="1"/>
        <c:lblOffset val="100"/>
        <c:baseTimeUnit val="months"/>
      </c:dateAx>
      <c:valAx>
        <c:axId val="8044288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80441344"/>
        <c:crosses val="autoZero"/>
        <c:crossBetween val="midCat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Enhanced Algorithm</a:t>
            </a:r>
          </a:p>
        </c:rich>
      </c:tx>
      <c:overlay val="0"/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Sheet2!$AE$1</c:f>
              <c:strCache>
                <c:ptCount val="1"/>
                <c:pt idx="0">
                  <c:v>N/A       </c:v>
                </c:pt>
              </c:strCache>
            </c:strRef>
          </c:tx>
          <c:cat>
            <c:numRef>
              <c:f>Sheet2!$AD$2:$AD$1600</c:f>
              <c:numCache>
                <c:formatCode>m/d/yyyy</c:formatCode>
                <c:ptCount val="1599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</c:numCache>
            </c:numRef>
          </c:cat>
          <c:val>
            <c:numRef>
              <c:f>Sheet2!$AE$2:$AE$1600</c:f>
              <c:numCache>
                <c:formatCode>General</c:formatCode>
                <c:ptCount val="1599"/>
                <c:pt idx="0">
                  <c:v>1751</c:v>
                </c:pt>
                <c:pt idx="1">
                  <c:v>1713</c:v>
                </c:pt>
                <c:pt idx="2">
                  <c:v>1379</c:v>
                </c:pt>
                <c:pt idx="3">
                  <c:v>1406</c:v>
                </c:pt>
                <c:pt idx="4">
                  <c:v>1954</c:v>
                </c:pt>
                <c:pt idx="5">
                  <c:v>2080</c:v>
                </c:pt>
                <c:pt idx="6">
                  <c:v>2676</c:v>
                </c:pt>
                <c:pt idx="7">
                  <c:v>3211</c:v>
                </c:pt>
                <c:pt idx="8">
                  <c:v>4048</c:v>
                </c:pt>
                <c:pt idx="9">
                  <c:v>7481</c:v>
                </c:pt>
                <c:pt idx="10">
                  <c:v>15991</c:v>
                </c:pt>
                <c:pt idx="11">
                  <c:v>58394</c:v>
                </c:pt>
                <c:pt idx="12">
                  <c:v>96347</c:v>
                </c:pt>
                <c:pt idx="13">
                  <c:v>93070</c:v>
                </c:pt>
                <c:pt idx="14">
                  <c:v>77021</c:v>
                </c:pt>
                <c:pt idx="15">
                  <c:v>86488</c:v>
                </c:pt>
                <c:pt idx="16">
                  <c:v>99743</c:v>
                </c:pt>
                <c:pt idx="17">
                  <c:v>94688</c:v>
                </c:pt>
                <c:pt idx="18">
                  <c:v>102712</c:v>
                </c:pt>
                <c:pt idx="19">
                  <c:v>111389</c:v>
                </c:pt>
                <c:pt idx="20">
                  <c:v>101464</c:v>
                </c:pt>
                <c:pt idx="21">
                  <c:v>102383</c:v>
                </c:pt>
                <c:pt idx="22">
                  <c:v>96093</c:v>
                </c:pt>
                <c:pt idx="23">
                  <c:v>107332</c:v>
                </c:pt>
                <c:pt idx="24">
                  <c:v>98456</c:v>
                </c:pt>
                <c:pt idx="25">
                  <c:v>99305</c:v>
                </c:pt>
                <c:pt idx="26">
                  <c:v>86895</c:v>
                </c:pt>
                <c:pt idx="27">
                  <c:v>93294</c:v>
                </c:pt>
                <c:pt idx="28">
                  <c:v>118081</c:v>
                </c:pt>
                <c:pt idx="29">
                  <c:v>122699</c:v>
                </c:pt>
                <c:pt idx="30">
                  <c:v>125488</c:v>
                </c:pt>
                <c:pt idx="31">
                  <c:v>118350</c:v>
                </c:pt>
                <c:pt idx="32">
                  <c:v>113663</c:v>
                </c:pt>
                <c:pt idx="33">
                  <c:v>110255</c:v>
                </c:pt>
                <c:pt idx="34">
                  <c:v>99633</c:v>
                </c:pt>
                <c:pt idx="35">
                  <c:v>101090</c:v>
                </c:pt>
                <c:pt idx="36">
                  <c:v>88196</c:v>
                </c:pt>
                <c:pt idx="37">
                  <c:v>95942</c:v>
                </c:pt>
                <c:pt idx="38">
                  <c:v>78249</c:v>
                </c:pt>
                <c:pt idx="39">
                  <c:v>99187</c:v>
                </c:pt>
                <c:pt idx="40">
                  <c:v>102401</c:v>
                </c:pt>
                <c:pt idx="41">
                  <c:v>98365</c:v>
                </c:pt>
                <c:pt idx="42">
                  <c:v>81925</c:v>
                </c:pt>
                <c:pt idx="43">
                  <c:v>80739</c:v>
                </c:pt>
                <c:pt idx="44">
                  <c:v>67217</c:v>
                </c:pt>
                <c:pt idx="45">
                  <c:v>45117</c:v>
                </c:pt>
                <c:pt idx="46">
                  <c:v>50694</c:v>
                </c:pt>
                <c:pt idx="47">
                  <c:v>52103</c:v>
                </c:pt>
                <c:pt idx="48">
                  <c:v>32448</c:v>
                </c:pt>
                <c:pt idx="49">
                  <c:v>52470</c:v>
                </c:pt>
                <c:pt idx="50">
                  <c:v>58125</c:v>
                </c:pt>
                <c:pt idx="51">
                  <c:v>72314</c:v>
                </c:pt>
                <c:pt idx="52">
                  <c:v>87478</c:v>
                </c:pt>
                <c:pt idx="53">
                  <c:v>80976</c:v>
                </c:pt>
                <c:pt idx="54">
                  <c:v>82570</c:v>
                </c:pt>
                <c:pt idx="55">
                  <c:v>89410</c:v>
                </c:pt>
                <c:pt idx="56">
                  <c:v>83867</c:v>
                </c:pt>
                <c:pt idx="57">
                  <c:v>62931</c:v>
                </c:pt>
                <c:pt idx="58">
                  <c:v>58846</c:v>
                </c:pt>
                <c:pt idx="59">
                  <c:v>62802</c:v>
                </c:pt>
                <c:pt idx="60">
                  <c:v>60390</c:v>
                </c:pt>
                <c:pt idx="61">
                  <c:v>54738</c:v>
                </c:pt>
                <c:pt idx="62">
                  <c:v>43730</c:v>
                </c:pt>
                <c:pt idx="63">
                  <c:v>42612</c:v>
                </c:pt>
                <c:pt idx="64">
                  <c:v>46375</c:v>
                </c:pt>
                <c:pt idx="65">
                  <c:v>49599</c:v>
                </c:pt>
                <c:pt idx="66">
                  <c:v>51493</c:v>
                </c:pt>
                <c:pt idx="67">
                  <c:v>55048</c:v>
                </c:pt>
                <c:pt idx="68">
                  <c:v>40328</c:v>
                </c:pt>
                <c:pt idx="69">
                  <c:v>41549</c:v>
                </c:pt>
                <c:pt idx="70">
                  <c:v>37450</c:v>
                </c:pt>
                <c:pt idx="71">
                  <c:v>38964</c:v>
                </c:pt>
                <c:pt idx="72">
                  <c:v>36931</c:v>
                </c:pt>
                <c:pt idx="73">
                  <c:v>41383</c:v>
                </c:pt>
                <c:pt idx="74">
                  <c:v>32412</c:v>
                </c:pt>
                <c:pt idx="75">
                  <c:v>22609</c:v>
                </c:pt>
                <c:pt idx="76">
                  <c:v>29809</c:v>
                </c:pt>
                <c:pt idx="77">
                  <c:v>30453</c:v>
                </c:pt>
                <c:pt idx="78">
                  <c:v>31433</c:v>
                </c:pt>
                <c:pt idx="79">
                  <c:v>41640</c:v>
                </c:pt>
                <c:pt idx="80">
                  <c:v>37088</c:v>
                </c:pt>
                <c:pt idx="81">
                  <c:v>36313</c:v>
                </c:pt>
                <c:pt idx="82">
                  <c:v>32247</c:v>
                </c:pt>
                <c:pt idx="83">
                  <c:v>24462</c:v>
                </c:pt>
                <c:pt idx="84">
                  <c:v>25527</c:v>
                </c:pt>
                <c:pt idx="85">
                  <c:v>30765</c:v>
                </c:pt>
                <c:pt idx="86">
                  <c:v>21029</c:v>
                </c:pt>
                <c:pt idx="87">
                  <c:v>20238</c:v>
                </c:pt>
                <c:pt idx="88">
                  <c:v>24408</c:v>
                </c:pt>
                <c:pt idx="89">
                  <c:v>32500</c:v>
                </c:pt>
                <c:pt idx="90">
                  <c:v>40914</c:v>
                </c:pt>
                <c:pt idx="91">
                  <c:v>40188</c:v>
                </c:pt>
                <c:pt idx="92">
                  <c:v>43003</c:v>
                </c:pt>
                <c:pt idx="93">
                  <c:v>47014</c:v>
                </c:pt>
                <c:pt idx="94">
                  <c:v>49817</c:v>
                </c:pt>
                <c:pt idx="95">
                  <c:v>49997</c:v>
                </c:pt>
                <c:pt idx="96">
                  <c:v>39735</c:v>
                </c:pt>
                <c:pt idx="97">
                  <c:v>44263</c:v>
                </c:pt>
                <c:pt idx="98">
                  <c:v>42586</c:v>
                </c:pt>
                <c:pt idx="99">
                  <c:v>46377</c:v>
                </c:pt>
                <c:pt idx="100">
                  <c:v>47960</c:v>
                </c:pt>
                <c:pt idx="101">
                  <c:v>48520</c:v>
                </c:pt>
                <c:pt idx="102">
                  <c:v>62247</c:v>
                </c:pt>
                <c:pt idx="103">
                  <c:v>60521</c:v>
                </c:pt>
                <c:pt idx="104">
                  <c:v>56082</c:v>
                </c:pt>
                <c:pt idx="105">
                  <c:v>49157</c:v>
                </c:pt>
                <c:pt idx="106">
                  <c:v>41646</c:v>
                </c:pt>
                <c:pt idx="107">
                  <c:v>45669</c:v>
                </c:pt>
                <c:pt idx="108">
                  <c:v>45740</c:v>
                </c:pt>
                <c:pt idx="109">
                  <c:v>48083</c:v>
                </c:pt>
                <c:pt idx="110">
                  <c:v>32180</c:v>
                </c:pt>
                <c:pt idx="111">
                  <c:v>34462</c:v>
                </c:pt>
                <c:pt idx="112">
                  <c:v>46337</c:v>
                </c:pt>
                <c:pt idx="113">
                  <c:v>49505</c:v>
                </c:pt>
                <c:pt idx="114">
                  <c:v>55296</c:v>
                </c:pt>
                <c:pt idx="115">
                  <c:v>65987</c:v>
                </c:pt>
                <c:pt idx="116">
                  <c:v>67292</c:v>
                </c:pt>
                <c:pt idx="117">
                  <c:v>63700</c:v>
                </c:pt>
                <c:pt idx="118">
                  <c:v>59685</c:v>
                </c:pt>
                <c:pt idx="119">
                  <c:v>54341</c:v>
                </c:pt>
                <c:pt idx="120">
                  <c:v>47249</c:v>
                </c:pt>
                <c:pt idx="121">
                  <c:v>50077</c:v>
                </c:pt>
                <c:pt idx="122">
                  <c:v>39430</c:v>
                </c:pt>
                <c:pt idx="123">
                  <c:v>45765</c:v>
                </c:pt>
                <c:pt idx="124">
                  <c:v>63287</c:v>
                </c:pt>
                <c:pt idx="125">
                  <c:v>66830</c:v>
                </c:pt>
                <c:pt idx="126">
                  <c:v>70152</c:v>
                </c:pt>
                <c:pt idx="127">
                  <c:v>73089</c:v>
                </c:pt>
                <c:pt idx="128">
                  <c:v>71662</c:v>
                </c:pt>
                <c:pt idx="129">
                  <c:v>69102</c:v>
                </c:pt>
                <c:pt idx="130">
                  <c:v>65190</c:v>
                </c:pt>
                <c:pt idx="131">
                  <c:v>61618</c:v>
                </c:pt>
                <c:pt idx="132">
                  <c:v>43151</c:v>
                </c:pt>
                <c:pt idx="133">
                  <c:v>21694</c:v>
                </c:pt>
                <c:pt idx="134">
                  <c:v>26</c:v>
                </c:pt>
              </c:numCache>
            </c:numRef>
          </c:val>
        </c:ser>
        <c:ser>
          <c:idx val="1"/>
          <c:order val="1"/>
          <c:tx>
            <c:strRef>
              <c:f>Sheet2!$AF$1</c:f>
              <c:strCache>
                <c:ptCount val="1"/>
                <c:pt idx="0">
                  <c:v>&lt; 2009-06 </c:v>
                </c:pt>
              </c:strCache>
            </c:strRef>
          </c:tx>
          <c:cat>
            <c:numRef>
              <c:f>Sheet2!$AD$2:$AD$1600</c:f>
              <c:numCache>
                <c:formatCode>m/d/yyyy</c:formatCode>
                <c:ptCount val="1599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</c:numCache>
            </c:numRef>
          </c:cat>
          <c:val>
            <c:numRef>
              <c:f>Sheet2!$AF$2:$AF$1600</c:f>
              <c:numCache>
                <c:formatCode>General</c:formatCode>
                <c:ptCount val="1599"/>
                <c:pt idx="0">
                  <c:v>226</c:v>
                </c:pt>
                <c:pt idx="1">
                  <c:v>237</c:v>
                </c:pt>
                <c:pt idx="2">
                  <c:v>165</c:v>
                </c:pt>
                <c:pt idx="3">
                  <c:v>248</c:v>
                </c:pt>
                <c:pt idx="4">
                  <c:v>357</c:v>
                </c:pt>
                <c:pt idx="5">
                  <c:v>256</c:v>
                </c:pt>
                <c:pt idx="6">
                  <c:v>314</c:v>
                </c:pt>
                <c:pt idx="7">
                  <c:v>372</c:v>
                </c:pt>
                <c:pt idx="8">
                  <c:v>617</c:v>
                </c:pt>
                <c:pt idx="9">
                  <c:v>996</c:v>
                </c:pt>
                <c:pt idx="10">
                  <c:v>2199</c:v>
                </c:pt>
                <c:pt idx="11">
                  <c:v>9660</c:v>
                </c:pt>
                <c:pt idx="12">
                  <c:v>14686</c:v>
                </c:pt>
                <c:pt idx="13">
                  <c:v>13545</c:v>
                </c:pt>
                <c:pt idx="14">
                  <c:v>12671</c:v>
                </c:pt>
                <c:pt idx="15">
                  <c:v>13588</c:v>
                </c:pt>
                <c:pt idx="16">
                  <c:v>13902</c:v>
                </c:pt>
                <c:pt idx="17">
                  <c:v>12297</c:v>
                </c:pt>
                <c:pt idx="18">
                  <c:v>11912</c:v>
                </c:pt>
                <c:pt idx="19">
                  <c:v>11212</c:v>
                </c:pt>
                <c:pt idx="20">
                  <c:v>10662</c:v>
                </c:pt>
                <c:pt idx="21">
                  <c:v>11537</c:v>
                </c:pt>
                <c:pt idx="22">
                  <c:v>12948</c:v>
                </c:pt>
                <c:pt idx="23">
                  <c:v>17880</c:v>
                </c:pt>
                <c:pt idx="24">
                  <c:v>17232</c:v>
                </c:pt>
                <c:pt idx="25">
                  <c:v>21209</c:v>
                </c:pt>
                <c:pt idx="26">
                  <c:v>20923</c:v>
                </c:pt>
                <c:pt idx="27">
                  <c:v>18017</c:v>
                </c:pt>
                <c:pt idx="28">
                  <c:v>22875</c:v>
                </c:pt>
                <c:pt idx="29">
                  <c:v>24801</c:v>
                </c:pt>
                <c:pt idx="30">
                  <c:v>21810</c:v>
                </c:pt>
                <c:pt idx="31">
                  <c:v>17435</c:v>
                </c:pt>
                <c:pt idx="32">
                  <c:v>15467</c:v>
                </c:pt>
                <c:pt idx="33">
                  <c:v>15255</c:v>
                </c:pt>
                <c:pt idx="34">
                  <c:v>18097</c:v>
                </c:pt>
                <c:pt idx="35">
                  <c:v>21973</c:v>
                </c:pt>
                <c:pt idx="36">
                  <c:v>20897</c:v>
                </c:pt>
                <c:pt idx="37">
                  <c:v>30555</c:v>
                </c:pt>
                <c:pt idx="38">
                  <c:v>34268</c:v>
                </c:pt>
                <c:pt idx="39">
                  <c:v>60058</c:v>
                </c:pt>
                <c:pt idx="40">
                  <c:v>41596</c:v>
                </c:pt>
                <c:pt idx="41">
                  <c:v>38213</c:v>
                </c:pt>
                <c:pt idx="42">
                  <c:v>23471</c:v>
                </c:pt>
                <c:pt idx="43">
                  <c:v>17448</c:v>
                </c:pt>
                <c:pt idx="44">
                  <c:v>11582</c:v>
                </c:pt>
                <c:pt idx="45">
                  <c:v>7202</c:v>
                </c:pt>
                <c:pt idx="46">
                  <c:v>10585</c:v>
                </c:pt>
                <c:pt idx="47">
                  <c:v>15821</c:v>
                </c:pt>
                <c:pt idx="48">
                  <c:v>7542</c:v>
                </c:pt>
                <c:pt idx="49">
                  <c:v>32323</c:v>
                </c:pt>
                <c:pt idx="50">
                  <c:v>81505</c:v>
                </c:pt>
                <c:pt idx="51">
                  <c:v>104826</c:v>
                </c:pt>
                <c:pt idx="52">
                  <c:v>108692</c:v>
                </c:pt>
              </c:numCache>
            </c:numRef>
          </c:val>
        </c:ser>
        <c:ser>
          <c:idx val="2"/>
          <c:order val="2"/>
          <c:tx>
            <c:strRef>
              <c:f>Sheet2!$AG$1</c:f>
              <c:strCache>
                <c:ptCount val="1"/>
                <c:pt idx="0">
                  <c:v>NON-HARPed</c:v>
                </c:pt>
              </c:strCache>
            </c:strRef>
          </c:tx>
          <c:cat>
            <c:numRef>
              <c:f>Sheet2!$AD$2:$AD$1600</c:f>
              <c:numCache>
                <c:formatCode>m/d/yyyy</c:formatCode>
                <c:ptCount val="1599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</c:numCache>
            </c:numRef>
          </c:cat>
          <c:val>
            <c:numRef>
              <c:f>Sheet2!$AG$2:$AG$1600</c:f>
              <c:numCache>
                <c:formatCode>General</c:formatCode>
                <c:ptCount val="1599"/>
                <c:pt idx="53">
                  <c:v>94312</c:v>
                </c:pt>
                <c:pt idx="54">
                  <c:v>90531</c:v>
                </c:pt>
                <c:pt idx="55">
                  <c:v>71783</c:v>
                </c:pt>
                <c:pt idx="56">
                  <c:v>45076</c:v>
                </c:pt>
                <c:pt idx="57">
                  <c:v>24616</c:v>
                </c:pt>
                <c:pt idx="58">
                  <c:v>20958</c:v>
                </c:pt>
                <c:pt idx="59">
                  <c:v>26484</c:v>
                </c:pt>
                <c:pt idx="60">
                  <c:v>27562</c:v>
                </c:pt>
                <c:pt idx="61">
                  <c:v>29806</c:v>
                </c:pt>
                <c:pt idx="62">
                  <c:v>25134</c:v>
                </c:pt>
                <c:pt idx="63">
                  <c:v>17800</c:v>
                </c:pt>
                <c:pt idx="64">
                  <c:v>16829</c:v>
                </c:pt>
                <c:pt idx="65">
                  <c:v>14699</c:v>
                </c:pt>
                <c:pt idx="66">
                  <c:v>11907</c:v>
                </c:pt>
                <c:pt idx="67">
                  <c:v>16456</c:v>
                </c:pt>
                <c:pt idx="68">
                  <c:v>22322</c:v>
                </c:pt>
                <c:pt idx="69">
                  <c:v>30002</c:v>
                </c:pt>
                <c:pt idx="70">
                  <c:v>30869</c:v>
                </c:pt>
                <c:pt idx="71">
                  <c:v>34888</c:v>
                </c:pt>
                <c:pt idx="72">
                  <c:v>33215</c:v>
                </c:pt>
                <c:pt idx="73">
                  <c:v>30768</c:v>
                </c:pt>
                <c:pt idx="74">
                  <c:v>20081</c:v>
                </c:pt>
                <c:pt idx="75">
                  <c:v>10793</c:v>
                </c:pt>
                <c:pt idx="76">
                  <c:v>9553</c:v>
                </c:pt>
                <c:pt idx="77">
                  <c:v>7592</c:v>
                </c:pt>
                <c:pt idx="78">
                  <c:v>6380</c:v>
                </c:pt>
                <c:pt idx="79">
                  <c:v>8952</c:v>
                </c:pt>
                <c:pt idx="80">
                  <c:v>9875</c:v>
                </c:pt>
                <c:pt idx="81">
                  <c:v>11433</c:v>
                </c:pt>
                <c:pt idx="82">
                  <c:v>22206</c:v>
                </c:pt>
                <c:pt idx="83">
                  <c:v>21822</c:v>
                </c:pt>
                <c:pt idx="84">
                  <c:v>22762</c:v>
                </c:pt>
                <c:pt idx="85">
                  <c:v>25465</c:v>
                </c:pt>
                <c:pt idx="86">
                  <c:v>22392</c:v>
                </c:pt>
                <c:pt idx="87">
                  <c:v>22169</c:v>
                </c:pt>
                <c:pt idx="88">
                  <c:v>21904</c:v>
                </c:pt>
                <c:pt idx="89">
                  <c:v>18591</c:v>
                </c:pt>
                <c:pt idx="90">
                  <c:v>20169</c:v>
                </c:pt>
                <c:pt idx="91">
                  <c:v>20467</c:v>
                </c:pt>
                <c:pt idx="92">
                  <c:v>25359</c:v>
                </c:pt>
                <c:pt idx="93">
                  <c:v>33904</c:v>
                </c:pt>
                <c:pt idx="94">
                  <c:v>40037</c:v>
                </c:pt>
                <c:pt idx="95">
                  <c:v>40485</c:v>
                </c:pt>
                <c:pt idx="96">
                  <c:v>36497</c:v>
                </c:pt>
                <c:pt idx="97">
                  <c:v>41281</c:v>
                </c:pt>
                <c:pt idx="98">
                  <c:v>45862</c:v>
                </c:pt>
                <c:pt idx="99">
                  <c:v>40421</c:v>
                </c:pt>
                <c:pt idx="100">
                  <c:v>30711</c:v>
                </c:pt>
                <c:pt idx="101">
                  <c:v>26806</c:v>
                </c:pt>
                <c:pt idx="102">
                  <c:v>32722</c:v>
                </c:pt>
                <c:pt idx="103">
                  <c:v>27485</c:v>
                </c:pt>
                <c:pt idx="104">
                  <c:v>19112</c:v>
                </c:pt>
                <c:pt idx="105">
                  <c:v>11604</c:v>
                </c:pt>
                <c:pt idx="106">
                  <c:v>7900</c:v>
                </c:pt>
                <c:pt idx="107">
                  <c:v>8033</c:v>
                </c:pt>
                <c:pt idx="108">
                  <c:v>9674</c:v>
                </c:pt>
                <c:pt idx="109">
                  <c:v>9770</c:v>
                </c:pt>
                <c:pt idx="110">
                  <c:v>6588</c:v>
                </c:pt>
                <c:pt idx="111">
                  <c:v>9473</c:v>
                </c:pt>
                <c:pt idx="112">
                  <c:v>11593</c:v>
                </c:pt>
                <c:pt idx="113">
                  <c:v>11234</c:v>
                </c:pt>
                <c:pt idx="114">
                  <c:v>10540</c:v>
                </c:pt>
                <c:pt idx="115">
                  <c:v>13459</c:v>
                </c:pt>
                <c:pt idx="116">
                  <c:v>14181</c:v>
                </c:pt>
                <c:pt idx="117">
                  <c:v>14351</c:v>
                </c:pt>
                <c:pt idx="118">
                  <c:v>15344</c:v>
                </c:pt>
                <c:pt idx="119">
                  <c:v>15891</c:v>
                </c:pt>
                <c:pt idx="120">
                  <c:v>19500</c:v>
                </c:pt>
                <c:pt idx="121">
                  <c:v>18810</c:v>
                </c:pt>
                <c:pt idx="122">
                  <c:v>22277</c:v>
                </c:pt>
                <c:pt idx="123">
                  <c:v>33106</c:v>
                </c:pt>
                <c:pt idx="124">
                  <c:v>37447</c:v>
                </c:pt>
                <c:pt idx="125">
                  <c:v>28536</c:v>
                </c:pt>
                <c:pt idx="126">
                  <c:v>24520</c:v>
                </c:pt>
                <c:pt idx="127">
                  <c:v>19762</c:v>
                </c:pt>
                <c:pt idx="128">
                  <c:v>15711</c:v>
                </c:pt>
                <c:pt idx="129">
                  <c:v>15047</c:v>
                </c:pt>
                <c:pt idx="130">
                  <c:v>16140</c:v>
                </c:pt>
                <c:pt idx="131">
                  <c:v>17122</c:v>
                </c:pt>
                <c:pt idx="132">
                  <c:v>13678</c:v>
                </c:pt>
                <c:pt idx="133">
                  <c:v>5279</c:v>
                </c:pt>
                <c:pt idx="134">
                  <c:v>15</c:v>
                </c:pt>
              </c:numCache>
            </c:numRef>
          </c:val>
        </c:ser>
        <c:ser>
          <c:idx val="3"/>
          <c:order val="3"/>
          <c:tx>
            <c:strRef>
              <c:f>Sheet2!$AH$1</c:f>
              <c:strCache>
                <c:ptCount val="1"/>
                <c:pt idx="0">
                  <c:v>HARPed    </c:v>
                </c:pt>
              </c:strCache>
            </c:strRef>
          </c:tx>
          <c:cat>
            <c:numRef>
              <c:f>Sheet2!$AD$2:$AD$1600</c:f>
              <c:numCache>
                <c:formatCode>m/d/yyyy</c:formatCode>
                <c:ptCount val="1599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</c:numCache>
            </c:numRef>
          </c:cat>
          <c:val>
            <c:numRef>
              <c:f>Sheet2!$AH$2:$AH$1600</c:f>
              <c:numCache>
                <c:formatCode>General</c:formatCode>
                <c:ptCount val="1599"/>
                <c:pt idx="53">
                  <c:v>10383</c:v>
                </c:pt>
                <c:pt idx="54">
                  <c:v>16311</c:v>
                </c:pt>
                <c:pt idx="55">
                  <c:v>25480</c:v>
                </c:pt>
                <c:pt idx="56">
                  <c:v>22620</c:v>
                </c:pt>
                <c:pt idx="57">
                  <c:v>16406</c:v>
                </c:pt>
                <c:pt idx="58">
                  <c:v>13051</c:v>
                </c:pt>
                <c:pt idx="59">
                  <c:v>18179</c:v>
                </c:pt>
                <c:pt idx="60">
                  <c:v>23590</c:v>
                </c:pt>
                <c:pt idx="61">
                  <c:v>26564</c:v>
                </c:pt>
                <c:pt idx="62">
                  <c:v>24648</c:v>
                </c:pt>
                <c:pt idx="63">
                  <c:v>17440</c:v>
                </c:pt>
                <c:pt idx="64">
                  <c:v>21045</c:v>
                </c:pt>
                <c:pt idx="65">
                  <c:v>19445</c:v>
                </c:pt>
                <c:pt idx="66">
                  <c:v>15205</c:v>
                </c:pt>
                <c:pt idx="67">
                  <c:v>21345</c:v>
                </c:pt>
                <c:pt idx="68">
                  <c:v>28168</c:v>
                </c:pt>
                <c:pt idx="69">
                  <c:v>33340</c:v>
                </c:pt>
                <c:pt idx="70">
                  <c:v>38106</c:v>
                </c:pt>
                <c:pt idx="71">
                  <c:v>43237</c:v>
                </c:pt>
                <c:pt idx="72">
                  <c:v>44477</c:v>
                </c:pt>
                <c:pt idx="73">
                  <c:v>37322</c:v>
                </c:pt>
                <c:pt idx="74">
                  <c:v>32289</c:v>
                </c:pt>
                <c:pt idx="75">
                  <c:v>21224</c:v>
                </c:pt>
                <c:pt idx="76">
                  <c:v>14491</c:v>
                </c:pt>
                <c:pt idx="77">
                  <c:v>13261</c:v>
                </c:pt>
                <c:pt idx="78">
                  <c:v>11117</c:v>
                </c:pt>
                <c:pt idx="79">
                  <c:v>12492</c:v>
                </c:pt>
                <c:pt idx="80">
                  <c:v>14123</c:v>
                </c:pt>
                <c:pt idx="81">
                  <c:v>14084</c:v>
                </c:pt>
                <c:pt idx="82">
                  <c:v>17551</c:v>
                </c:pt>
                <c:pt idx="83">
                  <c:v>20154</c:v>
                </c:pt>
                <c:pt idx="84">
                  <c:v>21857</c:v>
                </c:pt>
                <c:pt idx="85">
                  <c:v>18923</c:v>
                </c:pt>
                <c:pt idx="86">
                  <c:v>20650</c:v>
                </c:pt>
                <c:pt idx="87">
                  <c:v>23750</c:v>
                </c:pt>
                <c:pt idx="88">
                  <c:v>22147</c:v>
                </c:pt>
                <c:pt idx="89">
                  <c:v>20132</c:v>
                </c:pt>
                <c:pt idx="90">
                  <c:v>20818</c:v>
                </c:pt>
                <c:pt idx="91">
                  <c:v>21157</c:v>
                </c:pt>
                <c:pt idx="92">
                  <c:v>23362</c:v>
                </c:pt>
                <c:pt idx="93">
                  <c:v>24936</c:v>
                </c:pt>
                <c:pt idx="94">
                  <c:v>26328</c:v>
                </c:pt>
                <c:pt idx="95">
                  <c:v>29752</c:v>
                </c:pt>
                <c:pt idx="96">
                  <c:v>26820</c:v>
                </c:pt>
                <c:pt idx="97">
                  <c:v>27439</c:v>
                </c:pt>
                <c:pt idx="98">
                  <c:v>29625</c:v>
                </c:pt>
                <c:pt idx="99">
                  <c:v>29886</c:v>
                </c:pt>
                <c:pt idx="100">
                  <c:v>30220</c:v>
                </c:pt>
                <c:pt idx="101">
                  <c:v>28244</c:v>
                </c:pt>
                <c:pt idx="102">
                  <c:v>26787</c:v>
                </c:pt>
                <c:pt idx="103">
                  <c:v>23013</c:v>
                </c:pt>
                <c:pt idx="104">
                  <c:v>20541</c:v>
                </c:pt>
                <c:pt idx="105">
                  <c:v>15993</c:v>
                </c:pt>
                <c:pt idx="106">
                  <c:v>12082</c:v>
                </c:pt>
                <c:pt idx="107">
                  <c:v>10922</c:v>
                </c:pt>
                <c:pt idx="108">
                  <c:v>9751</c:v>
                </c:pt>
                <c:pt idx="109">
                  <c:v>9671</c:v>
                </c:pt>
                <c:pt idx="110">
                  <c:v>8095</c:v>
                </c:pt>
                <c:pt idx="111">
                  <c:v>3315</c:v>
                </c:pt>
                <c:pt idx="112">
                  <c:v>3393</c:v>
                </c:pt>
                <c:pt idx="113">
                  <c:v>3248</c:v>
                </c:pt>
                <c:pt idx="114">
                  <c:v>2784</c:v>
                </c:pt>
                <c:pt idx="115">
                  <c:v>2417</c:v>
                </c:pt>
                <c:pt idx="116">
                  <c:v>2312</c:v>
                </c:pt>
                <c:pt idx="117">
                  <c:v>2380</c:v>
                </c:pt>
                <c:pt idx="118">
                  <c:v>2381</c:v>
                </c:pt>
                <c:pt idx="119">
                  <c:v>2277</c:v>
                </c:pt>
                <c:pt idx="120">
                  <c:v>1975</c:v>
                </c:pt>
                <c:pt idx="121">
                  <c:v>2128</c:v>
                </c:pt>
                <c:pt idx="122">
                  <c:v>1852</c:v>
                </c:pt>
                <c:pt idx="123">
                  <c:v>1910</c:v>
                </c:pt>
                <c:pt idx="124">
                  <c:v>2169</c:v>
                </c:pt>
                <c:pt idx="125">
                  <c:v>2004</c:v>
                </c:pt>
                <c:pt idx="126">
                  <c:v>1721</c:v>
                </c:pt>
                <c:pt idx="127">
                  <c:v>1641</c:v>
                </c:pt>
                <c:pt idx="128">
                  <c:v>1471</c:v>
                </c:pt>
                <c:pt idx="129">
                  <c:v>1498</c:v>
                </c:pt>
                <c:pt idx="130">
                  <c:v>1452</c:v>
                </c:pt>
                <c:pt idx="131">
                  <c:v>1357</c:v>
                </c:pt>
                <c:pt idx="132">
                  <c:v>961</c:v>
                </c:pt>
                <c:pt idx="133">
                  <c:v>434</c:v>
                </c:pt>
                <c:pt idx="134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605440"/>
        <c:axId val="194607360"/>
      </c:areaChart>
      <c:dateAx>
        <c:axId val="1946054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94607360"/>
        <c:crosses val="autoZero"/>
        <c:auto val="1"/>
        <c:lblOffset val="100"/>
        <c:baseTimeUnit val="months"/>
      </c:dateAx>
      <c:valAx>
        <c:axId val="19460736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194605440"/>
        <c:crosses val="autoZero"/>
        <c:crossBetween val="midCat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Cridet Data Mapping Algorithm</a:t>
            </a:r>
          </a:p>
        </c:rich>
      </c:tx>
      <c:overlay val="0"/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N/A</c:v>
                </c:pt>
              </c:strCache>
            </c:strRef>
          </c:tx>
          <c:cat>
            <c:numRef>
              <c:f>Sheet2!$A$2:$A$1600</c:f>
              <c:numCache>
                <c:formatCode>m/d/yyyy</c:formatCode>
                <c:ptCount val="1599"/>
                <c:pt idx="0">
                  <c:v>38687</c:v>
                </c:pt>
                <c:pt idx="1">
                  <c:v>38718</c:v>
                </c:pt>
                <c:pt idx="2">
                  <c:v>38749</c:v>
                </c:pt>
                <c:pt idx="3">
                  <c:v>38777</c:v>
                </c:pt>
                <c:pt idx="4">
                  <c:v>38808</c:v>
                </c:pt>
                <c:pt idx="5">
                  <c:v>38838</c:v>
                </c:pt>
                <c:pt idx="6">
                  <c:v>38869</c:v>
                </c:pt>
                <c:pt idx="7">
                  <c:v>38899</c:v>
                </c:pt>
                <c:pt idx="8">
                  <c:v>38930</c:v>
                </c:pt>
                <c:pt idx="9">
                  <c:v>38961</c:v>
                </c:pt>
                <c:pt idx="10">
                  <c:v>38991</c:v>
                </c:pt>
                <c:pt idx="11">
                  <c:v>39022</c:v>
                </c:pt>
                <c:pt idx="12">
                  <c:v>39052</c:v>
                </c:pt>
                <c:pt idx="13">
                  <c:v>39083</c:v>
                </c:pt>
                <c:pt idx="14">
                  <c:v>39114</c:v>
                </c:pt>
                <c:pt idx="15">
                  <c:v>39142</c:v>
                </c:pt>
                <c:pt idx="16">
                  <c:v>39173</c:v>
                </c:pt>
                <c:pt idx="17">
                  <c:v>39203</c:v>
                </c:pt>
                <c:pt idx="18">
                  <c:v>39234</c:v>
                </c:pt>
                <c:pt idx="19">
                  <c:v>39264</c:v>
                </c:pt>
                <c:pt idx="20">
                  <c:v>39295</c:v>
                </c:pt>
                <c:pt idx="21">
                  <c:v>39326</c:v>
                </c:pt>
                <c:pt idx="22">
                  <c:v>39356</c:v>
                </c:pt>
                <c:pt idx="23">
                  <c:v>39387</c:v>
                </c:pt>
                <c:pt idx="24">
                  <c:v>39417</c:v>
                </c:pt>
                <c:pt idx="25">
                  <c:v>39448</c:v>
                </c:pt>
                <c:pt idx="26">
                  <c:v>39479</c:v>
                </c:pt>
                <c:pt idx="27">
                  <c:v>39508</c:v>
                </c:pt>
                <c:pt idx="28">
                  <c:v>39539</c:v>
                </c:pt>
                <c:pt idx="29">
                  <c:v>39569</c:v>
                </c:pt>
                <c:pt idx="30">
                  <c:v>39600</c:v>
                </c:pt>
                <c:pt idx="31">
                  <c:v>39630</c:v>
                </c:pt>
                <c:pt idx="32">
                  <c:v>39661</c:v>
                </c:pt>
                <c:pt idx="33">
                  <c:v>39692</c:v>
                </c:pt>
                <c:pt idx="34">
                  <c:v>39722</c:v>
                </c:pt>
                <c:pt idx="35">
                  <c:v>39753</c:v>
                </c:pt>
                <c:pt idx="36">
                  <c:v>39783</c:v>
                </c:pt>
                <c:pt idx="37">
                  <c:v>39814</c:v>
                </c:pt>
                <c:pt idx="38">
                  <c:v>39845</c:v>
                </c:pt>
                <c:pt idx="39">
                  <c:v>39873</c:v>
                </c:pt>
                <c:pt idx="40">
                  <c:v>39904</c:v>
                </c:pt>
                <c:pt idx="41">
                  <c:v>39934</c:v>
                </c:pt>
                <c:pt idx="42">
                  <c:v>39965</c:v>
                </c:pt>
                <c:pt idx="43">
                  <c:v>39995</c:v>
                </c:pt>
                <c:pt idx="44">
                  <c:v>40026</c:v>
                </c:pt>
                <c:pt idx="45">
                  <c:v>40057</c:v>
                </c:pt>
                <c:pt idx="46">
                  <c:v>40087</c:v>
                </c:pt>
                <c:pt idx="47">
                  <c:v>40118</c:v>
                </c:pt>
                <c:pt idx="48">
                  <c:v>40148</c:v>
                </c:pt>
                <c:pt idx="49">
                  <c:v>40179</c:v>
                </c:pt>
                <c:pt idx="50">
                  <c:v>40210</c:v>
                </c:pt>
                <c:pt idx="51">
                  <c:v>40238</c:v>
                </c:pt>
                <c:pt idx="52">
                  <c:v>40269</c:v>
                </c:pt>
                <c:pt idx="53">
                  <c:v>40299</c:v>
                </c:pt>
                <c:pt idx="54">
                  <c:v>40330</c:v>
                </c:pt>
                <c:pt idx="55">
                  <c:v>40360</c:v>
                </c:pt>
                <c:pt idx="56">
                  <c:v>40391</c:v>
                </c:pt>
                <c:pt idx="57">
                  <c:v>40422</c:v>
                </c:pt>
                <c:pt idx="58">
                  <c:v>40452</c:v>
                </c:pt>
                <c:pt idx="59">
                  <c:v>40483</c:v>
                </c:pt>
                <c:pt idx="60">
                  <c:v>40513</c:v>
                </c:pt>
                <c:pt idx="61">
                  <c:v>40544</c:v>
                </c:pt>
                <c:pt idx="62">
                  <c:v>40575</c:v>
                </c:pt>
                <c:pt idx="63">
                  <c:v>40603</c:v>
                </c:pt>
                <c:pt idx="64">
                  <c:v>40634</c:v>
                </c:pt>
                <c:pt idx="65">
                  <c:v>40664</c:v>
                </c:pt>
                <c:pt idx="66">
                  <c:v>40695</c:v>
                </c:pt>
                <c:pt idx="67">
                  <c:v>40725</c:v>
                </c:pt>
                <c:pt idx="68">
                  <c:v>40756</c:v>
                </c:pt>
                <c:pt idx="69">
                  <c:v>40787</c:v>
                </c:pt>
                <c:pt idx="70">
                  <c:v>40817</c:v>
                </c:pt>
                <c:pt idx="71">
                  <c:v>40848</c:v>
                </c:pt>
                <c:pt idx="72">
                  <c:v>40878</c:v>
                </c:pt>
                <c:pt idx="73">
                  <c:v>40909</c:v>
                </c:pt>
                <c:pt idx="74">
                  <c:v>40940</c:v>
                </c:pt>
                <c:pt idx="75">
                  <c:v>40969</c:v>
                </c:pt>
                <c:pt idx="76">
                  <c:v>41000</c:v>
                </c:pt>
                <c:pt idx="77">
                  <c:v>41030</c:v>
                </c:pt>
                <c:pt idx="78">
                  <c:v>41061</c:v>
                </c:pt>
                <c:pt idx="79">
                  <c:v>41091</c:v>
                </c:pt>
                <c:pt idx="80">
                  <c:v>41122</c:v>
                </c:pt>
                <c:pt idx="81">
                  <c:v>41153</c:v>
                </c:pt>
                <c:pt idx="82">
                  <c:v>41183</c:v>
                </c:pt>
                <c:pt idx="83">
                  <c:v>41214</c:v>
                </c:pt>
                <c:pt idx="84">
                  <c:v>41244</c:v>
                </c:pt>
                <c:pt idx="85">
                  <c:v>41275</c:v>
                </c:pt>
                <c:pt idx="86">
                  <c:v>41306</c:v>
                </c:pt>
                <c:pt idx="87">
                  <c:v>41334</c:v>
                </c:pt>
                <c:pt idx="88">
                  <c:v>41365</c:v>
                </c:pt>
                <c:pt idx="89">
                  <c:v>41395</c:v>
                </c:pt>
                <c:pt idx="90">
                  <c:v>41426</c:v>
                </c:pt>
                <c:pt idx="91">
                  <c:v>41456</c:v>
                </c:pt>
                <c:pt idx="92">
                  <c:v>41487</c:v>
                </c:pt>
                <c:pt idx="93">
                  <c:v>41518</c:v>
                </c:pt>
                <c:pt idx="94">
                  <c:v>41548</c:v>
                </c:pt>
                <c:pt idx="95">
                  <c:v>41579</c:v>
                </c:pt>
                <c:pt idx="96">
                  <c:v>41609</c:v>
                </c:pt>
                <c:pt idx="97">
                  <c:v>41640</c:v>
                </c:pt>
                <c:pt idx="98">
                  <c:v>41671</c:v>
                </c:pt>
                <c:pt idx="99">
                  <c:v>41699</c:v>
                </c:pt>
                <c:pt idx="100">
                  <c:v>41730</c:v>
                </c:pt>
                <c:pt idx="101">
                  <c:v>41760</c:v>
                </c:pt>
                <c:pt idx="102">
                  <c:v>41791</c:v>
                </c:pt>
                <c:pt idx="103">
                  <c:v>41821</c:v>
                </c:pt>
                <c:pt idx="104">
                  <c:v>41852</c:v>
                </c:pt>
                <c:pt idx="105">
                  <c:v>41883</c:v>
                </c:pt>
                <c:pt idx="106">
                  <c:v>41913</c:v>
                </c:pt>
                <c:pt idx="107">
                  <c:v>41944</c:v>
                </c:pt>
                <c:pt idx="108">
                  <c:v>41974</c:v>
                </c:pt>
                <c:pt idx="109">
                  <c:v>42005</c:v>
                </c:pt>
                <c:pt idx="110">
                  <c:v>42036</c:v>
                </c:pt>
                <c:pt idx="111">
                  <c:v>42064</c:v>
                </c:pt>
                <c:pt idx="112">
                  <c:v>42095</c:v>
                </c:pt>
                <c:pt idx="113">
                  <c:v>42125</c:v>
                </c:pt>
                <c:pt idx="114">
                  <c:v>42156</c:v>
                </c:pt>
                <c:pt idx="115">
                  <c:v>42186</c:v>
                </c:pt>
                <c:pt idx="116">
                  <c:v>42217</c:v>
                </c:pt>
                <c:pt idx="117">
                  <c:v>42248</c:v>
                </c:pt>
                <c:pt idx="118">
                  <c:v>42278</c:v>
                </c:pt>
                <c:pt idx="119">
                  <c:v>42309</c:v>
                </c:pt>
                <c:pt idx="120">
                  <c:v>42339</c:v>
                </c:pt>
                <c:pt idx="121">
                  <c:v>42370</c:v>
                </c:pt>
              </c:numCache>
            </c:numRef>
          </c:cat>
          <c:val>
            <c:numRef>
              <c:f>Sheet2!$B$2:$B$1600</c:f>
              <c:numCache>
                <c:formatCode>General</c:formatCode>
                <c:ptCount val="1599"/>
                <c:pt idx="0">
                  <c:v>116679</c:v>
                </c:pt>
                <c:pt idx="1">
                  <c:v>101038</c:v>
                </c:pt>
                <c:pt idx="2">
                  <c:v>85924</c:v>
                </c:pt>
                <c:pt idx="3">
                  <c:v>85045</c:v>
                </c:pt>
                <c:pt idx="4">
                  <c:v>91876</c:v>
                </c:pt>
                <c:pt idx="5">
                  <c:v>83181</c:v>
                </c:pt>
                <c:pt idx="6">
                  <c:v>96000</c:v>
                </c:pt>
                <c:pt idx="7">
                  <c:v>94899</c:v>
                </c:pt>
                <c:pt idx="8">
                  <c:v>106784</c:v>
                </c:pt>
                <c:pt idx="9">
                  <c:v>107277</c:v>
                </c:pt>
                <c:pt idx="10">
                  <c:v>92041</c:v>
                </c:pt>
                <c:pt idx="11">
                  <c:v>83109</c:v>
                </c:pt>
                <c:pt idx="12">
                  <c:v>109560</c:v>
                </c:pt>
                <c:pt idx="13">
                  <c:v>90090</c:v>
                </c:pt>
                <c:pt idx="14">
                  <c:v>105785</c:v>
                </c:pt>
                <c:pt idx="15">
                  <c:v>107547</c:v>
                </c:pt>
                <c:pt idx="16">
                  <c:v>100318</c:v>
                </c:pt>
                <c:pt idx="17">
                  <c:v>111446</c:v>
                </c:pt>
                <c:pt idx="18">
                  <c:v>112135</c:v>
                </c:pt>
                <c:pt idx="19">
                  <c:v>100566</c:v>
                </c:pt>
                <c:pt idx="20">
                  <c:v>117065</c:v>
                </c:pt>
                <c:pt idx="21">
                  <c:v>136772</c:v>
                </c:pt>
                <c:pt idx="22">
                  <c:v>108346</c:v>
                </c:pt>
                <c:pt idx="23">
                  <c:v>118469</c:v>
                </c:pt>
                <c:pt idx="24">
                  <c:v>108670</c:v>
                </c:pt>
                <c:pt idx="25">
                  <c:v>90455</c:v>
                </c:pt>
                <c:pt idx="26">
                  <c:v>124215</c:v>
                </c:pt>
                <c:pt idx="27">
                  <c:v>88535</c:v>
                </c:pt>
                <c:pt idx="28">
                  <c:v>98952</c:v>
                </c:pt>
                <c:pt idx="29">
                  <c:v>110414</c:v>
                </c:pt>
                <c:pt idx="30">
                  <c:v>108177</c:v>
                </c:pt>
                <c:pt idx="31">
                  <c:v>62302</c:v>
                </c:pt>
                <c:pt idx="32">
                  <c:v>68339</c:v>
                </c:pt>
                <c:pt idx="33">
                  <c:v>66445</c:v>
                </c:pt>
                <c:pt idx="34">
                  <c:v>45734</c:v>
                </c:pt>
                <c:pt idx="35">
                  <c:v>43655</c:v>
                </c:pt>
                <c:pt idx="36">
                  <c:v>50259</c:v>
                </c:pt>
                <c:pt idx="37">
                  <c:v>45008</c:v>
                </c:pt>
                <c:pt idx="38">
                  <c:v>54314</c:v>
                </c:pt>
                <c:pt idx="39">
                  <c:v>90938</c:v>
                </c:pt>
                <c:pt idx="40">
                  <c:v>70127</c:v>
                </c:pt>
                <c:pt idx="41">
                  <c:v>67567</c:v>
                </c:pt>
                <c:pt idx="42">
                  <c:v>104095</c:v>
                </c:pt>
                <c:pt idx="43">
                  <c:v>71014</c:v>
                </c:pt>
                <c:pt idx="44">
                  <c:v>82357</c:v>
                </c:pt>
                <c:pt idx="45">
                  <c:v>70570</c:v>
                </c:pt>
                <c:pt idx="46">
                  <c:v>61209</c:v>
                </c:pt>
                <c:pt idx="47">
                  <c:v>54618</c:v>
                </c:pt>
                <c:pt idx="48">
                  <c:v>70439</c:v>
                </c:pt>
                <c:pt idx="49">
                  <c:v>51271</c:v>
                </c:pt>
                <c:pt idx="50">
                  <c:v>51586</c:v>
                </c:pt>
                <c:pt idx="51">
                  <c:v>56751</c:v>
                </c:pt>
                <c:pt idx="52">
                  <c:v>37231</c:v>
                </c:pt>
                <c:pt idx="53">
                  <c:v>46855</c:v>
                </c:pt>
                <c:pt idx="54">
                  <c:v>55813</c:v>
                </c:pt>
                <c:pt idx="55">
                  <c:v>50706</c:v>
                </c:pt>
                <c:pt idx="56">
                  <c:v>48810</c:v>
                </c:pt>
                <c:pt idx="57">
                  <c:v>42017</c:v>
                </c:pt>
                <c:pt idx="58">
                  <c:v>39705</c:v>
                </c:pt>
                <c:pt idx="59">
                  <c:v>35585</c:v>
                </c:pt>
                <c:pt idx="60">
                  <c:v>33399</c:v>
                </c:pt>
                <c:pt idx="61">
                  <c:v>40868</c:v>
                </c:pt>
                <c:pt idx="62">
                  <c:v>38825</c:v>
                </c:pt>
                <c:pt idx="63">
                  <c:v>29596</c:v>
                </c:pt>
                <c:pt idx="64">
                  <c:v>24320</c:v>
                </c:pt>
                <c:pt idx="65">
                  <c:v>26412</c:v>
                </c:pt>
                <c:pt idx="66">
                  <c:v>32058</c:v>
                </c:pt>
                <c:pt idx="67">
                  <c:v>25325</c:v>
                </c:pt>
                <c:pt idx="68">
                  <c:v>34306</c:v>
                </c:pt>
                <c:pt idx="69">
                  <c:v>35181</c:v>
                </c:pt>
                <c:pt idx="70">
                  <c:v>28354</c:v>
                </c:pt>
                <c:pt idx="71">
                  <c:v>22321</c:v>
                </c:pt>
                <c:pt idx="72">
                  <c:v>12661</c:v>
                </c:pt>
                <c:pt idx="73">
                  <c:v>26095</c:v>
                </c:pt>
                <c:pt idx="74">
                  <c:v>35310</c:v>
                </c:pt>
                <c:pt idx="75">
                  <c:v>26813</c:v>
                </c:pt>
                <c:pt idx="76">
                  <c:v>37089</c:v>
                </c:pt>
                <c:pt idx="77">
                  <c:v>26357</c:v>
                </c:pt>
                <c:pt idx="78">
                  <c:v>49421</c:v>
                </c:pt>
                <c:pt idx="79">
                  <c:v>37815</c:v>
                </c:pt>
                <c:pt idx="80">
                  <c:v>51040</c:v>
                </c:pt>
                <c:pt idx="81">
                  <c:v>34014</c:v>
                </c:pt>
                <c:pt idx="82">
                  <c:v>50866</c:v>
                </c:pt>
                <c:pt idx="83">
                  <c:v>70841</c:v>
                </c:pt>
                <c:pt idx="84">
                  <c:v>26902</c:v>
                </c:pt>
                <c:pt idx="85">
                  <c:v>42899</c:v>
                </c:pt>
                <c:pt idx="86">
                  <c:v>41255</c:v>
                </c:pt>
                <c:pt idx="87">
                  <c:v>48881</c:v>
                </c:pt>
                <c:pt idx="88">
                  <c:v>53226</c:v>
                </c:pt>
                <c:pt idx="89">
                  <c:v>49248</c:v>
                </c:pt>
                <c:pt idx="90">
                  <c:v>62348</c:v>
                </c:pt>
                <c:pt idx="91">
                  <c:v>52562</c:v>
                </c:pt>
                <c:pt idx="92">
                  <c:v>62201</c:v>
                </c:pt>
                <c:pt idx="93">
                  <c:v>44797</c:v>
                </c:pt>
                <c:pt idx="94">
                  <c:v>41608</c:v>
                </c:pt>
                <c:pt idx="95">
                  <c:v>50491</c:v>
                </c:pt>
                <c:pt idx="96">
                  <c:v>51152</c:v>
                </c:pt>
                <c:pt idx="97">
                  <c:v>41585</c:v>
                </c:pt>
                <c:pt idx="98">
                  <c:v>40661</c:v>
                </c:pt>
                <c:pt idx="99">
                  <c:v>31931</c:v>
                </c:pt>
                <c:pt idx="100">
                  <c:v>41535</c:v>
                </c:pt>
                <c:pt idx="101">
                  <c:v>44793</c:v>
                </c:pt>
                <c:pt idx="102">
                  <c:v>52858</c:v>
                </c:pt>
                <c:pt idx="103">
                  <c:v>55463</c:v>
                </c:pt>
                <c:pt idx="104">
                  <c:v>74711</c:v>
                </c:pt>
                <c:pt idx="105">
                  <c:v>65252</c:v>
                </c:pt>
                <c:pt idx="106">
                  <c:v>64996</c:v>
                </c:pt>
                <c:pt idx="107">
                  <c:v>60127</c:v>
                </c:pt>
                <c:pt idx="108">
                  <c:v>48738</c:v>
                </c:pt>
                <c:pt idx="109">
                  <c:v>49656</c:v>
                </c:pt>
                <c:pt idx="110">
                  <c:v>63470</c:v>
                </c:pt>
                <c:pt idx="111">
                  <c:v>43920</c:v>
                </c:pt>
                <c:pt idx="112">
                  <c:v>57744</c:v>
                </c:pt>
                <c:pt idx="113">
                  <c:v>63761</c:v>
                </c:pt>
                <c:pt idx="114">
                  <c:v>74200</c:v>
                </c:pt>
                <c:pt idx="115">
                  <c:v>77621</c:v>
                </c:pt>
                <c:pt idx="116">
                  <c:v>68006</c:v>
                </c:pt>
                <c:pt idx="117">
                  <c:v>75190</c:v>
                </c:pt>
                <c:pt idx="118">
                  <c:v>72819</c:v>
                </c:pt>
                <c:pt idx="119">
                  <c:v>61380</c:v>
                </c:pt>
                <c:pt idx="120">
                  <c:v>56308</c:v>
                </c:pt>
                <c:pt idx="121">
                  <c:v>38576</c:v>
                </c:pt>
              </c:numCache>
            </c:numRef>
          </c:val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&lt; 2009-06</c:v>
                </c:pt>
              </c:strCache>
            </c:strRef>
          </c:tx>
          <c:cat>
            <c:numRef>
              <c:f>Sheet2!$A$2:$A$1600</c:f>
              <c:numCache>
                <c:formatCode>m/d/yyyy</c:formatCode>
                <c:ptCount val="1599"/>
                <c:pt idx="0">
                  <c:v>38687</c:v>
                </c:pt>
                <c:pt idx="1">
                  <c:v>38718</c:v>
                </c:pt>
                <c:pt idx="2">
                  <c:v>38749</c:v>
                </c:pt>
                <c:pt idx="3">
                  <c:v>38777</c:v>
                </c:pt>
                <c:pt idx="4">
                  <c:v>38808</c:v>
                </c:pt>
                <c:pt idx="5">
                  <c:v>38838</c:v>
                </c:pt>
                <c:pt idx="6">
                  <c:v>38869</c:v>
                </c:pt>
                <c:pt idx="7">
                  <c:v>38899</c:v>
                </c:pt>
                <c:pt idx="8">
                  <c:v>38930</c:v>
                </c:pt>
                <c:pt idx="9">
                  <c:v>38961</c:v>
                </c:pt>
                <c:pt idx="10">
                  <c:v>38991</c:v>
                </c:pt>
                <c:pt idx="11">
                  <c:v>39022</c:v>
                </c:pt>
                <c:pt idx="12">
                  <c:v>39052</c:v>
                </c:pt>
                <c:pt idx="13">
                  <c:v>39083</c:v>
                </c:pt>
                <c:pt idx="14">
                  <c:v>39114</c:v>
                </c:pt>
                <c:pt idx="15">
                  <c:v>39142</c:v>
                </c:pt>
                <c:pt idx="16">
                  <c:v>39173</c:v>
                </c:pt>
                <c:pt idx="17">
                  <c:v>39203</c:v>
                </c:pt>
                <c:pt idx="18">
                  <c:v>39234</c:v>
                </c:pt>
                <c:pt idx="19">
                  <c:v>39264</c:v>
                </c:pt>
                <c:pt idx="20">
                  <c:v>39295</c:v>
                </c:pt>
                <c:pt idx="21">
                  <c:v>39326</c:v>
                </c:pt>
                <c:pt idx="22">
                  <c:v>39356</c:v>
                </c:pt>
                <c:pt idx="23">
                  <c:v>39387</c:v>
                </c:pt>
                <c:pt idx="24">
                  <c:v>39417</c:v>
                </c:pt>
                <c:pt idx="25">
                  <c:v>39448</c:v>
                </c:pt>
                <c:pt idx="26">
                  <c:v>39479</c:v>
                </c:pt>
                <c:pt idx="27">
                  <c:v>39508</c:v>
                </c:pt>
                <c:pt idx="28">
                  <c:v>39539</c:v>
                </c:pt>
                <c:pt idx="29">
                  <c:v>39569</c:v>
                </c:pt>
                <c:pt idx="30">
                  <c:v>39600</c:v>
                </c:pt>
                <c:pt idx="31">
                  <c:v>39630</c:v>
                </c:pt>
                <c:pt idx="32">
                  <c:v>39661</c:v>
                </c:pt>
                <c:pt idx="33">
                  <c:v>39692</c:v>
                </c:pt>
                <c:pt idx="34">
                  <c:v>39722</c:v>
                </c:pt>
                <c:pt idx="35">
                  <c:v>39753</c:v>
                </c:pt>
                <c:pt idx="36">
                  <c:v>39783</c:v>
                </c:pt>
                <c:pt idx="37">
                  <c:v>39814</c:v>
                </c:pt>
                <c:pt idx="38">
                  <c:v>39845</c:v>
                </c:pt>
                <c:pt idx="39">
                  <c:v>39873</c:v>
                </c:pt>
                <c:pt idx="40">
                  <c:v>39904</c:v>
                </c:pt>
                <c:pt idx="41">
                  <c:v>39934</c:v>
                </c:pt>
                <c:pt idx="42">
                  <c:v>39965</c:v>
                </c:pt>
                <c:pt idx="43">
                  <c:v>39995</c:v>
                </c:pt>
                <c:pt idx="44">
                  <c:v>40026</c:v>
                </c:pt>
                <c:pt idx="45">
                  <c:v>40057</c:v>
                </c:pt>
                <c:pt idx="46">
                  <c:v>40087</c:v>
                </c:pt>
                <c:pt idx="47">
                  <c:v>40118</c:v>
                </c:pt>
                <c:pt idx="48">
                  <c:v>40148</c:v>
                </c:pt>
                <c:pt idx="49">
                  <c:v>40179</c:v>
                </c:pt>
                <c:pt idx="50">
                  <c:v>40210</c:v>
                </c:pt>
                <c:pt idx="51">
                  <c:v>40238</c:v>
                </c:pt>
                <c:pt idx="52">
                  <c:v>40269</c:v>
                </c:pt>
                <c:pt idx="53">
                  <c:v>40299</c:v>
                </c:pt>
                <c:pt idx="54">
                  <c:v>40330</c:v>
                </c:pt>
                <c:pt idx="55">
                  <c:v>40360</c:v>
                </c:pt>
                <c:pt idx="56">
                  <c:v>40391</c:v>
                </c:pt>
                <c:pt idx="57">
                  <c:v>40422</c:v>
                </c:pt>
                <c:pt idx="58">
                  <c:v>40452</c:v>
                </c:pt>
                <c:pt idx="59">
                  <c:v>40483</c:v>
                </c:pt>
                <c:pt idx="60">
                  <c:v>40513</c:v>
                </c:pt>
                <c:pt idx="61">
                  <c:v>40544</c:v>
                </c:pt>
                <c:pt idx="62">
                  <c:v>40575</c:v>
                </c:pt>
                <c:pt idx="63">
                  <c:v>40603</c:v>
                </c:pt>
                <c:pt idx="64">
                  <c:v>40634</c:v>
                </c:pt>
                <c:pt idx="65">
                  <c:v>40664</c:v>
                </c:pt>
                <c:pt idx="66">
                  <c:v>40695</c:v>
                </c:pt>
                <c:pt idx="67">
                  <c:v>40725</c:v>
                </c:pt>
                <c:pt idx="68">
                  <c:v>40756</c:v>
                </c:pt>
                <c:pt idx="69">
                  <c:v>40787</c:v>
                </c:pt>
                <c:pt idx="70">
                  <c:v>40817</c:v>
                </c:pt>
                <c:pt idx="71">
                  <c:v>40848</c:v>
                </c:pt>
                <c:pt idx="72">
                  <c:v>40878</c:v>
                </c:pt>
                <c:pt idx="73">
                  <c:v>40909</c:v>
                </c:pt>
                <c:pt idx="74">
                  <c:v>40940</c:v>
                </c:pt>
                <c:pt idx="75">
                  <c:v>40969</c:v>
                </c:pt>
                <c:pt idx="76">
                  <c:v>41000</c:v>
                </c:pt>
                <c:pt idx="77">
                  <c:v>41030</c:v>
                </c:pt>
                <c:pt idx="78">
                  <c:v>41061</c:v>
                </c:pt>
                <c:pt idx="79">
                  <c:v>41091</c:v>
                </c:pt>
                <c:pt idx="80">
                  <c:v>41122</c:v>
                </c:pt>
                <c:pt idx="81">
                  <c:v>41153</c:v>
                </c:pt>
                <c:pt idx="82">
                  <c:v>41183</c:v>
                </c:pt>
                <c:pt idx="83">
                  <c:v>41214</c:v>
                </c:pt>
                <c:pt idx="84">
                  <c:v>41244</c:v>
                </c:pt>
                <c:pt idx="85">
                  <c:v>41275</c:v>
                </c:pt>
                <c:pt idx="86">
                  <c:v>41306</c:v>
                </c:pt>
                <c:pt idx="87">
                  <c:v>41334</c:v>
                </c:pt>
                <c:pt idx="88">
                  <c:v>41365</c:v>
                </c:pt>
                <c:pt idx="89">
                  <c:v>41395</c:v>
                </c:pt>
                <c:pt idx="90">
                  <c:v>41426</c:v>
                </c:pt>
                <c:pt idx="91">
                  <c:v>41456</c:v>
                </c:pt>
                <c:pt idx="92">
                  <c:v>41487</c:v>
                </c:pt>
                <c:pt idx="93">
                  <c:v>41518</c:v>
                </c:pt>
                <c:pt idx="94">
                  <c:v>41548</c:v>
                </c:pt>
                <c:pt idx="95">
                  <c:v>41579</c:v>
                </c:pt>
                <c:pt idx="96">
                  <c:v>41609</c:v>
                </c:pt>
                <c:pt idx="97">
                  <c:v>41640</c:v>
                </c:pt>
                <c:pt idx="98">
                  <c:v>41671</c:v>
                </c:pt>
                <c:pt idx="99">
                  <c:v>41699</c:v>
                </c:pt>
                <c:pt idx="100">
                  <c:v>41730</c:v>
                </c:pt>
                <c:pt idx="101">
                  <c:v>41760</c:v>
                </c:pt>
                <c:pt idx="102">
                  <c:v>41791</c:v>
                </c:pt>
                <c:pt idx="103">
                  <c:v>41821</c:v>
                </c:pt>
                <c:pt idx="104">
                  <c:v>41852</c:v>
                </c:pt>
                <c:pt idx="105">
                  <c:v>41883</c:v>
                </c:pt>
                <c:pt idx="106">
                  <c:v>41913</c:v>
                </c:pt>
                <c:pt idx="107">
                  <c:v>41944</c:v>
                </c:pt>
                <c:pt idx="108">
                  <c:v>41974</c:v>
                </c:pt>
                <c:pt idx="109">
                  <c:v>42005</c:v>
                </c:pt>
                <c:pt idx="110">
                  <c:v>42036</c:v>
                </c:pt>
                <c:pt idx="111">
                  <c:v>42064</c:v>
                </c:pt>
                <c:pt idx="112">
                  <c:v>42095</c:v>
                </c:pt>
                <c:pt idx="113">
                  <c:v>42125</c:v>
                </c:pt>
                <c:pt idx="114">
                  <c:v>42156</c:v>
                </c:pt>
                <c:pt idx="115">
                  <c:v>42186</c:v>
                </c:pt>
                <c:pt idx="116">
                  <c:v>42217</c:v>
                </c:pt>
                <c:pt idx="117">
                  <c:v>42248</c:v>
                </c:pt>
                <c:pt idx="118">
                  <c:v>42278</c:v>
                </c:pt>
                <c:pt idx="119">
                  <c:v>42309</c:v>
                </c:pt>
                <c:pt idx="120">
                  <c:v>42339</c:v>
                </c:pt>
                <c:pt idx="121">
                  <c:v>42370</c:v>
                </c:pt>
              </c:numCache>
            </c:numRef>
          </c:cat>
          <c:val>
            <c:numRef>
              <c:f>Sheet2!$C$2:$C$1600</c:f>
              <c:numCache>
                <c:formatCode>General</c:formatCode>
                <c:ptCount val="1599"/>
                <c:pt idx="0">
                  <c:v>19057</c:v>
                </c:pt>
                <c:pt idx="1">
                  <c:v>15165</c:v>
                </c:pt>
                <c:pt idx="2">
                  <c:v>13726</c:v>
                </c:pt>
                <c:pt idx="3">
                  <c:v>13317</c:v>
                </c:pt>
                <c:pt idx="4">
                  <c:v>13740</c:v>
                </c:pt>
                <c:pt idx="5">
                  <c:v>11485</c:v>
                </c:pt>
                <c:pt idx="6">
                  <c:v>11763</c:v>
                </c:pt>
                <c:pt idx="7">
                  <c:v>10532</c:v>
                </c:pt>
                <c:pt idx="8">
                  <c:v>11293</c:v>
                </c:pt>
                <c:pt idx="9">
                  <c:v>11420</c:v>
                </c:pt>
                <c:pt idx="10">
                  <c:v>11613</c:v>
                </c:pt>
                <c:pt idx="11">
                  <c:v>13547</c:v>
                </c:pt>
                <c:pt idx="12">
                  <c:v>18639</c:v>
                </c:pt>
                <c:pt idx="13">
                  <c:v>16054</c:v>
                </c:pt>
                <c:pt idx="14">
                  <c:v>23045</c:v>
                </c:pt>
                <c:pt idx="15">
                  <c:v>21585</c:v>
                </c:pt>
                <c:pt idx="16">
                  <c:v>20927</c:v>
                </c:pt>
                <c:pt idx="17">
                  <c:v>23119</c:v>
                </c:pt>
                <c:pt idx="18">
                  <c:v>20337</c:v>
                </c:pt>
                <c:pt idx="19">
                  <c:v>17646</c:v>
                </c:pt>
                <c:pt idx="20">
                  <c:v>17169</c:v>
                </c:pt>
                <c:pt idx="21">
                  <c:v>17527</c:v>
                </c:pt>
                <c:pt idx="22">
                  <c:v>17939</c:v>
                </c:pt>
                <c:pt idx="23">
                  <c:v>22061</c:v>
                </c:pt>
                <c:pt idx="24">
                  <c:v>23242</c:v>
                </c:pt>
                <c:pt idx="25">
                  <c:v>25971</c:v>
                </c:pt>
                <c:pt idx="26">
                  <c:v>41508</c:v>
                </c:pt>
                <c:pt idx="27">
                  <c:v>49873</c:v>
                </c:pt>
                <c:pt idx="28">
                  <c:v>44733</c:v>
                </c:pt>
                <c:pt idx="29">
                  <c:v>41194</c:v>
                </c:pt>
                <c:pt idx="30">
                  <c:v>30865</c:v>
                </c:pt>
                <c:pt idx="31">
                  <c:v>15169</c:v>
                </c:pt>
                <c:pt idx="32">
                  <c:v>12928</c:v>
                </c:pt>
                <c:pt idx="33">
                  <c:v>11279</c:v>
                </c:pt>
                <c:pt idx="34">
                  <c:v>9037</c:v>
                </c:pt>
                <c:pt idx="35">
                  <c:v>13338</c:v>
                </c:pt>
                <c:pt idx="36">
                  <c:v>12980</c:v>
                </c:pt>
                <c:pt idx="37">
                  <c:v>20693</c:v>
                </c:pt>
                <c:pt idx="38">
                  <c:v>60330</c:v>
                </c:pt>
                <c:pt idx="39">
                  <c:v>126468</c:v>
                </c:pt>
                <c:pt idx="40">
                  <c:v>91317</c:v>
                </c:pt>
                <c:pt idx="41">
                  <c:v>25662</c:v>
                </c:pt>
                <c:pt idx="42">
                  <c:v>7053</c:v>
                </c:pt>
                <c:pt idx="43">
                  <c:v>781</c:v>
                </c:pt>
                <c:pt idx="44">
                  <c:v>173</c:v>
                </c:pt>
                <c:pt idx="45">
                  <c:v>258</c:v>
                </c:pt>
                <c:pt idx="46">
                  <c:v>1059</c:v>
                </c:pt>
                <c:pt idx="47">
                  <c:v>77</c:v>
                </c:pt>
                <c:pt idx="48">
                  <c:v>336</c:v>
                </c:pt>
                <c:pt idx="49">
                  <c:v>360</c:v>
                </c:pt>
                <c:pt idx="50">
                  <c:v>77</c:v>
                </c:pt>
                <c:pt idx="51">
                  <c:v>679</c:v>
                </c:pt>
                <c:pt idx="52">
                  <c:v>113</c:v>
                </c:pt>
                <c:pt idx="53">
                  <c:v>25</c:v>
                </c:pt>
                <c:pt idx="54">
                  <c:v>4</c:v>
                </c:pt>
                <c:pt idx="55">
                  <c:v>1</c:v>
                </c:pt>
                <c:pt idx="56">
                  <c:v>1120</c:v>
                </c:pt>
                <c:pt idx="57">
                  <c:v>326</c:v>
                </c:pt>
                <c:pt idx="58">
                  <c:v>3</c:v>
                </c:pt>
                <c:pt idx="59">
                  <c:v>24</c:v>
                </c:pt>
                <c:pt idx="60">
                  <c:v>3</c:v>
                </c:pt>
                <c:pt idx="62">
                  <c:v>150</c:v>
                </c:pt>
                <c:pt idx="63">
                  <c:v>2646</c:v>
                </c:pt>
                <c:pt idx="64">
                  <c:v>10</c:v>
                </c:pt>
                <c:pt idx="71">
                  <c:v>16</c:v>
                </c:pt>
                <c:pt idx="77">
                  <c:v>28</c:v>
                </c:pt>
                <c:pt idx="83">
                  <c:v>1190</c:v>
                </c:pt>
                <c:pt idx="84">
                  <c:v>7</c:v>
                </c:pt>
                <c:pt idx="87">
                  <c:v>8</c:v>
                </c:pt>
                <c:pt idx="88">
                  <c:v>7</c:v>
                </c:pt>
                <c:pt idx="89">
                  <c:v>88</c:v>
                </c:pt>
                <c:pt idx="90">
                  <c:v>19</c:v>
                </c:pt>
                <c:pt idx="92">
                  <c:v>1</c:v>
                </c:pt>
                <c:pt idx="93">
                  <c:v>90</c:v>
                </c:pt>
                <c:pt idx="95">
                  <c:v>969</c:v>
                </c:pt>
                <c:pt idx="96">
                  <c:v>1125</c:v>
                </c:pt>
                <c:pt idx="99">
                  <c:v>16</c:v>
                </c:pt>
                <c:pt idx="105">
                  <c:v>1</c:v>
                </c:pt>
                <c:pt idx="107">
                  <c:v>3</c:v>
                </c:pt>
                <c:pt idx="108">
                  <c:v>1</c:v>
                </c:pt>
                <c:pt idx="109">
                  <c:v>1</c:v>
                </c:pt>
                <c:pt idx="110">
                  <c:v>9</c:v>
                </c:pt>
                <c:pt idx="111">
                  <c:v>3319</c:v>
                </c:pt>
                <c:pt idx="119">
                  <c:v>116</c:v>
                </c:pt>
              </c:numCache>
            </c:numRef>
          </c:val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NON-HARP</c:v>
                </c:pt>
              </c:strCache>
            </c:strRef>
          </c:tx>
          <c:cat>
            <c:numRef>
              <c:f>Sheet2!$A$2:$A$1600</c:f>
              <c:numCache>
                <c:formatCode>m/d/yyyy</c:formatCode>
                <c:ptCount val="1599"/>
                <c:pt idx="0">
                  <c:v>38687</c:v>
                </c:pt>
                <c:pt idx="1">
                  <c:v>38718</c:v>
                </c:pt>
                <c:pt idx="2">
                  <c:v>38749</c:v>
                </c:pt>
                <c:pt idx="3">
                  <c:v>38777</c:v>
                </c:pt>
                <c:pt idx="4">
                  <c:v>38808</c:v>
                </c:pt>
                <c:pt idx="5">
                  <c:v>38838</c:v>
                </c:pt>
                <c:pt idx="6">
                  <c:v>38869</c:v>
                </c:pt>
                <c:pt idx="7">
                  <c:v>38899</c:v>
                </c:pt>
                <c:pt idx="8">
                  <c:v>38930</c:v>
                </c:pt>
                <c:pt idx="9">
                  <c:v>38961</c:v>
                </c:pt>
                <c:pt idx="10">
                  <c:v>38991</c:v>
                </c:pt>
                <c:pt idx="11">
                  <c:v>39022</c:v>
                </c:pt>
                <c:pt idx="12">
                  <c:v>39052</c:v>
                </c:pt>
                <c:pt idx="13">
                  <c:v>39083</c:v>
                </c:pt>
                <c:pt idx="14">
                  <c:v>39114</c:v>
                </c:pt>
                <c:pt idx="15">
                  <c:v>39142</c:v>
                </c:pt>
                <c:pt idx="16">
                  <c:v>39173</c:v>
                </c:pt>
                <c:pt idx="17">
                  <c:v>39203</c:v>
                </c:pt>
                <c:pt idx="18">
                  <c:v>39234</c:v>
                </c:pt>
                <c:pt idx="19">
                  <c:v>39264</c:v>
                </c:pt>
                <c:pt idx="20">
                  <c:v>39295</c:v>
                </c:pt>
                <c:pt idx="21">
                  <c:v>39326</c:v>
                </c:pt>
                <c:pt idx="22">
                  <c:v>39356</c:v>
                </c:pt>
                <c:pt idx="23">
                  <c:v>39387</c:v>
                </c:pt>
                <c:pt idx="24">
                  <c:v>39417</c:v>
                </c:pt>
                <c:pt idx="25">
                  <c:v>39448</c:v>
                </c:pt>
                <c:pt idx="26">
                  <c:v>39479</c:v>
                </c:pt>
                <c:pt idx="27">
                  <c:v>39508</c:v>
                </c:pt>
                <c:pt idx="28">
                  <c:v>39539</c:v>
                </c:pt>
                <c:pt idx="29">
                  <c:v>39569</c:v>
                </c:pt>
                <c:pt idx="30">
                  <c:v>39600</c:v>
                </c:pt>
                <c:pt idx="31">
                  <c:v>39630</c:v>
                </c:pt>
                <c:pt idx="32">
                  <c:v>39661</c:v>
                </c:pt>
                <c:pt idx="33">
                  <c:v>39692</c:v>
                </c:pt>
                <c:pt idx="34">
                  <c:v>39722</c:v>
                </c:pt>
                <c:pt idx="35">
                  <c:v>39753</c:v>
                </c:pt>
                <c:pt idx="36">
                  <c:v>39783</c:v>
                </c:pt>
                <c:pt idx="37">
                  <c:v>39814</c:v>
                </c:pt>
                <c:pt idx="38">
                  <c:v>39845</c:v>
                </c:pt>
                <c:pt idx="39">
                  <c:v>39873</c:v>
                </c:pt>
                <c:pt idx="40">
                  <c:v>39904</c:v>
                </c:pt>
                <c:pt idx="41">
                  <c:v>39934</c:v>
                </c:pt>
                <c:pt idx="42">
                  <c:v>39965</c:v>
                </c:pt>
                <c:pt idx="43">
                  <c:v>39995</c:v>
                </c:pt>
                <c:pt idx="44">
                  <c:v>40026</c:v>
                </c:pt>
                <c:pt idx="45">
                  <c:v>40057</c:v>
                </c:pt>
                <c:pt idx="46">
                  <c:v>40087</c:v>
                </c:pt>
                <c:pt idx="47">
                  <c:v>40118</c:v>
                </c:pt>
                <c:pt idx="48">
                  <c:v>40148</c:v>
                </c:pt>
                <c:pt idx="49">
                  <c:v>40179</c:v>
                </c:pt>
                <c:pt idx="50">
                  <c:v>40210</c:v>
                </c:pt>
                <c:pt idx="51">
                  <c:v>40238</c:v>
                </c:pt>
                <c:pt idx="52">
                  <c:v>40269</c:v>
                </c:pt>
                <c:pt idx="53">
                  <c:v>40299</c:v>
                </c:pt>
                <c:pt idx="54">
                  <c:v>40330</c:v>
                </c:pt>
                <c:pt idx="55">
                  <c:v>40360</c:v>
                </c:pt>
                <c:pt idx="56">
                  <c:v>40391</c:v>
                </c:pt>
                <c:pt idx="57">
                  <c:v>40422</c:v>
                </c:pt>
                <c:pt idx="58">
                  <c:v>40452</c:v>
                </c:pt>
                <c:pt idx="59">
                  <c:v>40483</c:v>
                </c:pt>
                <c:pt idx="60">
                  <c:v>40513</c:v>
                </c:pt>
                <c:pt idx="61">
                  <c:v>40544</c:v>
                </c:pt>
                <c:pt idx="62">
                  <c:v>40575</c:v>
                </c:pt>
                <c:pt idx="63">
                  <c:v>40603</c:v>
                </c:pt>
                <c:pt idx="64">
                  <c:v>40634</c:v>
                </c:pt>
                <c:pt idx="65">
                  <c:v>40664</c:v>
                </c:pt>
                <c:pt idx="66">
                  <c:v>40695</c:v>
                </c:pt>
                <c:pt idx="67">
                  <c:v>40725</c:v>
                </c:pt>
                <c:pt idx="68">
                  <c:v>40756</c:v>
                </c:pt>
                <c:pt idx="69">
                  <c:v>40787</c:v>
                </c:pt>
                <c:pt idx="70">
                  <c:v>40817</c:v>
                </c:pt>
                <c:pt idx="71">
                  <c:v>40848</c:v>
                </c:pt>
                <c:pt idx="72">
                  <c:v>40878</c:v>
                </c:pt>
                <c:pt idx="73">
                  <c:v>40909</c:v>
                </c:pt>
                <c:pt idx="74">
                  <c:v>40940</c:v>
                </c:pt>
                <c:pt idx="75">
                  <c:v>40969</c:v>
                </c:pt>
                <c:pt idx="76">
                  <c:v>41000</c:v>
                </c:pt>
                <c:pt idx="77">
                  <c:v>41030</c:v>
                </c:pt>
                <c:pt idx="78">
                  <c:v>41061</c:v>
                </c:pt>
                <c:pt idx="79">
                  <c:v>41091</c:v>
                </c:pt>
                <c:pt idx="80">
                  <c:v>41122</c:v>
                </c:pt>
                <c:pt idx="81">
                  <c:v>41153</c:v>
                </c:pt>
                <c:pt idx="82">
                  <c:v>41183</c:v>
                </c:pt>
                <c:pt idx="83">
                  <c:v>41214</c:v>
                </c:pt>
                <c:pt idx="84">
                  <c:v>41244</c:v>
                </c:pt>
                <c:pt idx="85">
                  <c:v>41275</c:v>
                </c:pt>
                <c:pt idx="86">
                  <c:v>41306</c:v>
                </c:pt>
                <c:pt idx="87">
                  <c:v>41334</c:v>
                </c:pt>
                <c:pt idx="88">
                  <c:v>41365</c:v>
                </c:pt>
                <c:pt idx="89">
                  <c:v>41395</c:v>
                </c:pt>
                <c:pt idx="90">
                  <c:v>41426</c:v>
                </c:pt>
                <c:pt idx="91">
                  <c:v>41456</c:v>
                </c:pt>
                <c:pt idx="92">
                  <c:v>41487</c:v>
                </c:pt>
                <c:pt idx="93">
                  <c:v>41518</c:v>
                </c:pt>
                <c:pt idx="94">
                  <c:v>41548</c:v>
                </c:pt>
                <c:pt idx="95">
                  <c:v>41579</c:v>
                </c:pt>
                <c:pt idx="96">
                  <c:v>41609</c:v>
                </c:pt>
                <c:pt idx="97">
                  <c:v>41640</c:v>
                </c:pt>
                <c:pt idx="98">
                  <c:v>41671</c:v>
                </c:pt>
                <c:pt idx="99">
                  <c:v>41699</c:v>
                </c:pt>
                <c:pt idx="100">
                  <c:v>41730</c:v>
                </c:pt>
                <c:pt idx="101">
                  <c:v>41760</c:v>
                </c:pt>
                <c:pt idx="102">
                  <c:v>41791</c:v>
                </c:pt>
                <c:pt idx="103">
                  <c:v>41821</c:v>
                </c:pt>
                <c:pt idx="104">
                  <c:v>41852</c:v>
                </c:pt>
                <c:pt idx="105">
                  <c:v>41883</c:v>
                </c:pt>
                <c:pt idx="106">
                  <c:v>41913</c:v>
                </c:pt>
                <c:pt idx="107">
                  <c:v>41944</c:v>
                </c:pt>
                <c:pt idx="108">
                  <c:v>41974</c:v>
                </c:pt>
                <c:pt idx="109">
                  <c:v>42005</c:v>
                </c:pt>
                <c:pt idx="110">
                  <c:v>42036</c:v>
                </c:pt>
                <c:pt idx="111">
                  <c:v>42064</c:v>
                </c:pt>
                <c:pt idx="112">
                  <c:v>42095</c:v>
                </c:pt>
                <c:pt idx="113">
                  <c:v>42125</c:v>
                </c:pt>
                <c:pt idx="114">
                  <c:v>42156</c:v>
                </c:pt>
                <c:pt idx="115">
                  <c:v>42186</c:v>
                </c:pt>
                <c:pt idx="116">
                  <c:v>42217</c:v>
                </c:pt>
                <c:pt idx="117">
                  <c:v>42248</c:v>
                </c:pt>
                <c:pt idx="118">
                  <c:v>42278</c:v>
                </c:pt>
                <c:pt idx="119">
                  <c:v>42309</c:v>
                </c:pt>
                <c:pt idx="120">
                  <c:v>42339</c:v>
                </c:pt>
                <c:pt idx="121">
                  <c:v>42370</c:v>
                </c:pt>
              </c:numCache>
            </c:numRef>
          </c:cat>
          <c:val>
            <c:numRef>
              <c:f>Sheet2!$D$2:$D$1600</c:f>
              <c:numCache>
                <c:formatCode>General</c:formatCode>
                <c:ptCount val="1599"/>
                <c:pt idx="40">
                  <c:v>4758</c:v>
                </c:pt>
                <c:pt idx="41">
                  <c:v>51705</c:v>
                </c:pt>
                <c:pt idx="42">
                  <c:v>106391</c:v>
                </c:pt>
                <c:pt idx="43">
                  <c:v>60337</c:v>
                </c:pt>
                <c:pt idx="44">
                  <c:v>55906</c:v>
                </c:pt>
                <c:pt idx="45">
                  <c:v>31910</c:v>
                </c:pt>
                <c:pt idx="46">
                  <c:v>23119</c:v>
                </c:pt>
                <c:pt idx="47">
                  <c:v>22548</c:v>
                </c:pt>
                <c:pt idx="48">
                  <c:v>30548</c:v>
                </c:pt>
                <c:pt idx="49">
                  <c:v>24350</c:v>
                </c:pt>
                <c:pt idx="50">
                  <c:v>28003</c:v>
                </c:pt>
                <c:pt idx="51">
                  <c:v>25937</c:v>
                </c:pt>
                <c:pt idx="52">
                  <c:v>14416</c:v>
                </c:pt>
                <c:pt idx="53">
                  <c:v>15988</c:v>
                </c:pt>
                <c:pt idx="54">
                  <c:v>14269</c:v>
                </c:pt>
                <c:pt idx="55">
                  <c:v>13900</c:v>
                </c:pt>
                <c:pt idx="56">
                  <c:v>16488</c:v>
                </c:pt>
                <c:pt idx="57">
                  <c:v>24337</c:v>
                </c:pt>
                <c:pt idx="58">
                  <c:v>29103</c:v>
                </c:pt>
                <c:pt idx="59">
                  <c:v>28907</c:v>
                </c:pt>
                <c:pt idx="60">
                  <c:v>29330</c:v>
                </c:pt>
                <c:pt idx="61">
                  <c:v>36053</c:v>
                </c:pt>
                <c:pt idx="62">
                  <c:v>24920</c:v>
                </c:pt>
                <c:pt idx="63">
                  <c:v>11405</c:v>
                </c:pt>
                <c:pt idx="64">
                  <c:v>9549</c:v>
                </c:pt>
                <c:pt idx="65">
                  <c:v>7249</c:v>
                </c:pt>
                <c:pt idx="66">
                  <c:v>7079</c:v>
                </c:pt>
                <c:pt idx="67">
                  <c:v>5161</c:v>
                </c:pt>
                <c:pt idx="68">
                  <c:v>8995</c:v>
                </c:pt>
                <c:pt idx="69">
                  <c:v>9559</c:v>
                </c:pt>
                <c:pt idx="70">
                  <c:v>15321</c:v>
                </c:pt>
                <c:pt idx="71">
                  <c:v>16181</c:v>
                </c:pt>
                <c:pt idx="72">
                  <c:v>13058</c:v>
                </c:pt>
                <c:pt idx="73">
                  <c:v>21613</c:v>
                </c:pt>
                <c:pt idx="74">
                  <c:v>35057</c:v>
                </c:pt>
                <c:pt idx="75">
                  <c:v>28239</c:v>
                </c:pt>
                <c:pt idx="76">
                  <c:v>30739</c:v>
                </c:pt>
                <c:pt idx="77">
                  <c:v>17578</c:v>
                </c:pt>
                <c:pt idx="78">
                  <c:v>25831</c:v>
                </c:pt>
                <c:pt idx="79">
                  <c:v>18827</c:v>
                </c:pt>
                <c:pt idx="80">
                  <c:v>26774</c:v>
                </c:pt>
                <c:pt idx="81">
                  <c:v>25041</c:v>
                </c:pt>
                <c:pt idx="82">
                  <c:v>38833</c:v>
                </c:pt>
                <c:pt idx="83">
                  <c:v>49783</c:v>
                </c:pt>
                <c:pt idx="84">
                  <c:v>23978</c:v>
                </c:pt>
                <c:pt idx="85">
                  <c:v>39760</c:v>
                </c:pt>
                <c:pt idx="86">
                  <c:v>38300</c:v>
                </c:pt>
                <c:pt idx="87">
                  <c:v>48117</c:v>
                </c:pt>
                <c:pt idx="88">
                  <c:v>40468</c:v>
                </c:pt>
                <c:pt idx="89">
                  <c:v>26944</c:v>
                </c:pt>
                <c:pt idx="90">
                  <c:v>33375</c:v>
                </c:pt>
                <c:pt idx="91">
                  <c:v>26413</c:v>
                </c:pt>
                <c:pt idx="92">
                  <c:v>23108</c:v>
                </c:pt>
                <c:pt idx="93">
                  <c:v>12617</c:v>
                </c:pt>
                <c:pt idx="94">
                  <c:v>8614</c:v>
                </c:pt>
                <c:pt idx="95">
                  <c:v>7821</c:v>
                </c:pt>
                <c:pt idx="96">
                  <c:v>9232</c:v>
                </c:pt>
                <c:pt idx="97">
                  <c:v>8940</c:v>
                </c:pt>
                <c:pt idx="98">
                  <c:v>7816</c:v>
                </c:pt>
                <c:pt idx="99">
                  <c:v>2610</c:v>
                </c:pt>
                <c:pt idx="100">
                  <c:v>488</c:v>
                </c:pt>
                <c:pt idx="101">
                  <c:v>144</c:v>
                </c:pt>
                <c:pt idx="102">
                  <c:v>15</c:v>
                </c:pt>
                <c:pt idx="103">
                  <c:v>20</c:v>
                </c:pt>
                <c:pt idx="104">
                  <c:v>4942</c:v>
                </c:pt>
                <c:pt idx="105">
                  <c:v>1198</c:v>
                </c:pt>
                <c:pt idx="106">
                  <c:v>302</c:v>
                </c:pt>
                <c:pt idx="107">
                  <c:v>67</c:v>
                </c:pt>
                <c:pt idx="108">
                  <c:v>18</c:v>
                </c:pt>
                <c:pt idx="109">
                  <c:v>67</c:v>
                </c:pt>
                <c:pt idx="110">
                  <c:v>7528</c:v>
                </c:pt>
                <c:pt idx="111">
                  <c:v>34</c:v>
                </c:pt>
                <c:pt idx="112">
                  <c:v>1</c:v>
                </c:pt>
                <c:pt idx="113">
                  <c:v>211</c:v>
                </c:pt>
                <c:pt idx="114">
                  <c:v>2804</c:v>
                </c:pt>
                <c:pt idx="115">
                  <c:v>1279</c:v>
                </c:pt>
                <c:pt idx="117">
                  <c:v>11</c:v>
                </c:pt>
                <c:pt idx="118">
                  <c:v>531</c:v>
                </c:pt>
              </c:numCache>
            </c:numRef>
          </c:val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HARP</c:v>
                </c:pt>
              </c:strCache>
            </c:strRef>
          </c:tx>
          <c:cat>
            <c:numRef>
              <c:f>Sheet2!$A$2:$A$1600</c:f>
              <c:numCache>
                <c:formatCode>m/d/yyyy</c:formatCode>
                <c:ptCount val="1599"/>
                <c:pt idx="0">
                  <c:v>38687</c:v>
                </c:pt>
                <c:pt idx="1">
                  <c:v>38718</c:v>
                </c:pt>
                <c:pt idx="2">
                  <c:v>38749</c:v>
                </c:pt>
                <c:pt idx="3">
                  <c:v>38777</c:v>
                </c:pt>
                <c:pt idx="4">
                  <c:v>38808</c:v>
                </c:pt>
                <c:pt idx="5">
                  <c:v>38838</c:v>
                </c:pt>
                <c:pt idx="6">
                  <c:v>38869</c:v>
                </c:pt>
                <c:pt idx="7">
                  <c:v>38899</c:v>
                </c:pt>
                <c:pt idx="8">
                  <c:v>38930</c:v>
                </c:pt>
                <c:pt idx="9">
                  <c:v>38961</c:v>
                </c:pt>
                <c:pt idx="10">
                  <c:v>38991</c:v>
                </c:pt>
                <c:pt idx="11">
                  <c:v>39022</c:v>
                </c:pt>
                <c:pt idx="12">
                  <c:v>39052</c:v>
                </c:pt>
                <c:pt idx="13">
                  <c:v>39083</c:v>
                </c:pt>
                <c:pt idx="14">
                  <c:v>39114</c:v>
                </c:pt>
                <c:pt idx="15">
                  <c:v>39142</c:v>
                </c:pt>
                <c:pt idx="16">
                  <c:v>39173</c:v>
                </c:pt>
                <c:pt idx="17">
                  <c:v>39203</c:v>
                </c:pt>
                <c:pt idx="18">
                  <c:v>39234</c:v>
                </c:pt>
                <c:pt idx="19">
                  <c:v>39264</c:v>
                </c:pt>
                <c:pt idx="20">
                  <c:v>39295</c:v>
                </c:pt>
                <c:pt idx="21">
                  <c:v>39326</c:v>
                </c:pt>
                <c:pt idx="22">
                  <c:v>39356</c:v>
                </c:pt>
                <c:pt idx="23">
                  <c:v>39387</c:v>
                </c:pt>
                <c:pt idx="24">
                  <c:v>39417</c:v>
                </c:pt>
                <c:pt idx="25">
                  <c:v>39448</c:v>
                </c:pt>
                <c:pt idx="26">
                  <c:v>39479</c:v>
                </c:pt>
                <c:pt idx="27">
                  <c:v>39508</c:v>
                </c:pt>
                <c:pt idx="28">
                  <c:v>39539</c:v>
                </c:pt>
                <c:pt idx="29">
                  <c:v>39569</c:v>
                </c:pt>
                <c:pt idx="30">
                  <c:v>39600</c:v>
                </c:pt>
                <c:pt idx="31">
                  <c:v>39630</c:v>
                </c:pt>
                <c:pt idx="32">
                  <c:v>39661</c:v>
                </c:pt>
                <c:pt idx="33">
                  <c:v>39692</c:v>
                </c:pt>
                <c:pt idx="34">
                  <c:v>39722</c:v>
                </c:pt>
                <c:pt idx="35">
                  <c:v>39753</c:v>
                </c:pt>
                <c:pt idx="36">
                  <c:v>39783</c:v>
                </c:pt>
                <c:pt idx="37">
                  <c:v>39814</c:v>
                </c:pt>
                <c:pt idx="38">
                  <c:v>39845</c:v>
                </c:pt>
                <c:pt idx="39">
                  <c:v>39873</c:v>
                </c:pt>
                <c:pt idx="40">
                  <c:v>39904</c:v>
                </c:pt>
                <c:pt idx="41">
                  <c:v>39934</c:v>
                </c:pt>
                <c:pt idx="42">
                  <c:v>39965</c:v>
                </c:pt>
                <c:pt idx="43">
                  <c:v>39995</c:v>
                </c:pt>
                <c:pt idx="44">
                  <c:v>40026</c:v>
                </c:pt>
                <c:pt idx="45">
                  <c:v>40057</c:v>
                </c:pt>
                <c:pt idx="46">
                  <c:v>40087</c:v>
                </c:pt>
                <c:pt idx="47">
                  <c:v>40118</c:v>
                </c:pt>
                <c:pt idx="48">
                  <c:v>40148</c:v>
                </c:pt>
                <c:pt idx="49">
                  <c:v>40179</c:v>
                </c:pt>
                <c:pt idx="50">
                  <c:v>40210</c:v>
                </c:pt>
                <c:pt idx="51">
                  <c:v>40238</c:v>
                </c:pt>
                <c:pt idx="52">
                  <c:v>40269</c:v>
                </c:pt>
                <c:pt idx="53">
                  <c:v>40299</c:v>
                </c:pt>
                <c:pt idx="54">
                  <c:v>40330</c:v>
                </c:pt>
                <c:pt idx="55">
                  <c:v>40360</c:v>
                </c:pt>
                <c:pt idx="56">
                  <c:v>40391</c:v>
                </c:pt>
                <c:pt idx="57">
                  <c:v>40422</c:v>
                </c:pt>
                <c:pt idx="58">
                  <c:v>40452</c:v>
                </c:pt>
                <c:pt idx="59">
                  <c:v>40483</c:v>
                </c:pt>
                <c:pt idx="60">
                  <c:v>40513</c:v>
                </c:pt>
                <c:pt idx="61">
                  <c:v>40544</c:v>
                </c:pt>
                <c:pt idx="62">
                  <c:v>40575</c:v>
                </c:pt>
                <c:pt idx="63">
                  <c:v>40603</c:v>
                </c:pt>
                <c:pt idx="64">
                  <c:v>40634</c:v>
                </c:pt>
                <c:pt idx="65">
                  <c:v>40664</c:v>
                </c:pt>
                <c:pt idx="66">
                  <c:v>40695</c:v>
                </c:pt>
                <c:pt idx="67">
                  <c:v>40725</c:v>
                </c:pt>
                <c:pt idx="68">
                  <c:v>40756</c:v>
                </c:pt>
                <c:pt idx="69">
                  <c:v>40787</c:v>
                </c:pt>
                <c:pt idx="70">
                  <c:v>40817</c:v>
                </c:pt>
                <c:pt idx="71">
                  <c:v>40848</c:v>
                </c:pt>
                <c:pt idx="72">
                  <c:v>40878</c:v>
                </c:pt>
                <c:pt idx="73">
                  <c:v>40909</c:v>
                </c:pt>
                <c:pt idx="74">
                  <c:v>40940</c:v>
                </c:pt>
                <c:pt idx="75">
                  <c:v>40969</c:v>
                </c:pt>
                <c:pt idx="76">
                  <c:v>41000</c:v>
                </c:pt>
                <c:pt idx="77">
                  <c:v>41030</c:v>
                </c:pt>
                <c:pt idx="78">
                  <c:v>41061</c:v>
                </c:pt>
                <c:pt idx="79">
                  <c:v>41091</c:v>
                </c:pt>
                <c:pt idx="80">
                  <c:v>41122</c:v>
                </c:pt>
                <c:pt idx="81">
                  <c:v>41153</c:v>
                </c:pt>
                <c:pt idx="82">
                  <c:v>41183</c:v>
                </c:pt>
                <c:pt idx="83">
                  <c:v>41214</c:v>
                </c:pt>
                <c:pt idx="84">
                  <c:v>41244</c:v>
                </c:pt>
                <c:pt idx="85">
                  <c:v>41275</c:v>
                </c:pt>
                <c:pt idx="86">
                  <c:v>41306</c:v>
                </c:pt>
                <c:pt idx="87">
                  <c:v>41334</c:v>
                </c:pt>
                <c:pt idx="88">
                  <c:v>41365</c:v>
                </c:pt>
                <c:pt idx="89">
                  <c:v>41395</c:v>
                </c:pt>
                <c:pt idx="90">
                  <c:v>41426</c:v>
                </c:pt>
                <c:pt idx="91">
                  <c:v>41456</c:v>
                </c:pt>
                <c:pt idx="92">
                  <c:v>41487</c:v>
                </c:pt>
                <c:pt idx="93">
                  <c:v>41518</c:v>
                </c:pt>
                <c:pt idx="94">
                  <c:v>41548</c:v>
                </c:pt>
                <c:pt idx="95">
                  <c:v>41579</c:v>
                </c:pt>
                <c:pt idx="96">
                  <c:v>41609</c:v>
                </c:pt>
                <c:pt idx="97">
                  <c:v>41640</c:v>
                </c:pt>
                <c:pt idx="98">
                  <c:v>41671</c:v>
                </c:pt>
                <c:pt idx="99">
                  <c:v>41699</c:v>
                </c:pt>
                <c:pt idx="100">
                  <c:v>41730</c:v>
                </c:pt>
                <c:pt idx="101">
                  <c:v>41760</c:v>
                </c:pt>
                <c:pt idx="102">
                  <c:v>41791</c:v>
                </c:pt>
                <c:pt idx="103">
                  <c:v>41821</c:v>
                </c:pt>
                <c:pt idx="104">
                  <c:v>41852</c:v>
                </c:pt>
                <c:pt idx="105">
                  <c:v>41883</c:v>
                </c:pt>
                <c:pt idx="106">
                  <c:v>41913</c:v>
                </c:pt>
                <c:pt idx="107">
                  <c:v>41944</c:v>
                </c:pt>
                <c:pt idx="108">
                  <c:v>41974</c:v>
                </c:pt>
                <c:pt idx="109">
                  <c:v>42005</c:v>
                </c:pt>
                <c:pt idx="110">
                  <c:v>42036</c:v>
                </c:pt>
                <c:pt idx="111">
                  <c:v>42064</c:v>
                </c:pt>
                <c:pt idx="112">
                  <c:v>42095</c:v>
                </c:pt>
                <c:pt idx="113">
                  <c:v>42125</c:v>
                </c:pt>
                <c:pt idx="114">
                  <c:v>42156</c:v>
                </c:pt>
                <c:pt idx="115">
                  <c:v>42186</c:v>
                </c:pt>
                <c:pt idx="116">
                  <c:v>42217</c:v>
                </c:pt>
                <c:pt idx="117">
                  <c:v>42248</c:v>
                </c:pt>
                <c:pt idx="118">
                  <c:v>42278</c:v>
                </c:pt>
                <c:pt idx="119">
                  <c:v>42309</c:v>
                </c:pt>
                <c:pt idx="120">
                  <c:v>42339</c:v>
                </c:pt>
                <c:pt idx="121">
                  <c:v>42370</c:v>
                </c:pt>
              </c:numCache>
            </c:numRef>
          </c:cat>
          <c:val>
            <c:numRef>
              <c:f>Sheet2!$E$2:$E$1600</c:f>
              <c:numCache>
                <c:formatCode>General</c:formatCode>
                <c:ptCount val="1599"/>
                <c:pt idx="40">
                  <c:v>286</c:v>
                </c:pt>
                <c:pt idx="41">
                  <c:v>5842</c:v>
                </c:pt>
                <c:pt idx="42">
                  <c:v>16517</c:v>
                </c:pt>
                <c:pt idx="43">
                  <c:v>22075</c:v>
                </c:pt>
                <c:pt idx="44">
                  <c:v>25210</c:v>
                </c:pt>
                <c:pt idx="45">
                  <c:v>15667</c:v>
                </c:pt>
                <c:pt idx="46">
                  <c:v>12098</c:v>
                </c:pt>
                <c:pt idx="47">
                  <c:v>16580</c:v>
                </c:pt>
                <c:pt idx="48">
                  <c:v>25493</c:v>
                </c:pt>
                <c:pt idx="49">
                  <c:v>24649</c:v>
                </c:pt>
                <c:pt idx="50">
                  <c:v>26299</c:v>
                </c:pt>
                <c:pt idx="51">
                  <c:v>21183</c:v>
                </c:pt>
                <c:pt idx="52">
                  <c:v>19513</c:v>
                </c:pt>
                <c:pt idx="53">
                  <c:v>17575</c:v>
                </c:pt>
                <c:pt idx="54">
                  <c:v>19523</c:v>
                </c:pt>
                <c:pt idx="55">
                  <c:v>19158</c:v>
                </c:pt>
                <c:pt idx="56">
                  <c:v>20121</c:v>
                </c:pt>
                <c:pt idx="57">
                  <c:v>38354</c:v>
                </c:pt>
                <c:pt idx="58">
                  <c:v>36203</c:v>
                </c:pt>
                <c:pt idx="59">
                  <c:v>39308</c:v>
                </c:pt>
                <c:pt idx="60">
                  <c:v>45723</c:v>
                </c:pt>
                <c:pt idx="61">
                  <c:v>31180</c:v>
                </c:pt>
                <c:pt idx="62">
                  <c:v>36604</c:v>
                </c:pt>
                <c:pt idx="63">
                  <c:v>19980</c:v>
                </c:pt>
                <c:pt idx="64">
                  <c:v>18800</c:v>
                </c:pt>
                <c:pt idx="65">
                  <c:v>12820</c:v>
                </c:pt>
                <c:pt idx="66">
                  <c:v>12588</c:v>
                </c:pt>
                <c:pt idx="67">
                  <c:v>11579</c:v>
                </c:pt>
                <c:pt idx="68">
                  <c:v>13279</c:v>
                </c:pt>
                <c:pt idx="69">
                  <c:v>15550</c:v>
                </c:pt>
                <c:pt idx="70">
                  <c:v>16474</c:v>
                </c:pt>
                <c:pt idx="71">
                  <c:v>15358</c:v>
                </c:pt>
                <c:pt idx="72">
                  <c:v>17850</c:v>
                </c:pt>
                <c:pt idx="73">
                  <c:v>21469</c:v>
                </c:pt>
                <c:pt idx="74">
                  <c:v>19436</c:v>
                </c:pt>
                <c:pt idx="75">
                  <c:v>29010</c:v>
                </c:pt>
                <c:pt idx="76">
                  <c:v>18814</c:v>
                </c:pt>
                <c:pt idx="77">
                  <c:v>22353</c:v>
                </c:pt>
                <c:pt idx="78">
                  <c:v>23679</c:v>
                </c:pt>
                <c:pt idx="79">
                  <c:v>21930</c:v>
                </c:pt>
                <c:pt idx="80">
                  <c:v>25715</c:v>
                </c:pt>
                <c:pt idx="81">
                  <c:v>20098</c:v>
                </c:pt>
                <c:pt idx="82">
                  <c:v>23340</c:v>
                </c:pt>
                <c:pt idx="83">
                  <c:v>40576</c:v>
                </c:pt>
                <c:pt idx="84">
                  <c:v>16073</c:v>
                </c:pt>
                <c:pt idx="85">
                  <c:v>31891</c:v>
                </c:pt>
                <c:pt idx="86">
                  <c:v>28858</c:v>
                </c:pt>
                <c:pt idx="87">
                  <c:v>30621</c:v>
                </c:pt>
                <c:pt idx="88">
                  <c:v>33414</c:v>
                </c:pt>
                <c:pt idx="89">
                  <c:v>28554</c:v>
                </c:pt>
                <c:pt idx="90">
                  <c:v>30201</c:v>
                </c:pt>
                <c:pt idx="91">
                  <c:v>22463</c:v>
                </c:pt>
                <c:pt idx="92">
                  <c:v>18785</c:v>
                </c:pt>
                <c:pt idx="93">
                  <c:v>16394</c:v>
                </c:pt>
                <c:pt idx="94">
                  <c:v>13595</c:v>
                </c:pt>
                <c:pt idx="95">
                  <c:v>12144</c:v>
                </c:pt>
                <c:pt idx="96">
                  <c:v>8436</c:v>
                </c:pt>
                <c:pt idx="97">
                  <c:v>10673</c:v>
                </c:pt>
                <c:pt idx="98">
                  <c:v>9613</c:v>
                </c:pt>
                <c:pt idx="99">
                  <c:v>2000</c:v>
                </c:pt>
                <c:pt idx="100">
                  <c:v>203</c:v>
                </c:pt>
                <c:pt idx="101">
                  <c:v>50</c:v>
                </c:pt>
                <c:pt idx="102">
                  <c:v>13</c:v>
                </c:pt>
                <c:pt idx="103">
                  <c:v>10</c:v>
                </c:pt>
                <c:pt idx="104">
                  <c:v>25</c:v>
                </c:pt>
                <c:pt idx="105">
                  <c:v>11</c:v>
                </c:pt>
                <c:pt idx="106">
                  <c:v>33</c:v>
                </c:pt>
                <c:pt idx="107">
                  <c:v>15</c:v>
                </c:pt>
                <c:pt idx="108">
                  <c:v>1</c:v>
                </c:pt>
                <c:pt idx="109">
                  <c:v>17</c:v>
                </c:pt>
                <c:pt idx="110">
                  <c:v>26</c:v>
                </c:pt>
                <c:pt idx="112">
                  <c:v>1</c:v>
                </c:pt>
                <c:pt idx="114">
                  <c:v>2</c:v>
                </c:pt>
                <c:pt idx="119">
                  <c:v>63</c:v>
                </c:pt>
                <c:pt idx="120">
                  <c:v>5</c:v>
                </c:pt>
              </c:numCache>
            </c:numRef>
          </c:val>
        </c:ser>
        <c:ser>
          <c:idx val="4"/>
          <c:order val="4"/>
          <c:tx>
            <c:strRef>
              <c:f>Sheet2!$F$1</c:f>
              <c:strCache>
                <c:ptCount val="1"/>
                <c:pt idx="0">
                  <c:v>Unknown</c:v>
                </c:pt>
              </c:strCache>
            </c:strRef>
          </c:tx>
          <c:cat>
            <c:numRef>
              <c:f>Sheet2!$A$2:$A$1600</c:f>
              <c:numCache>
                <c:formatCode>m/d/yyyy</c:formatCode>
                <c:ptCount val="1599"/>
                <c:pt idx="0">
                  <c:v>38687</c:v>
                </c:pt>
                <c:pt idx="1">
                  <c:v>38718</c:v>
                </c:pt>
                <c:pt idx="2">
                  <c:v>38749</c:v>
                </c:pt>
                <c:pt idx="3">
                  <c:v>38777</c:v>
                </c:pt>
                <c:pt idx="4">
                  <c:v>38808</c:v>
                </c:pt>
                <c:pt idx="5">
                  <c:v>38838</c:v>
                </c:pt>
                <c:pt idx="6">
                  <c:v>38869</c:v>
                </c:pt>
                <c:pt idx="7">
                  <c:v>38899</c:v>
                </c:pt>
                <c:pt idx="8">
                  <c:v>38930</c:v>
                </c:pt>
                <c:pt idx="9">
                  <c:v>38961</c:v>
                </c:pt>
                <c:pt idx="10">
                  <c:v>38991</c:v>
                </c:pt>
                <c:pt idx="11">
                  <c:v>39022</c:v>
                </c:pt>
                <c:pt idx="12">
                  <c:v>39052</c:v>
                </c:pt>
                <c:pt idx="13">
                  <c:v>39083</c:v>
                </c:pt>
                <c:pt idx="14">
                  <c:v>39114</c:v>
                </c:pt>
                <c:pt idx="15">
                  <c:v>39142</c:v>
                </c:pt>
                <c:pt idx="16">
                  <c:v>39173</c:v>
                </c:pt>
                <c:pt idx="17">
                  <c:v>39203</c:v>
                </c:pt>
                <c:pt idx="18">
                  <c:v>39234</c:v>
                </c:pt>
                <c:pt idx="19">
                  <c:v>39264</c:v>
                </c:pt>
                <c:pt idx="20">
                  <c:v>39295</c:v>
                </c:pt>
                <c:pt idx="21">
                  <c:v>39326</c:v>
                </c:pt>
                <c:pt idx="22">
                  <c:v>39356</c:v>
                </c:pt>
                <c:pt idx="23">
                  <c:v>39387</c:v>
                </c:pt>
                <c:pt idx="24">
                  <c:v>39417</c:v>
                </c:pt>
                <c:pt idx="25">
                  <c:v>39448</c:v>
                </c:pt>
                <c:pt idx="26">
                  <c:v>39479</c:v>
                </c:pt>
                <c:pt idx="27">
                  <c:v>39508</c:v>
                </c:pt>
                <c:pt idx="28">
                  <c:v>39539</c:v>
                </c:pt>
                <c:pt idx="29">
                  <c:v>39569</c:v>
                </c:pt>
                <c:pt idx="30">
                  <c:v>39600</c:v>
                </c:pt>
                <c:pt idx="31">
                  <c:v>39630</c:v>
                </c:pt>
                <c:pt idx="32">
                  <c:v>39661</c:v>
                </c:pt>
                <c:pt idx="33">
                  <c:v>39692</c:v>
                </c:pt>
                <c:pt idx="34">
                  <c:v>39722</c:v>
                </c:pt>
                <c:pt idx="35">
                  <c:v>39753</c:v>
                </c:pt>
                <c:pt idx="36">
                  <c:v>39783</c:v>
                </c:pt>
                <c:pt idx="37">
                  <c:v>39814</c:v>
                </c:pt>
                <c:pt idx="38">
                  <c:v>39845</c:v>
                </c:pt>
                <c:pt idx="39">
                  <c:v>39873</c:v>
                </c:pt>
                <c:pt idx="40">
                  <c:v>39904</c:v>
                </c:pt>
                <c:pt idx="41">
                  <c:v>39934</c:v>
                </c:pt>
                <c:pt idx="42">
                  <c:v>39965</c:v>
                </c:pt>
                <c:pt idx="43">
                  <c:v>39995</c:v>
                </c:pt>
                <c:pt idx="44">
                  <c:v>40026</c:v>
                </c:pt>
                <c:pt idx="45">
                  <c:v>40057</c:v>
                </c:pt>
                <c:pt idx="46">
                  <c:v>40087</c:v>
                </c:pt>
                <c:pt idx="47">
                  <c:v>40118</c:v>
                </c:pt>
                <c:pt idx="48">
                  <c:v>40148</c:v>
                </c:pt>
                <c:pt idx="49">
                  <c:v>40179</c:v>
                </c:pt>
                <c:pt idx="50">
                  <c:v>40210</c:v>
                </c:pt>
                <c:pt idx="51">
                  <c:v>40238</c:v>
                </c:pt>
                <c:pt idx="52">
                  <c:v>40269</c:v>
                </c:pt>
                <c:pt idx="53">
                  <c:v>40299</c:v>
                </c:pt>
                <c:pt idx="54">
                  <c:v>40330</c:v>
                </c:pt>
                <c:pt idx="55">
                  <c:v>40360</c:v>
                </c:pt>
                <c:pt idx="56">
                  <c:v>40391</c:v>
                </c:pt>
                <c:pt idx="57">
                  <c:v>40422</c:v>
                </c:pt>
                <c:pt idx="58">
                  <c:v>40452</c:v>
                </c:pt>
                <c:pt idx="59">
                  <c:v>40483</c:v>
                </c:pt>
                <c:pt idx="60">
                  <c:v>40513</c:v>
                </c:pt>
                <c:pt idx="61">
                  <c:v>40544</c:v>
                </c:pt>
                <c:pt idx="62">
                  <c:v>40575</c:v>
                </c:pt>
                <c:pt idx="63">
                  <c:v>40603</c:v>
                </c:pt>
                <c:pt idx="64">
                  <c:v>40634</c:v>
                </c:pt>
                <c:pt idx="65">
                  <c:v>40664</c:v>
                </c:pt>
                <c:pt idx="66">
                  <c:v>40695</c:v>
                </c:pt>
                <c:pt idx="67">
                  <c:v>40725</c:v>
                </c:pt>
                <c:pt idx="68">
                  <c:v>40756</c:v>
                </c:pt>
                <c:pt idx="69">
                  <c:v>40787</c:v>
                </c:pt>
                <c:pt idx="70">
                  <c:v>40817</c:v>
                </c:pt>
                <c:pt idx="71">
                  <c:v>40848</c:v>
                </c:pt>
                <c:pt idx="72">
                  <c:v>40878</c:v>
                </c:pt>
                <c:pt idx="73">
                  <c:v>40909</c:v>
                </c:pt>
                <c:pt idx="74">
                  <c:v>40940</c:v>
                </c:pt>
                <c:pt idx="75">
                  <c:v>40969</c:v>
                </c:pt>
                <c:pt idx="76">
                  <c:v>41000</c:v>
                </c:pt>
                <c:pt idx="77">
                  <c:v>41030</c:v>
                </c:pt>
                <c:pt idx="78">
                  <c:v>41061</c:v>
                </c:pt>
                <c:pt idx="79">
                  <c:v>41091</c:v>
                </c:pt>
                <c:pt idx="80">
                  <c:v>41122</c:v>
                </c:pt>
                <c:pt idx="81">
                  <c:v>41153</c:v>
                </c:pt>
                <c:pt idx="82">
                  <c:v>41183</c:v>
                </c:pt>
                <c:pt idx="83">
                  <c:v>41214</c:v>
                </c:pt>
                <c:pt idx="84">
                  <c:v>41244</c:v>
                </c:pt>
                <c:pt idx="85">
                  <c:v>41275</c:v>
                </c:pt>
                <c:pt idx="86">
                  <c:v>41306</c:v>
                </c:pt>
                <c:pt idx="87">
                  <c:v>41334</c:v>
                </c:pt>
                <c:pt idx="88">
                  <c:v>41365</c:v>
                </c:pt>
                <c:pt idx="89">
                  <c:v>41395</c:v>
                </c:pt>
                <c:pt idx="90">
                  <c:v>41426</c:v>
                </c:pt>
                <c:pt idx="91">
                  <c:v>41456</c:v>
                </c:pt>
                <c:pt idx="92">
                  <c:v>41487</c:v>
                </c:pt>
                <c:pt idx="93">
                  <c:v>41518</c:v>
                </c:pt>
                <c:pt idx="94">
                  <c:v>41548</c:v>
                </c:pt>
                <c:pt idx="95">
                  <c:v>41579</c:v>
                </c:pt>
                <c:pt idx="96">
                  <c:v>41609</c:v>
                </c:pt>
                <c:pt idx="97">
                  <c:v>41640</c:v>
                </c:pt>
                <c:pt idx="98">
                  <c:v>41671</c:v>
                </c:pt>
                <c:pt idx="99">
                  <c:v>41699</c:v>
                </c:pt>
                <c:pt idx="100">
                  <c:v>41730</c:v>
                </c:pt>
                <c:pt idx="101">
                  <c:v>41760</c:v>
                </c:pt>
                <c:pt idx="102">
                  <c:v>41791</c:v>
                </c:pt>
                <c:pt idx="103">
                  <c:v>41821</c:v>
                </c:pt>
                <c:pt idx="104">
                  <c:v>41852</c:v>
                </c:pt>
                <c:pt idx="105">
                  <c:v>41883</c:v>
                </c:pt>
                <c:pt idx="106">
                  <c:v>41913</c:v>
                </c:pt>
                <c:pt idx="107">
                  <c:v>41944</c:v>
                </c:pt>
                <c:pt idx="108">
                  <c:v>41974</c:v>
                </c:pt>
                <c:pt idx="109">
                  <c:v>42005</c:v>
                </c:pt>
                <c:pt idx="110">
                  <c:v>42036</c:v>
                </c:pt>
                <c:pt idx="111">
                  <c:v>42064</c:v>
                </c:pt>
                <c:pt idx="112">
                  <c:v>42095</c:v>
                </c:pt>
                <c:pt idx="113">
                  <c:v>42125</c:v>
                </c:pt>
                <c:pt idx="114">
                  <c:v>42156</c:v>
                </c:pt>
                <c:pt idx="115">
                  <c:v>42186</c:v>
                </c:pt>
                <c:pt idx="116">
                  <c:v>42217</c:v>
                </c:pt>
                <c:pt idx="117">
                  <c:v>42248</c:v>
                </c:pt>
                <c:pt idx="118">
                  <c:v>42278</c:v>
                </c:pt>
                <c:pt idx="119">
                  <c:v>42309</c:v>
                </c:pt>
                <c:pt idx="120">
                  <c:v>42339</c:v>
                </c:pt>
                <c:pt idx="121">
                  <c:v>42370</c:v>
                </c:pt>
              </c:numCache>
            </c:numRef>
          </c:cat>
          <c:val>
            <c:numRef>
              <c:f>Sheet2!$F$2:$F$1600</c:f>
              <c:numCache>
                <c:formatCode>General</c:formatCode>
                <c:ptCount val="1599"/>
                <c:pt idx="98">
                  <c:v>433</c:v>
                </c:pt>
                <c:pt idx="99">
                  <c:v>7802</c:v>
                </c:pt>
                <c:pt idx="100">
                  <c:v>13317</c:v>
                </c:pt>
                <c:pt idx="101">
                  <c:v>13013</c:v>
                </c:pt>
                <c:pt idx="102">
                  <c:v>14294</c:v>
                </c:pt>
                <c:pt idx="103">
                  <c:v>13253</c:v>
                </c:pt>
                <c:pt idx="104">
                  <c:v>15355</c:v>
                </c:pt>
                <c:pt idx="105">
                  <c:v>16781</c:v>
                </c:pt>
                <c:pt idx="106">
                  <c:v>18205</c:v>
                </c:pt>
                <c:pt idx="107">
                  <c:v>17771</c:v>
                </c:pt>
                <c:pt idx="108">
                  <c:v>20639</c:v>
                </c:pt>
                <c:pt idx="109">
                  <c:v>20018</c:v>
                </c:pt>
                <c:pt idx="110">
                  <c:v>26307</c:v>
                </c:pt>
                <c:pt idx="111">
                  <c:v>27603</c:v>
                </c:pt>
                <c:pt idx="112">
                  <c:v>38841</c:v>
                </c:pt>
                <c:pt idx="113">
                  <c:v>32819</c:v>
                </c:pt>
                <c:pt idx="114">
                  <c:v>29652</c:v>
                </c:pt>
                <c:pt idx="115">
                  <c:v>24711</c:v>
                </c:pt>
                <c:pt idx="116">
                  <c:v>17994</c:v>
                </c:pt>
                <c:pt idx="117">
                  <c:v>18141</c:v>
                </c:pt>
                <c:pt idx="118">
                  <c:v>17495</c:v>
                </c:pt>
                <c:pt idx="119">
                  <c:v>17242</c:v>
                </c:pt>
                <c:pt idx="120">
                  <c:v>17651</c:v>
                </c:pt>
                <c:pt idx="121">
                  <c:v>10736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443712"/>
        <c:axId val="235445632"/>
      </c:areaChart>
      <c:dateAx>
        <c:axId val="2354437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35445632"/>
        <c:crosses val="autoZero"/>
        <c:auto val="1"/>
        <c:lblOffset val="100"/>
        <c:baseTimeUnit val="months"/>
      </c:dateAx>
      <c:valAx>
        <c:axId val="23544563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35443712"/>
        <c:crosses val="autoZero"/>
        <c:crossBetween val="midCat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Sheet2!$AM$1</c:f>
              <c:strCache>
                <c:ptCount val="1"/>
                <c:pt idx="0">
                  <c:v>N/A       </c:v>
                </c:pt>
              </c:strCache>
            </c:strRef>
          </c:tx>
          <c:cat>
            <c:numRef>
              <c:f>Sheet2!$AL$2:$AL$136</c:f>
              <c:numCache>
                <c:formatCode>m/d/yyyy</c:formatCode>
                <c:ptCount val="135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</c:numCache>
            </c:numRef>
          </c:cat>
          <c:val>
            <c:numRef>
              <c:f>Sheet2!$AM$2:$AM$136</c:f>
              <c:numCache>
                <c:formatCode>General</c:formatCode>
                <c:ptCount val="135"/>
                <c:pt idx="0">
                  <c:v>18274</c:v>
                </c:pt>
                <c:pt idx="1">
                  <c:v>17818</c:v>
                </c:pt>
                <c:pt idx="2">
                  <c:v>14430</c:v>
                </c:pt>
                <c:pt idx="3">
                  <c:v>16447</c:v>
                </c:pt>
                <c:pt idx="4">
                  <c:v>21208</c:v>
                </c:pt>
                <c:pt idx="5">
                  <c:v>20814</c:v>
                </c:pt>
                <c:pt idx="6">
                  <c:v>25422</c:v>
                </c:pt>
                <c:pt idx="7">
                  <c:v>32384</c:v>
                </c:pt>
                <c:pt idx="8">
                  <c:v>29845</c:v>
                </c:pt>
                <c:pt idx="9">
                  <c:v>29919</c:v>
                </c:pt>
                <c:pt idx="10">
                  <c:v>25968</c:v>
                </c:pt>
                <c:pt idx="11">
                  <c:v>23032</c:v>
                </c:pt>
                <c:pt idx="12">
                  <c:v>19087</c:v>
                </c:pt>
                <c:pt idx="13">
                  <c:v>17037</c:v>
                </c:pt>
                <c:pt idx="14">
                  <c:v>13255</c:v>
                </c:pt>
                <c:pt idx="15">
                  <c:v>15658</c:v>
                </c:pt>
                <c:pt idx="16">
                  <c:v>20502</c:v>
                </c:pt>
                <c:pt idx="17">
                  <c:v>19385</c:v>
                </c:pt>
                <c:pt idx="18">
                  <c:v>21324</c:v>
                </c:pt>
                <c:pt idx="19">
                  <c:v>21062</c:v>
                </c:pt>
                <c:pt idx="20">
                  <c:v>18244</c:v>
                </c:pt>
                <c:pt idx="21">
                  <c:v>21523</c:v>
                </c:pt>
                <c:pt idx="22">
                  <c:v>20834</c:v>
                </c:pt>
                <c:pt idx="23">
                  <c:v>21144</c:v>
                </c:pt>
                <c:pt idx="24">
                  <c:v>20779</c:v>
                </c:pt>
                <c:pt idx="25">
                  <c:v>21525</c:v>
                </c:pt>
                <c:pt idx="26">
                  <c:v>18020</c:v>
                </c:pt>
                <c:pt idx="27">
                  <c:v>18869</c:v>
                </c:pt>
                <c:pt idx="28">
                  <c:v>25321</c:v>
                </c:pt>
                <c:pt idx="29">
                  <c:v>27815</c:v>
                </c:pt>
                <c:pt idx="30">
                  <c:v>32290</c:v>
                </c:pt>
                <c:pt idx="31">
                  <c:v>29663</c:v>
                </c:pt>
                <c:pt idx="32">
                  <c:v>24698</c:v>
                </c:pt>
                <c:pt idx="33">
                  <c:v>24976</c:v>
                </c:pt>
                <c:pt idx="34">
                  <c:v>22959</c:v>
                </c:pt>
                <c:pt idx="35">
                  <c:v>25043</c:v>
                </c:pt>
                <c:pt idx="36">
                  <c:v>24510</c:v>
                </c:pt>
                <c:pt idx="37">
                  <c:v>23884</c:v>
                </c:pt>
                <c:pt idx="38">
                  <c:v>20975</c:v>
                </c:pt>
                <c:pt idx="39">
                  <c:v>22787</c:v>
                </c:pt>
                <c:pt idx="40">
                  <c:v>21383</c:v>
                </c:pt>
                <c:pt idx="41">
                  <c:v>22525</c:v>
                </c:pt>
                <c:pt idx="42">
                  <c:v>23075</c:v>
                </c:pt>
                <c:pt idx="43">
                  <c:v>19612</c:v>
                </c:pt>
                <c:pt idx="44">
                  <c:v>15980</c:v>
                </c:pt>
                <c:pt idx="45">
                  <c:v>14635</c:v>
                </c:pt>
                <c:pt idx="46">
                  <c:v>14115</c:v>
                </c:pt>
                <c:pt idx="47">
                  <c:v>15394</c:v>
                </c:pt>
                <c:pt idx="48">
                  <c:v>11771</c:v>
                </c:pt>
                <c:pt idx="49">
                  <c:v>15596</c:v>
                </c:pt>
                <c:pt idx="50">
                  <c:v>17183</c:v>
                </c:pt>
                <c:pt idx="51">
                  <c:v>19205</c:v>
                </c:pt>
                <c:pt idx="52">
                  <c:v>22244</c:v>
                </c:pt>
                <c:pt idx="53">
                  <c:v>27796</c:v>
                </c:pt>
                <c:pt idx="54">
                  <c:v>35162</c:v>
                </c:pt>
                <c:pt idx="55">
                  <c:v>33907</c:v>
                </c:pt>
                <c:pt idx="56">
                  <c:v>25673</c:v>
                </c:pt>
                <c:pt idx="57">
                  <c:v>25546</c:v>
                </c:pt>
                <c:pt idx="58">
                  <c:v>24426</c:v>
                </c:pt>
                <c:pt idx="59">
                  <c:v>26861</c:v>
                </c:pt>
                <c:pt idx="60">
                  <c:v>27023</c:v>
                </c:pt>
                <c:pt idx="61">
                  <c:v>24131</c:v>
                </c:pt>
                <c:pt idx="62">
                  <c:v>15542</c:v>
                </c:pt>
                <c:pt idx="63">
                  <c:v>15025</c:v>
                </c:pt>
                <c:pt idx="64">
                  <c:v>24751</c:v>
                </c:pt>
                <c:pt idx="65">
                  <c:v>26297</c:v>
                </c:pt>
                <c:pt idx="66">
                  <c:v>29344</c:v>
                </c:pt>
                <c:pt idx="67">
                  <c:v>36104</c:v>
                </c:pt>
                <c:pt idx="68">
                  <c:v>28611</c:v>
                </c:pt>
                <c:pt idx="69">
                  <c:v>34726</c:v>
                </c:pt>
                <c:pt idx="70">
                  <c:v>34796</c:v>
                </c:pt>
                <c:pt idx="71">
                  <c:v>32088</c:v>
                </c:pt>
                <c:pt idx="72">
                  <c:v>31798</c:v>
                </c:pt>
                <c:pt idx="73">
                  <c:v>32165</c:v>
                </c:pt>
                <c:pt idx="74">
                  <c:v>20587</c:v>
                </c:pt>
                <c:pt idx="75">
                  <c:v>22676</c:v>
                </c:pt>
                <c:pt idx="76">
                  <c:v>27054</c:v>
                </c:pt>
                <c:pt idx="77">
                  <c:v>26124</c:v>
                </c:pt>
                <c:pt idx="78">
                  <c:v>30974</c:v>
                </c:pt>
                <c:pt idx="79">
                  <c:v>35877</c:v>
                </c:pt>
                <c:pt idx="80">
                  <c:v>34579</c:v>
                </c:pt>
                <c:pt idx="81">
                  <c:v>40512</c:v>
                </c:pt>
                <c:pt idx="82">
                  <c:v>39519</c:v>
                </c:pt>
                <c:pt idx="83">
                  <c:v>45073</c:v>
                </c:pt>
                <c:pt idx="84">
                  <c:v>43789</c:v>
                </c:pt>
                <c:pt idx="85">
                  <c:v>45234</c:v>
                </c:pt>
                <c:pt idx="86">
                  <c:v>37294</c:v>
                </c:pt>
                <c:pt idx="87">
                  <c:v>43130</c:v>
                </c:pt>
                <c:pt idx="88">
                  <c:v>56078</c:v>
                </c:pt>
                <c:pt idx="89">
                  <c:v>54558</c:v>
                </c:pt>
                <c:pt idx="90">
                  <c:v>63132</c:v>
                </c:pt>
                <c:pt idx="91">
                  <c:v>71358</c:v>
                </c:pt>
                <c:pt idx="92">
                  <c:v>64773</c:v>
                </c:pt>
                <c:pt idx="93">
                  <c:v>66759</c:v>
                </c:pt>
                <c:pt idx="94">
                  <c:v>54797</c:v>
                </c:pt>
                <c:pt idx="95">
                  <c:v>58892</c:v>
                </c:pt>
                <c:pt idx="96">
                  <c:v>58734</c:v>
                </c:pt>
                <c:pt idx="97">
                  <c:v>56759</c:v>
                </c:pt>
                <c:pt idx="98">
                  <c:v>42223</c:v>
                </c:pt>
                <c:pt idx="99">
                  <c:v>39632</c:v>
                </c:pt>
                <c:pt idx="100">
                  <c:v>60513</c:v>
                </c:pt>
                <c:pt idx="101">
                  <c:v>70508</c:v>
                </c:pt>
                <c:pt idx="102">
                  <c:v>80327</c:v>
                </c:pt>
                <c:pt idx="103">
                  <c:v>86838</c:v>
                </c:pt>
                <c:pt idx="104">
                  <c:v>91301</c:v>
                </c:pt>
                <c:pt idx="105">
                  <c:v>91705</c:v>
                </c:pt>
                <c:pt idx="106">
                  <c:v>77750</c:v>
                </c:pt>
                <c:pt idx="107">
                  <c:v>71683</c:v>
                </c:pt>
                <c:pt idx="108">
                  <c:v>55718</c:v>
                </c:pt>
                <c:pt idx="109">
                  <c:v>56034</c:v>
                </c:pt>
                <c:pt idx="110">
                  <c:v>39691</c:v>
                </c:pt>
                <c:pt idx="111">
                  <c:v>40882</c:v>
                </c:pt>
                <c:pt idx="112">
                  <c:v>52579</c:v>
                </c:pt>
                <c:pt idx="113">
                  <c:v>60064</c:v>
                </c:pt>
                <c:pt idx="114">
                  <c:v>71732</c:v>
                </c:pt>
                <c:pt idx="115">
                  <c:v>78272</c:v>
                </c:pt>
                <c:pt idx="116">
                  <c:v>76943</c:v>
                </c:pt>
                <c:pt idx="117">
                  <c:v>72571</c:v>
                </c:pt>
                <c:pt idx="118">
                  <c:v>67442</c:v>
                </c:pt>
                <c:pt idx="119">
                  <c:v>70617</c:v>
                </c:pt>
                <c:pt idx="120">
                  <c:v>57379</c:v>
                </c:pt>
                <c:pt idx="121">
                  <c:v>65620</c:v>
                </c:pt>
                <c:pt idx="122">
                  <c:v>45536</c:v>
                </c:pt>
                <c:pt idx="123">
                  <c:v>47059</c:v>
                </c:pt>
                <c:pt idx="124">
                  <c:v>64171</c:v>
                </c:pt>
                <c:pt idx="125">
                  <c:v>67676</c:v>
                </c:pt>
                <c:pt idx="126">
                  <c:v>78212</c:v>
                </c:pt>
                <c:pt idx="127">
                  <c:v>93543</c:v>
                </c:pt>
                <c:pt idx="128">
                  <c:v>87144</c:v>
                </c:pt>
                <c:pt idx="129">
                  <c:v>78995</c:v>
                </c:pt>
                <c:pt idx="130">
                  <c:v>74401</c:v>
                </c:pt>
                <c:pt idx="131">
                  <c:v>66295</c:v>
                </c:pt>
                <c:pt idx="132">
                  <c:v>45494</c:v>
                </c:pt>
                <c:pt idx="133">
                  <c:v>23227</c:v>
                </c:pt>
                <c:pt idx="134">
                  <c:v>67</c:v>
                </c:pt>
              </c:numCache>
            </c:numRef>
          </c:val>
        </c:ser>
        <c:ser>
          <c:idx val="1"/>
          <c:order val="1"/>
          <c:tx>
            <c:strRef>
              <c:f>Sheet2!$AN$1</c:f>
              <c:strCache>
                <c:ptCount val="1"/>
                <c:pt idx="0">
                  <c:v>&lt; 2009-06 </c:v>
                </c:pt>
              </c:strCache>
            </c:strRef>
          </c:tx>
          <c:cat>
            <c:numRef>
              <c:f>Sheet2!$AL$2:$AL$136</c:f>
              <c:numCache>
                <c:formatCode>m/d/yyyy</c:formatCode>
                <c:ptCount val="135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</c:numCache>
            </c:numRef>
          </c:cat>
          <c:val>
            <c:numRef>
              <c:f>Sheet2!$AN$2:$AN$136</c:f>
              <c:numCache>
                <c:formatCode>General</c:formatCode>
                <c:ptCount val="135"/>
                <c:pt idx="0">
                  <c:v>19296</c:v>
                </c:pt>
                <c:pt idx="1">
                  <c:v>19367</c:v>
                </c:pt>
                <c:pt idx="2">
                  <c:v>16217</c:v>
                </c:pt>
                <c:pt idx="3">
                  <c:v>18282</c:v>
                </c:pt>
                <c:pt idx="4">
                  <c:v>22945</c:v>
                </c:pt>
                <c:pt idx="5">
                  <c:v>17249</c:v>
                </c:pt>
                <c:pt idx="6">
                  <c:v>20889</c:v>
                </c:pt>
                <c:pt idx="7">
                  <c:v>27493</c:v>
                </c:pt>
                <c:pt idx="8">
                  <c:v>31231</c:v>
                </c:pt>
                <c:pt idx="9">
                  <c:v>30344</c:v>
                </c:pt>
                <c:pt idx="10">
                  <c:v>27266</c:v>
                </c:pt>
                <c:pt idx="11">
                  <c:v>26896</c:v>
                </c:pt>
                <c:pt idx="12">
                  <c:v>20216</c:v>
                </c:pt>
                <c:pt idx="13">
                  <c:v>16824</c:v>
                </c:pt>
                <c:pt idx="14">
                  <c:v>14656</c:v>
                </c:pt>
                <c:pt idx="15">
                  <c:v>16622</c:v>
                </c:pt>
                <c:pt idx="16">
                  <c:v>19203</c:v>
                </c:pt>
                <c:pt idx="17">
                  <c:v>16151</c:v>
                </c:pt>
                <c:pt idx="18">
                  <c:v>15699</c:v>
                </c:pt>
                <c:pt idx="19">
                  <c:v>13990</c:v>
                </c:pt>
                <c:pt idx="20">
                  <c:v>12747</c:v>
                </c:pt>
                <c:pt idx="21">
                  <c:v>15647</c:v>
                </c:pt>
                <c:pt idx="22">
                  <c:v>16622</c:v>
                </c:pt>
                <c:pt idx="23">
                  <c:v>20654</c:v>
                </c:pt>
                <c:pt idx="24">
                  <c:v>19393</c:v>
                </c:pt>
                <c:pt idx="25">
                  <c:v>22776</c:v>
                </c:pt>
                <c:pt idx="26">
                  <c:v>22740</c:v>
                </c:pt>
                <c:pt idx="27">
                  <c:v>20586</c:v>
                </c:pt>
                <c:pt idx="28">
                  <c:v>25028</c:v>
                </c:pt>
                <c:pt idx="29">
                  <c:v>26551</c:v>
                </c:pt>
                <c:pt idx="30">
                  <c:v>26375</c:v>
                </c:pt>
                <c:pt idx="31">
                  <c:v>21015</c:v>
                </c:pt>
                <c:pt idx="32">
                  <c:v>16987</c:v>
                </c:pt>
                <c:pt idx="33">
                  <c:v>18729</c:v>
                </c:pt>
                <c:pt idx="34">
                  <c:v>20447</c:v>
                </c:pt>
                <c:pt idx="35">
                  <c:v>25996</c:v>
                </c:pt>
                <c:pt idx="36">
                  <c:v>25319</c:v>
                </c:pt>
                <c:pt idx="37">
                  <c:v>27711</c:v>
                </c:pt>
                <c:pt idx="38">
                  <c:v>31314</c:v>
                </c:pt>
                <c:pt idx="39">
                  <c:v>42764</c:v>
                </c:pt>
                <c:pt idx="40">
                  <c:v>31567</c:v>
                </c:pt>
                <c:pt idx="41">
                  <c:v>29505</c:v>
                </c:pt>
                <c:pt idx="42">
                  <c:v>22067</c:v>
                </c:pt>
                <c:pt idx="43">
                  <c:v>15491</c:v>
                </c:pt>
                <c:pt idx="44">
                  <c:v>10494</c:v>
                </c:pt>
                <c:pt idx="45">
                  <c:v>8915</c:v>
                </c:pt>
                <c:pt idx="46">
                  <c:v>9826</c:v>
                </c:pt>
                <c:pt idx="47">
                  <c:v>12743</c:v>
                </c:pt>
                <c:pt idx="48">
                  <c:v>9484</c:v>
                </c:pt>
                <c:pt idx="49">
                  <c:v>20177</c:v>
                </c:pt>
                <c:pt idx="50">
                  <c:v>66165</c:v>
                </c:pt>
                <c:pt idx="51">
                  <c:v>81476</c:v>
                </c:pt>
                <c:pt idx="52">
                  <c:v>84588</c:v>
                </c:pt>
              </c:numCache>
            </c:numRef>
          </c:val>
        </c:ser>
        <c:ser>
          <c:idx val="2"/>
          <c:order val="2"/>
          <c:tx>
            <c:strRef>
              <c:f>Sheet2!$AO$1</c:f>
              <c:strCache>
                <c:ptCount val="1"/>
                <c:pt idx="0">
                  <c:v>NON-HARPed</c:v>
                </c:pt>
              </c:strCache>
            </c:strRef>
          </c:tx>
          <c:cat>
            <c:numRef>
              <c:f>Sheet2!$AL$2:$AL$136</c:f>
              <c:numCache>
                <c:formatCode>m/d/yyyy</c:formatCode>
                <c:ptCount val="135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</c:numCache>
            </c:numRef>
          </c:cat>
          <c:val>
            <c:numRef>
              <c:f>Sheet2!$AO$2:$AO$136</c:f>
              <c:numCache>
                <c:formatCode>General</c:formatCode>
                <c:ptCount val="135"/>
                <c:pt idx="53">
                  <c:v>81756</c:v>
                </c:pt>
                <c:pt idx="54">
                  <c:v>98694</c:v>
                </c:pt>
                <c:pt idx="55">
                  <c:v>79985</c:v>
                </c:pt>
                <c:pt idx="56">
                  <c:v>49944</c:v>
                </c:pt>
                <c:pt idx="57">
                  <c:v>32936</c:v>
                </c:pt>
                <c:pt idx="58">
                  <c:v>25969</c:v>
                </c:pt>
                <c:pt idx="59">
                  <c:v>26137</c:v>
                </c:pt>
                <c:pt idx="60">
                  <c:v>27335</c:v>
                </c:pt>
                <c:pt idx="61">
                  <c:v>31066</c:v>
                </c:pt>
                <c:pt idx="62">
                  <c:v>24996</c:v>
                </c:pt>
                <c:pt idx="63">
                  <c:v>16955</c:v>
                </c:pt>
                <c:pt idx="64">
                  <c:v>23261</c:v>
                </c:pt>
                <c:pt idx="65">
                  <c:v>19774</c:v>
                </c:pt>
                <c:pt idx="66">
                  <c:v>16373</c:v>
                </c:pt>
                <c:pt idx="67">
                  <c:v>22123</c:v>
                </c:pt>
                <c:pt idx="68">
                  <c:v>34966</c:v>
                </c:pt>
                <c:pt idx="69">
                  <c:v>54825</c:v>
                </c:pt>
                <c:pt idx="70">
                  <c:v>65313</c:v>
                </c:pt>
                <c:pt idx="71">
                  <c:v>68437</c:v>
                </c:pt>
                <c:pt idx="72">
                  <c:v>71391</c:v>
                </c:pt>
                <c:pt idx="73">
                  <c:v>61672</c:v>
                </c:pt>
                <c:pt idx="74">
                  <c:v>39380</c:v>
                </c:pt>
                <c:pt idx="75">
                  <c:v>28893</c:v>
                </c:pt>
                <c:pt idx="76">
                  <c:v>23356</c:v>
                </c:pt>
                <c:pt idx="77">
                  <c:v>16989</c:v>
                </c:pt>
                <c:pt idx="78">
                  <c:v>15387</c:v>
                </c:pt>
                <c:pt idx="79">
                  <c:v>16908</c:v>
                </c:pt>
                <c:pt idx="80">
                  <c:v>18583</c:v>
                </c:pt>
                <c:pt idx="81">
                  <c:v>25002</c:v>
                </c:pt>
                <c:pt idx="82">
                  <c:v>40035</c:v>
                </c:pt>
                <c:pt idx="83">
                  <c:v>62449</c:v>
                </c:pt>
                <c:pt idx="84">
                  <c:v>69339</c:v>
                </c:pt>
                <c:pt idx="85">
                  <c:v>68368</c:v>
                </c:pt>
                <c:pt idx="86">
                  <c:v>74896</c:v>
                </c:pt>
                <c:pt idx="87">
                  <c:v>87727</c:v>
                </c:pt>
                <c:pt idx="88">
                  <c:v>83635</c:v>
                </c:pt>
                <c:pt idx="89">
                  <c:v>66120</c:v>
                </c:pt>
                <c:pt idx="90">
                  <c:v>58704</c:v>
                </c:pt>
                <c:pt idx="91">
                  <c:v>68002</c:v>
                </c:pt>
                <c:pt idx="92">
                  <c:v>62940</c:v>
                </c:pt>
                <c:pt idx="93">
                  <c:v>77943</c:v>
                </c:pt>
                <c:pt idx="94">
                  <c:v>67527</c:v>
                </c:pt>
                <c:pt idx="95">
                  <c:v>83263</c:v>
                </c:pt>
                <c:pt idx="96">
                  <c:v>84096</c:v>
                </c:pt>
                <c:pt idx="97">
                  <c:v>83542</c:v>
                </c:pt>
                <c:pt idx="98">
                  <c:v>80177</c:v>
                </c:pt>
                <c:pt idx="99">
                  <c:v>62542</c:v>
                </c:pt>
                <c:pt idx="100">
                  <c:v>70534</c:v>
                </c:pt>
                <c:pt idx="101">
                  <c:v>65961</c:v>
                </c:pt>
                <c:pt idx="102">
                  <c:v>61838</c:v>
                </c:pt>
                <c:pt idx="103">
                  <c:v>54706</c:v>
                </c:pt>
                <c:pt idx="104">
                  <c:v>43768</c:v>
                </c:pt>
                <c:pt idx="105">
                  <c:v>30822</c:v>
                </c:pt>
                <c:pt idx="106">
                  <c:v>21446</c:v>
                </c:pt>
                <c:pt idx="107">
                  <c:v>19444</c:v>
                </c:pt>
                <c:pt idx="108">
                  <c:v>18437</c:v>
                </c:pt>
                <c:pt idx="109">
                  <c:v>17008</c:v>
                </c:pt>
                <c:pt idx="110">
                  <c:v>13934</c:v>
                </c:pt>
                <c:pt idx="111">
                  <c:v>12746</c:v>
                </c:pt>
                <c:pt idx="112">
                  <c:v>14488</c:v>
                </c:pt>
                <c:pt idx="113">
                  <c:v>14305</c:v>
                </c:pt>
                <c:pt idx="114">
                  <c:v>15182</c:v>
                </c:pt>
                <c:pt idx="115">
                  <c:v>17576</c:v>
                </c:pt>
                <c:pt idx="116">
                  <c:v>18183</c:v>
                </c:pt>
                <c:pt idx="117">
                  <c:v>39009</c:v>
                </c:pt>
                <c:pt idx="118">
                  <c:v>41903</c:v>
                </c:pt>
                <c:pt idx="119">
                  <c:v>43011</c:v>
                </c:pt>
                <c:pt idx="120">
                  <c:v>46727</c:v>
                </c:pt>
                <c:pt idx="121">
                  <c:v>54114</c:v>
                </c:pt>
                <c:pt idx="122">
                  <c:v>50538</c:v>
                </c:pt>
                <c:pt idx="123">
                  <c:v>70674</c:v>
                </c:pt>
                <c:pt idx="124">
                  <c:v>78177</c:v>
                </c:pt>
                <c:pt idx="125">
                  <c:v>60562</c:v>
                </c:pt>
                <c:pt idx="126">
                  <c:v>56416</c:v>
                </c:pt>
                <c:pt idx="127">
                  <c:v>55180</c:v>
                </c:pt>
                <c:pt idx="128">
                  <c:v>47513</c:v>
                </c:pt>
                <c:pt idx="129">
                  <c:v>44660</c:v>
                </c:pt>
                <c:pt idx="130">
                  <c:v>46143</c:v>
                </c:pt>
                <c:pt idx="131">
                  <c:v>46372</c:v>
                </c:pt>
                <c:pt idx="132">
                  <c:v>35833</c:v>
                </c:pt>
                <c:pt idx="133">
                  <c:v>17971</c:v>
                </c:pt>
                <c:pt idx="134">
                  <c:v>204</c:v>
                </c:pt>
              </c:numCache>
            </c:numRef>
          </c:val>
        </c:ser>
        <c:ser>
          <c:idx val="3"/>
          <c:order val="3"/>
          <c:tx>
            <c:strRef>
              <c:f>Sheet2!$AP$1</c:f>
              <c:strCache>
                <c:ptCount val="1"/>
                <c:pt idx="0">
                  <c:v>HARPed    </c:v>
                </c:pt>
              </c:strCache>
            </c:strRef>
          </c:tx>
          <c:cat>
            <c:numRef>
              <c:f>Sheet2!$AL$2:$AL$136</c:f>
              <c:numCache>
                <c:formatCode>m/d/yyyy</c:formatCode>
                <c:ptCount val="135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</c:numCache>
            </c:numRef>
          </c:cat>
          <c:val>
            <c:numRef>
              <c:f>Sheet2!$AP$2:$AP$136</c:f>
              <c:numCache>
                <c:formatCode>General</c:formatCode>
                <c:ptCount val="135"/>
                <c:pt idx="53">
                  <c:v>22119</c:v>
                </c:pt>
                <c:pt idx="54">
                  <c:v>39349</c:v>
                </c:pt>
                <c:pt idx="55">
                  <c:v>41471</c:v>
                </c:pt>
                <c:pt idx="56">
                  <c:v>30038</c:v>
                </c:pt>
                <c:pt idx="57">
                  <c:v>21784</c:v>
                </c:pt>
                <c:pt idx="58">
                  <c:v>18281</c:v>
                </c:pt>
                <c:pt idx="59">
                  <c:v>20048</c:v>
                </c:pt>
                <c:pt idx="60">
                  <c:v>22598</c:v>
                </c:pt>
                <c:pt idx="61">
                  <c:v>26006</c:v>
                </c:pt>
                <c:pt idx="62">
                  <c:v>24778</c:v>
                </c:pt>
                <c:pt idx="63">
                  <c:v>19537</c:v>
                </c:pt>
                <c:pt idx="64">
                  <c:v>23581</c:v>
                </c:pt>
                <c:pt idx="65">
                  <c:v>21651</c:v>
                </c:pt>
                <c:pt idx="66">
                  <c:v>17093</c:v>
                </c:pt>
                <c:pt idx="67">
                  <c:v>19377</c:v>
                </c:pt>
                <c:pt idx="68">
                  <c:v>25614</c:v>
                </c:pt>
                <c:pt idx="69">
                  <c:v>35899</c:v>
                </c:pt>
                <c:pt idx="70">
                  <c:v>39955</c:v>
                </c:pt>
                <c:pt idx="71">
                  <c:v>43745</c:v>
                </c:pt>
                <c:pt idx="72">
                  <c:v>44688</c:v>
                </c:pt>
                <c:pt idx="73">
                  <c:v>43163</c:v>
                </c:pt>
                <c:pt idx="74">
                  <c:v>37615</c:v>
                </c:pt>
                <c:pt idx="75">
                  <c:v>30023</c:v>
                </c:pt>
                <c:pt idx="76">
                  <c:v>30663</c:v>
                </c:pt>
                <c:pt idx="77">
                  <c:v>26665</c:v>
                </c:pt>
                <c:pt idx="78">
                  <c:v>24085</c:v>
                </c:pt>
                <c:pt idx="79">
                  <c:v>26981</c:v>
                </c:pt>
                <c:pt idx="80">
                  <c:v>26476</c:v>
                </c:pt>
                <c:pt idx="81">
                  <c:v>26683</c:v>
                </c:pt>
                <c:pt idx="82">
                  <c:v>28920</c:v>
                </c:pt>
                <c:pt idx="83">
                  <c:v>35167</c:v>
                </c:pt>
                <c:pt idx="84">
                  <c:v>36302</c:v>
                </c:pt>
                <c:pt idx="85">
                  <c:v>37421</c:v>
                </c:pt>
                <c:pt idx="86">
                  <c:v>41993</c:v>
                </c:pt>
                <c:pt idx="87">
                  <c:v>46599</c:v>
                </c:pt>
                <c:pt idx="88">
                  <c:v>44701</c:v>
                </c:pt>
                <c:pt idx="89">
                  <c:v>41557</c:v>
                </c:pt>
                <c:pt idx="90">
                  <c:v>42169</c:v>
                </c:pt>
                <c:pt idx="91">
                  <c:v>42658</c:v>
                </c:pt>
                <c:pt idx="92">
                  <c:v>60637</c:v>
                </c:pt>
                <c:pt idx="93">
                  <c:v>67250</c:v>
                </c:pt>
                <c:pt idx="94">
                  <c:v>63599</c:v>
                </c:pt>
                <c:pt idx="95">
                  <c:v>74296</c:v>
                </c:pt>
                <c:pt idx="96">
                  <c:v>70012</c:v>
                </c:pt>
                <c:pt idx="97">
                  <c:v>71858</c:v>
                </c:pt>
                <c:pt idx="98">
                  <c:v>73084</c:v>
                </c:pt>
                <c:pt idx="99">
                  <c:v>64077</c:v>
                </c:pt>
                <c:pt idx="100">
                  <c:v>66704</c:v>
                </c:pt>
                <c:pt idx="101">
                  <c:v>64185</c:v>
                </c:pt>
                <c:pt idx="102">
                  <c:v>62288</c:v>
                </c:pt>
                <c:pt idx="103">
                  <c:v>57439</c:v>
                </c:pt>
                <c:pt idx="104">
                  <c:v>49678</c:v>
                </c:pt>
                <c:pt idx="105">
                  <c:v>40554</c:v>
                </c:pt>
                <c:pt idx="106">
                  <c:v>33744</c:v>
                </c:pt>
                <c:pt idx="107">
                  <c:v>32773</c:v>
                </c:pt>
                <c:pt idx="108">
                  <c:v>28222</c:v>
                </c:pt>
                <c:pt idx="109">
                  <c:v>26633</c:v>
                </c:pt>
                <c:pt idx="110">
                  <c:v>22506</c:v>
                </c:pt>
                <c:pt idx="111">
                  <c:v>19121</c:v>
                </c:pt>
                <c:pt idx="112">
                  <c:v>20629</c:v>
                </c:pt>
                <c:pt idx="113">
                  <c:v>19641</c:v>
                </c:pt>
                <c:pt idx="114">
                  <c:v>19650</c:v>
                </c:pt>
                <c:pt idx="115">
                  <c:v>21026</c:v>
                </c:pt>
                <c:pt idx="116">
                  <c:v>22613</c:v>
                </c:pt>
                <c:pt idx="117">
                  <c:v>3822</c:v>
                </c:pt>
                <c:pt idx="118">
                  <c:v>3734</c:v>
                </c:pt>
                <c:pt idx="119">
                  <c:v>3478</c:v>
                </c:pt>
                <c:pt idx="120">
                  <c:v>2955</c:v>
                </c:pt>
                <c:pt idx="121">
                  <c:v>3183</c:v>
                </c:pt>
                <c:pt idx="122">
                  <c:v>2758</c:v>
                </c:pt>
                <c:pt idx="123">
                  <c:v>2890</c:v>
                </c:pt>
                <c:pt idx="124">
                  <c:v>3285</c:v>
                </c:pt>
                <c:pt idx="125">
                  <c:v>2905</c:v>
                </c:pt>
                <c:pt idx="126">
                  <c:v>2527</c:v>
                </c:pt>
                <c:pt idx="127">
                  <c:v>2529</c:v>
                </c:pt>
                <c:pt idx="128">
                  <c:v>2316</c:v>
                </c:pt>
                <c:pt idx="129">
                  <c:v>2363</c:v>
                </c:pt>
                <c:pt idx="130">
                  <c:v>2226</c:v>
                </c:pt>
                <c:pt idx="131">
                  <c:v>2112</c:v>
                </c:pt>
                <c:pt idx="132">
                  <c:v>1626</c:v>
                </c:pt>
                <c:pt idx="133">
                  <c:v>1089</c:v>
                </c:pt>
                <c:pt idx="134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694080"/>
        <c:axId val="251706752"/>
      </c:areaChart>
      <c:dateAx>
        <c:axId val="2516940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51706752"/>
        <c:crosses val="autoZero"/>
        <c:auto val="1"/>
        <c:lblOffset val="100"/>
        <c:baseTimeUnit val="months"/>
      </c:dateAx>
      <c:valAx>
        <c:axId val="25170675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51694080"/>
        <c:crosses val="autoZero"/>
        <c:crossBetween val="midCat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Specified refi-NCO (All Period)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</c:spPr>
          </c:dPt>
          <c:cat>
            <c:strRef>
              <c:f>Sheet3!$B$46:$B$49</c:f>
              <c:strCache>
                <c:ptCount val="4"/>
                <c:pt idx="0">
                  <c:v>MHA-ELIGIBLE</c:v>
                </c:pt>
                <c:pt idx="1">
                  <c:v>NOMHA-PURCHASE</c:v>
                </c:pt>
                <c:pt idx="2">
                  <c:v>NOMHA-REFI-CO</c:v>
                </c:pt>
                <c:pt idx="3">
                  <c:v>NOMHA-REFI-NCO</c:v>
                </c:pt>
              </c:strCache>
            </c:strRef>
          </c:cat>
          <c:val>
            <c:numRef>
              <c:f>Sheet3!$C$46:$C$49</c:f>
              <c:numCache>
                <c:formatCode>_(* #,##0.00_);_(* \(#,##0.00\);_(* "-"??_);_(@_)</c:formatCode>
                <c:ptCount val="4"/>
                <c:pt idx="0">
                  <c:v>1412406</c:v>
                </c:pt>
                <c:pt idx="1">
                  <c:v>5701166</c:v>
                </c:pt>
                <c:pt idx="2">
                  <c:v>4306137</c:v>
                </c:pt>
                <c:pt idx="3">
                  <c:v>5961898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76386560"/>
        <c:axId val="276388096"/>
      </c:barChart>
      <c:catAx>
        <c:axId val="276386560"/>
        <c:scaling>
          <c:orientation val="minMax"/>
        </c:scaling>
        <c:delete val="0"/>
        <c:axPos val="b"/>
        <c:majorTickMark val="out"/>
        <c:minorTickMark val="none"/>
        <c:tickLblPos val="nextTo"/>
        <c:crossAx val="276388096"/>
        <c:crosses val="autoZero"/>
        <c:auto val="1"/>
        <c:lblAlgn val="ctr"/>
        <c:lblOffset val="100"/>
        <c:noMultiLvlLbl val="0"/>
      </c:catAx>
      <c:valAx>
        <c:axId val="276388096"/>
        <c:scaling>
          <c:orientation val="minMax"/>
          <c:max val="12000000"/>
        </c:scaling>
        <c:delete val="0"/>
        <c:axPos val="l"/>
        <c:majorGridlines/>
        <c:numFmt formatCode="_(* #,##0_);_(* \(#,##0\);_(* &quot;-&quot;_);_(@_)" sourceLinked="0"/>
        <c:majorTickMark val="out"/>
        <c:minorTickMark val="none"/>
        <c:tickLblPos val="nextTo"/>
        <c:crossAx val="276386560"/>
        <c:crosses val="autoZero"/>
        <c:crossBetween val="between"/>
        <c:dispUnits>
          <c:builtInUnit val="millions"/>
          <c:dispUnitsLbl/>
        </c:dispUnits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1" i="0" baseline="0">
                <a:effectLst/>
              </a:rPr>
              <a:t>Not Specified refi-NCO (All Period)</a:t>
            </a:r>
            <a:endParaRPr lang="en-US" sz="1200">
              <a:effectLst/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</c:spPr>
          </c:dPt>
          <c:dLbls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Sheet3!$B$57:$B$60</c:f>
              <c:strCache>
                <c:ptCount val="4"/>
                <c:pt idx="0">
                  <c:v>MHA-ELIGIBLE</c:v>
                </c:pt>
                <c:pt idx="1">
                  <c:v>NOMHA-PURCHASE</c:v>
                </c:pt>
                <c:pt idx="2">
                  <c:v>NOMHA-REFI</c:v>
                </c:pt>
                <c:pt idx="3">
                  <c:v>MISC-VERIFY</c:v>
                </c:pt>
              </c:strCache>
            </c:strRef>
          </c:cat>
          <c:val>
            <c:numRef>
              <c:f>Sheet3!$C$57:$C$60</c:f>
              <c:numCache>
                <c:formatCode>_(* #,##0.00_);_(* \(#,##0.00\);_(* "-"??_);_(@_)</c:formatCode>
                <c:ptCount val="4"/>
                <c:pt idx="0">
                  <c:v>1448911</c:v>
                </c:pt>
                <c:pt idx="1">
                  <c:v>5701166</c:v>
                </c:pt>
                <c:pt idx="2">
                  <c:v>10150562</c:v>
                </c:pt>
                <c:pt idx="3">
                  <c:v>80968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0444416"/>
        <c:axId val="290446336"/>
      </c:barChart>
      <c:catAx>
        <c:axId val="290444416"/>
        <c:scaling>
          <c:orientation val="minMax"/>
        </c:scaling>
        <c:delete val="0"/>
        <c:axPos val="b"/>
        <c:majorTickMark val="out"/>
        <c:minorTickMark val="none"/>
        <c:tickLblPos val="nextTo"/>
        <c:crossAx val="290446336"/>
        <c:crosses val="autoZero"/>
        <c:auto val="1"/>
        <c:lblAlgn val="ctr"/>
        <c:lblOffset val="100"/>
        <c:noMultiLvlLbl val="0"/>
      </c:catAx>
      <c:valAx>
        <c:axId val="290446336"/>
        <c:scaling>
          <c:orientation val="minMax"/>
        </c:scaling>
        <c:delete val="0"/>
        <c:axPos val="l"/>
        <c:majorGridlines/>
        <c:numFmt formatCode="_(* #,##0_);_(* \(#,##0\);_(* &quot;-&quot;_);_(@_)" sourceLinked="0"/>
        <c:majorTickMark val="out"/>
        <c:minorTickMark val="none"/>
        <c:tickLblPos val="nextTo"/>
        <c:crossAx val="290444416"/>
        <c:crosses val="autoZero"/>
        <c:crossBetween val="between"/>
        <c:dispUnits>
          <c:builtInUnit val="millions"/>
          <c:dispUnitsLbl/>
        </c:dispUnits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1" i="0" baseline="0">
                <a:effectLst/>
              </a:rPr>
              <a:t>Specified refi-NCO (2015)</a:t>
            </a:r>
            <a:endParaRPr lang="en-US" sz="1200">
              <a:effectLst/>
            </a:endParaRP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</c:spPr>
          </c:dPt>
          <c:cat>
            <c:strRef>
              <c:f>Sheet3!$F$46:$F$49</c:f>
              <c:strCache>
                <c:ptCount val="4"/>
                <c:pt idx="0">
                  <c:v>MHA-ELIGIBLE</c:v>
                </c:pt>
                <c:pt idx="1">
                  <c:v>NOMHA-PURCHASE</c:v>
                </c:pt>
                <c:pt idx="2">
                  <c:v>NOMHA-REFI-CO</c:v>
                </c:pt>
                <c:pt idx="3">
                  <c:v>NOMHA-REFI</c:v>
                </c:pt>
              </c:strCache>
            </c:strRef>
          </c:cat>
          <c:val>
            <c:numRef>
              <c:f>Sheet3!$G$46:$G$49</c:f>
              <c:numCache>
                <c:formatCode>_(* #,##0.00_);_(* \(#,##0.00\);_(* "-"??_);_(@_)</c:formatCode>
                <c:ptCount val="4"/>
                <c:pt idx="0">
                  <c:v>45056</c:v>
                </c:pt>
                <c:pt idx="1">
                  <c:v>629706</c:v>
                </c:pt>
                <c:pt idx="2">
                  <c:v>295887</c:v>
                </c:pt>
                <c:pt idx="3">
                  <c:v>463837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30626560"/>
        <c:axId val="330662272"/>
      </c:barChart>
      <c:catAx>
        <c:axId val="330626560"/>
        <c:scaling>
          <c:orientation val="minMax"/>
        </c:scaling>
        <c:delete val="0"/>
        <c:axPos val="b"/>
        <c:majorTickMark val="out"/>
        <c:minorTickMark val="none"/>
        <c:tickLblPos val="nextTo"/>
        <c:crossAx val="330662272"/>
        <c:crosses val="autoZero"/>
        <c:auto val="1"/>
        <c:lblAlgn val="ctr"/>
        <c:lblOffset val="100"/>
        <c:noMultiLvlLbl val="0"/>
      </c:catAx>
      <c:valAx>
        <c:axId val="330662272"/>
        <c:scaling>
          <c:orientation val="minMax"/>
          <c:max val="800000"/>
        </c:scaling>
        <c:delete val="0"/>
        <c:axPos val="l"/>
        <c:majorGridlines/>
        <c:numFmt formatCode="_(* #,##0_);_(* \(#,##0\);_(* &quot;-&quot;_);_(@_)" sourceLinked="0"/>
        <c:majorTickMark val="out"/>
        <c:minorTickMark val="none"/>
        <c:tickLblPos val="nextTo"/>
        <c:crossAx val="330626560"/>
        <c:crosses val="autoZero"/>
        <c:crossBetween val="between"/>
        <c:dispUnits>
          <c:builtInUnit val="thousands"/>
          <c:dispUnitsLbl/>
        </c:dispUnits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1" i="0" baseline="0">
                <a:effectLst/>
              </a:rPr>
              <a:t>Not Specified refi-NCO (2015)</a:t>
            </a:r>
            <a:endParaRPr lang="en-US" sz="1200">
              <a:effectLst/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</c:spPr>
          </c:dPt>
          <c:dLbls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Sheet3!$F$57:$F$60</c:f>
              <c:strCache>
                <c:ptCount val="4"/>
                <c:pt idx="0">
                  <c:v>MHA-ELIGIBLE</c:v>
                </c:pt>
                <c:pt idx="1">
                  <c:v>NOMHA-PURCHASE</c:v>
                </c:pt>
                <c:pt idx="2">
                  <c:v>NOMHA-REFI-NCO</c:v>
                </c:pt>
                <c:pt idx="3">
                  <c:v>MISC-VERIFY</c:v>
                </c:pt>
              </c:strCache>
            </c:strRef>
          </c:cat>
          <c:val>
            <c:numRef>
              <c:f>Sheet3!$G$57:$G$60</c:f>
              <c:numCache>
                <c:formatCode>_(* #,##0.00_);_(* \(#,##0.00\);_(* "-"??_);_(@_)</c:formatCode>
                <c:ptCount val="4"/>
                <c:pt idx="0">
                  <c:v>45105</c:v>
                </c:pt>
                <c:pt idx="1">
                  <c:v>629706</c:v>
                </c:pt>
                <c:pt idx="2">
                  <c:v>759675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4532608"/>
        <c:axId val="334534528"/>
      </c:barChart>
      <c:catAx>
        <c:axId val="334532608"/>
        <c:scaling>
          <c:orientation val="minMax"/>
        </c:scaling>
        <c:delete val="0"/>
        <c:axPos val="b"/>
        <c:majorTickMark val="out"/>
        <c:minorTickMark val="none"/>
        <c:tickLblPos val="nextTo"/>
        <c:crossAx val="334534528"/>
        <c:crosses val="autoZero"/>
        <c:auto val="1"/>
        <c:lblAlgn val="ctr"/>
        <c:lblOffset val="100"/>
        <c:noMultiLvlLbl val="0"/>
      </c:catAx>
      <c:valAx>
        <c:axId val="334534528"/>
        <c:scaling>
          <c:orientation val="minMax"/>
        </c:scaling>
        <c:delete val="0"/>
        <c:axPos val="l"/>
        <c:majorGridlines/>
        <c:numFmt formatCode="_(* #,##0_);_(* \(#,##0\);_(* &quot;-&quot;_);_(@_)" sourceLinked="0"/>
        <c:majorTickMark val="out"/>
        <c:minorTickMark val="none"/>
        <c:tickLblPos val="nextTo"/>
        <c:crossAx val="334532608"/>
        <c:crosses val="autoZero"/>
        <c:crossBetween val="between"/>
        <c:dispUnits>
          <c:builtInUnit val="thousands"/>
          <c:dispUnitsLbl/>
        </c:dispUnits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Specified refi-NCO (All Period)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dPt>
            <c:idx val="3"/>
            <c:invertIfNegative val="0"/>
            <c:bubble3D val="0"/>
            <c:spPr>
              <a:solidFill>
                <a:schemeClr val="accent2"/>
              </a:solidFill>
            </c:spPr>
          </c:dPt>
          <c:cat>
            <c:strRef>
              <c:f>Sheet3!$B$68:$B$72</c:f>
              <c:strCache>
                <c:ptCount val="5"/>
                <c:pt idx="0">
                  <c:v>N/A</c:v>
                </c:pt>
                <c:pt idx="1">
                  <c:v>&lt; 2009-06</c:v>
                </c:pt>
                <c:pt idx="2">
                  <c:v>NON-HARPed</c:v>
                </c:pt>
                <c:pt idx="3">
                  <c:v>HARPed</c:v>
                </c:pt>
                <c:pt idx="4">
                  <c:v>Unknown</c:v>
                </c:pt>
              </c:strCache>
            </c:strRef>
          </c:cat>
          <c:val>
            <c:numRef>
              <c:f>Sheet3!$C$68:$C$72</c:f>
              <c:numCache>
                <c:formatCode>_(* #,##0.00_);_(* \(#,##0.00\);_(* "-"??_);_(@_)</c:formatCode>
                <c:ptCount val="5"/>
                <c:pt idx="0">
                  <c:v>7769037</c:v>
                </c:pt>
                <c:pt idx="1">
                  <c:v>1071585</c:v>
                </c:pt>
                <c:pt idx="2">
                  <c:v>1506286</c:v>
                </c:pt>
                <c:pt idx="3">
                  <c:v>1261952</c:v>
                </c:pt>
                <c:pt idx="4">
                  <c:v>464782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04585472"/>
        <c:axId val="452191360"/>
      </c:barChart>
      <c:catAx>
        <c:axId val="404585472"/>
        <c:scaling>
          <c:orientation val="minMax"/>
        </c:scaling>
        <c:delete val="0"/>
        <c:axPos val="b"/>
        <c:majorTickMark val="out"/>
        <c:minorTickMark val="none"/>
        <c:tickLblPos val="nextTo"/>
        <c:crossAx val="452191360"/>
        <c:crosses val="autoZero"/>
        <c:auto val="1"/>
        <c:lblAlgn val="ctr"/>
        <c:lblOffset val="100"/>
        <c:noMultiLvlLbl val="0"/>
      </c:catAx>
      <c:valAx>
        <c:axId val="452191360"/>
        <c:scaling>
          <c:orientation val="minMax"/>
        </c:scaling>
        <c:delete val="0"/>
        <c:axPos val="l"/>
        <c:majorGridlines/>
        <c:numFmt formatCode="_(* #,##0_);_(* \(#,##0\);_(* &quot;-&quot;_);_(@_)" sourceLinked="0"/>
        <c:majorTickMark val="out"/>
        <c:minorTickMark val="none"/>
        <c:tickLblPos val="nextTo"/>
        <c:crossAx val="404585472"/>
        <c:crosses val="autoZero"/>
        <c:crossBetween val="between"/>
        <c:dispUnits>
          <c:builtInUnit val="millions"/>
          <c:dispUnitsLbl/>
        </c:dispUnits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Not Specified</a:t>
            </a:r>
            <a:r>
              <a:rPr lang="en-US" sz="1200" baseline="0"/>
              <a:t> refi-NCO (All Period)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3"/>
            <c:invertIfNegative val="0"/>
            <c:bubble3D val="0"/>
            <c:spPr>
              <a:solidFill>
                <a:schemeClr val="accent2"/>
              </a:solidFill>
            </c:spPr>
          </c:dPt>
          <c:dLbls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Sheet3!$F$68:$F$72</c:f>
              <c:strCache>
                <c:ptCount val="5"/>
                <c:pt idx="0">
                  <c:v>N/A</c:v>
                </c:pt>
                <c:pt idx="1">
                  <c:v>&lt; 2009-06</c:v>
                </c:pt>
                <c:pt idx="2">
                  <c:v>NON-HARPed</c:v>
                </c:pt>
                <c:pt idx="3">
                  <c:v>HARPed</c:v>
                </c:pt>
                <c:pt idx="4">
                  <c:v>Unknown</c:v>
                </c:pt>
              </c:strCache>
            </c:strRef>
          </c:cat>
          <c:val>
            <c:numRef>
              <c:f>Sheet3!$G$68:$G$72</c:f>
              <c:numCache>
                <c:formatCode>_(* #,##0.00_);_(* \(#,##0.00\);_(* "-"??_);_(@_)</c:formatCode>
                <c:ptCount val="5"/>
                <c:pt idx="0">
                  <c:v>4968713</c:v>
                </c:pt>
                <c:pt idx="1">
                  <c:v>2623503</c:v>
                </c:pt>
                <c:pt idx="2">
                  <c:v>2450387</c:v>
                </c:pt>
                <c:pt idx="3">
                  <c:v>1268450</c:v>
                </c:pt>
                <c:pt idx="4">
                  <c:v>762589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5613056"/>
        <c:axId val="79548800"/>
      </c:barChart>
      <c:catAx>
        <c:axId val="455613056"/>
        <c:scaling>
          <c:orientation val="minMax"/>
        </c:scaling>
        <c:delete val="0"/>
        <c:axPos val="b"/>
        <c:majorTickMark val="out"/>
        <c:minorTickMark val="none"/>
        <c:tickLblPos val="nextTo"/>
        <c:crossAx val="79548800"/>
        <c:crosses val="autoZero"/>
        <c:auto val="1"/>
        <c:lblAlgn val="ctr"/>
        <c:lblOffset val="100"/>
        <c:noMultiLvlLbl val="0"/>
      </c:catAx>
      <c:valAx>
        <c:axId val="79548800"/>
        <c:scaling>
          <c:orientation val="minMax"/>
          <c:max val="9000000"/>
        </c:scaling>
        <c:delete val="0"/>
        <c:axPos val="l"/>
        <c:majorGridlines/>
        <c:numFmt formatCode="_(* #,##0_);_(* \(#,##0\);_(* &quot;-&quot;_);_(@_)" sourceLinked="0"/>
        <c:majorTickMark val="out"/>
        <c:minorTickMark val="none"/>
        <c:tickLblPos val="nextTo"/>
        <c:crossAx val="455613056"/>
        <c:crosses val="autoZero"/>
        <c:crossBetween val="between"/>
        <c:dispUnits>
          <c:builtInUnit val="millions"/>
          <c:dispUnitsLbl/>
        </c:dispUnits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Specified refi-NCO (2013)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</c:spPr>
          </c:dPt>
          <c:cat>
            <c:strRef>
              <c:f>Sheet3!$B$77:$B$79</c:f>
              <c:strCache>
                <c:ptCount val="3"/>
                <c:pt idx="0">
                  <c:v>N/A</c:v>
                </c:pt>
                <c:pt idx="1">
                  <c:v>NON-HARPed</c:v>
                </c:pt>
                <c:pt idx="2">
                  <c:v>HARPed</c:v>
                </c:pt>
              </c:strCache>
            </c:strRef>
          </c:cat>
          <c:val>
            <c:numRef>
              <c:f>Sheet3!$C$77:$C$79</c:f>
              <c:numCache>
                <c:formatCode>_(* #,##0.00_);_(* \(#,##0.00\);_(* "-"??_);_(@_)</c:formatCode>
                <c:ptCount val="3"/>
                <c:pt idx="0">
                  <c:v>545032</c:v>
                </c:pt>
                <c:pt idx="1">
                  <c:v>254757</c:v>
                </c:pt>
                <c:pt idx="2">
                  <c:v>291937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0418304"/>
        <c:axId val="80419840"/>
      </c:barChart>
      <c:catAx>
        <c:axId val="80418304"/>
        <c:scaling>
          <c:orientation val="minMax"/>
        </c:scaling>
        <c:delete val="0"/>
        <c:axPos val="b"/>
        <c:majorTickMark val="out"/>
        <c:minorTickMark val="none"/>
        <c:tickLblPos val="nextTo"/>
        <c:crossAx val="80419840"/>
        <c:crosses val="autoZero"/>
        <c:auto val="1"/>
        <c:lblAlgn val="ctr"/>
        <c:lblOffset val="100"/>
        <c:noMultiLvlLbl val="0"/>
      </c:catAx>
      <c:valAx>
        <c:axId val="80419840"/>
        <c:scaling>
          <c:orientation val="minMax"/>
        </c:scaling>
        <c:delete val="0"/>
        <c:axPos val="l"/>
        <c:majorGridlines/>
        <c:numFmt formatCode="_(* #,##0_);_(* \(#,##0\);_(* &quot;-&quot;_);_(@_)" sourceLinked="0"/>
        <c:majorTickMark val="out"/>
        <c:minorTickMark val="none"/>
        <c:tickLblPos val="nextTo"/>
        <c:crossAx val="80418304"/>
        <c:crosses val="autoZero"/>
        <c:crossBetween val="between"/>
        <c:dispUnits>
          <c:builtInUnit val="thousands"/>
          <c:dispUnitsLbl/>
        </c:dispUnits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Not Specified refi-NCO (2013)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</c:spPr>
          </c:dPt>
          <c:dLbls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Sheet3!$F$77:$F$79</c:f>
              <c:strCache>
                <c:ptCount val="3"/>
                <c:pt idx="0">
                  <c:v>N/A</c:v>
                </c:pt>
                <c:pt idx="1">
                  <c:v>NON-HARPed</c:v>
                </c:pt>
                <c:pt idx="2">
                  <c:v>HARPed</c:v>
                </c:pt>
              </c:strCache>
            </c:strRef>
          </c:cat>
          <c:val>
            <c:numRef>
              <c:f>Sheet3!$G$77:$G$79</c:f>
              <c:numCache>
                <c:formatCode>_(* #,##0.00_);_(* \(#,##0.00\);_(* "-"??_);_(@_)</c:formatCode>
                <c:ptCount val="3"/>
                <c:pt idx="0">
                  <c:v>387414</c:v>
                </c:pt>
                <c:pt idx="1">
                  <c:v>255263</c:v>
                </c:pt>
                <c:pt idx="2">
                  <c:v>449049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445440"/>
        <c:axId val="80446976"/>
      </c:barChart>
      <c:catAx>
        <c:axId val="80445440"/>
        <c:scaling>
          <c:orientation val="minMax"/>
        </c:scaling>
        <c:delete val="0"/>
        <c:axPos val="b"/>
        <c:majorTickMark val="out"/>
        <c:minorTickMark val="none"/>
        <c:tickLblPos val="nextTo"/>
        <c:crossAx val="80446976"/>
        <c:crosses val="autoZero"/>
        <c:auto val="1"/>
        <c:lblAlgn val="ctr"/>
        <c:lblOffset val="100"/>
        <c:noMultiLvlLbl val="0"/>
      </c:catAx>
      <c:valAx>
        <c:axId val="80446976"/>
        <c:scaling>
          <c:orientation val="minMax"/>
          <c:max val="600000"/>
        </c:scaling>
        <c:delete val="0"/>
        <c:axPos val="l"/>
        <c:majorGridlines/>
        <c:numFmt formatCode="_(* #,##0_);_(* \(#,##0\);_(* &quot;-&quot;_);_(@_)" sourceLinked="0"/>
        <c:majorTickMark val="out"/>
        <c:minorTickMark val="none"/>
        <c:tickLblPos val="nextTo"/>
        <c:crossAx val="80445440"/>
        <c:crosses val="autoZero"/>
        <c:crossBetween val="between"/>
        <c:dispUnits>
          <c:builtInUnit val="thousands"/>
        </c:dispUnits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Sheet5!$R$1:$R$1</c:f>
              <c:strCache>
                <c:ptCount val="1"/>
                <c:pt idx="0">
                  <c:v>New</c:v>
                </c:pt>
              </c:strCache>
            </c:strRef>
          </c:tx>
          <c:invertIfNegative val="0"/>
          <c:cat>
            <c:numRef>
              <c:f>Sheet5!$Q$45:$Q$99</c:f>
              <c:numCache>
                <c:formatCode>m/d/yyyy</c:formatCode>
                <c:ptCount val="55"/>
                <c:pt idx="0">
                  <c:v>39995</c:v>
                </c:pt>
                <c:pt idx="1">
                  <c:v>40026</c:v>
                </c:pt>
                <c:pt idx="2">
                  <c:v>40057</c:v>
                </c:pt>
                <c:pt idx="3">
                  <c:v>40087</c:v>
                </c:pt>
                <c:pt idx="4">
                  <c:v>40118</c:v>
                </c:pt>
                <c:pt idx="5">
                  <c:v>40148</c:v>
                </c:pt>
                <c:pt idx="6">
                  <c:v>40179</c:v>
                </c:pt>
                <c:pt idx="7">
                  <c:v>40210</c:v>
                </c:pt>
                <c:pt idx="8">
                  <c:v>40238</c:v>
                </c:pt>
                <c:pt idx="9">
                  <c:v>40269</c:v>
                </c:pt>
                <c:pt idx="10">
                  <c:v>40299</c:v>
                </c:pt>
                <c:pt idx="11">
                  <c:v>40330</c:v>
                </c:pt>
                <c:pt idx="12">
                  <c:v>40360</c:v>
                </c:pt>
                <c:pt idx="13">
                  <c:v>40391</c:v>
                </c:pt>
                <c:pt idx="14">
                  <c:v>40422</c:v>
                </c:pt>
                <c:pt idx="15">
                  <c:v>40452</c:v>
                </c:pt>
                <c:pt idx="16">
                  <c:v>40483</c:v>
                </c:pt>
                <c:pt idx="17">
                  <c:v>40513</c:v>
                </c:pt>
                <c:pt idx="18">
                  <c:v>40544</c:v>
                </c:pt>
                <c:pt idx="19">
                  <c:v>40575</c:v>
                </c:pt>
                <c:pt idx="20">
                  <c:v>40603</c:v>
                </c:pt>
                <c:pt idx="21">
                  <c:v>40634</c:v>
                </c:pt>
                <c:pt idx="22">
                  <c:v>40664</c:v>
                </c:pt>
                <c:pt idx="23">
                  <c:v>40695</c:v>
                </c:pt>
                <c:pt idx="24">
                  <c:v>40725</c:v>
                </c:pt>
                <c:pt idx="25">
                  <c:v>40756</c:v>
                </c:pt>
                <c:pt idx="26">
                  <c:v>40787</c:v>
                </c:pt>
                <c:pt idx="27">
                  <c:v>40817</c:v>
                </c:pt>
                <c:pt idx="28">
                  <c:v>40848</c:v>
                </c:pt>
                <c:pt idx="29">
                  <c:v>40878</c:v>
                </c:pt>
                <c:pt idx="30">
                  <c:v>40909</c:v>
                </c:pt>
                <c:pt idx="31">
                  <c:v>40940</c:v>
                </c:pt>
                <c:pt idx="32">
                  <c:v>40969</c:v>
                </c:pt>
                <c:pt idx="33">
                  <c:v>41000</c:v>
                </c:pt>
                <c:pt idx="34">
                  <c:v>41030</c:v>
                </c:pt>
                <c:pt idx="35">
                  <c:v>41061</c:v>
                </c:pt>
                <c:pt idx="36">
                  <c:v>41091</c:v>
                </c:pt>
                <c:pt idx="37">
                  <c:v>41122</c:v>
                </c:pt>
                <c:pt idx="38">
                  <c:v>41153</c:v>
                </c:pt>
                <c:pt idx="39">
                  <c:v>41183</c:v>
                </c:pt>
                <c:pt idx="40">
                  <c:v>41214</c:v>
                </c:pt>
                <c:pt idx="41">
                  <c:v>41244</c:v>
                </c:pt>
                <c:pt idx="42">
                  <c:v>41275</c:v>
                </c:pt>
                <c:pt idx="43">
                  <c:v>41306</c:v>
                </c:pt>
                <c:pt idx="44">
                  <c:v>41334</c:v>
                </c:pt>
                <c:pt idx="45">
                  <c:v>41365</c:v>
                </c:pt>
                <c:pt idx="46">
                  <c:v>41395</c:v>
                </c:pt>
                <c:pt idx="47">
                  <c:v>41426</c:v>
                </c:pt>
                <c:pt idx="48">
                  <c:v>41456</c:v>
                </c:pt>
                <c:pt idx="49">
                  <c:v>41487</c:v>
                </c:pt>
                <c:pt idx="50">
                  <c:v>41518</c:v>
                </c:pt>
                <c:pt idx="51">
                  <c:v>41548</c:v>
                </c:pt>
                <c:pt idx="52">
                  <c:v>41579</c:v>
                </c:pt>
                <c:pt idx="53">
                  <c:v>41609</c:v>
                </c:pt>
                <c:pt idx="54">
                  <c:v>41640</c:v>
                </c:pt>
              </c:numCache>
            </c:numRef>
          </c:cat>
          <c:val>
            <c:numRef>
              <c:f>Sheet5!$R$45:$R$99</c:f>
              <c:numCache>
                <c:formatCode>General</c:formatCode>
                <c:ptCount val="55"/>
                <c:pt idx="0">
                  <c:v>22075</c:v>
                </c:pt>
                <c:pt idx="1">
                  <c:v>25210</c:v>
                </c:pt>
                <c:pt idx="2">
                  <c:v>15667</c:v>
                </c:pt>
                <c:pt idx="3">
                  <c:v>12098</c:v>
                </c:pt>
                <c:pt idx="4">
                  <c:v>16580</c:v>
                </c:pt>
                <c:pt idx="5">
                  <c:v>25493</c:v>
                </c:pt>
                <c:pt idx="6">
                  <c:v>24649</c:v>
                </c:pt>
                <c:pt idx="7">
                  <c:v>26299</c:v>
                </c:pt>
                <c:pt idx="8">
                  <c:v>21183</c:v>
                </c:pt>
                <c:pt idx="9">
                  <c:v>19513</c:v>
                </c:pt>
                <c:pt idx="10">
                  <c:v>17575</c:v>
                </c:pt>
                <c:pt idx="11">
                  <c:v>19523</c:v>
                </c:pt>
                <c:pt idx="12">
                  <c:v>19158</c:v>
                </c:pt>
                <c:pt idx="13">
                  <c:v>20121</c:v>
                </c:pt>
                <c:pt idx="14">
                  <c:v>38354</c:v>
                </c:pt>
                <c:pt idx="15">
                  <c:v>36203</c:v>
                </c:pt>
                <c:pt idx="16">
                  <c:v>39308</c:v>
                </c:pt>
                <c:pt idx="17">
                  <c:v>45723</c:v>
                </c:pt>
                <c:pt idx="18">
                  <c:v>31180</c:v>
                </c:pt>
                <c:pt idx="19">
                  <c:v>36604</c:v>
                </c:pt>
                <c:pt idx="20">
                  <c:v>19980</c:v>
                </c:pt>
                <c:pt idx="21">
                  <c:v>18800</c:v>
                </c:pt>
                <c:pt idx="22">
                  <c:v>12820</c:v>
                </c:pt>
                <c:pt idx="23">
                  <c:v>12588</c:v>
                </c:pt>
                <c:pt idx="24">
                  <c:v>11579</c:v>
                </c:pt>
                <c:pt idx="25">
                  <c:v>13279</c:v>
                </c:pt>
                <c:pt idx="26">
                  <c:v>15550</c:v>
                </c:pt>
                <c:pt idx="27">
                  <c:v>16474</c:v>
                </c:pt>
                <c:pt idx="28">
                  <c:v>15358</c:v>
                </c:pt>
                <c:pt idx="29">
                  <c:v>17850</c:v>
                </c:pt>
                <c:pt idx="30">
                  <c:v>21469</c:v>
                </c:pt>
                <c:pt idx="31">
                  <c:v>19436</c:v>
                </c:pt>
                <c:pt idx="32">
                  <c:v>29010</c:v>
                </c:pt>
                <c:pt idx="33">
                  <c:v>18814</c:v>
                </c:pt>
                <c:pt idx="34">
                  <c:v>22353</c:v>
                </c:pt>
                <c:pt idx="35">
                  <c:v>23679</c:v>
                </c:pt>
                <c:pt idx="36">
                  <c:v>21930</c:v>
                </c:pt>
                <c:pt idx="37">
                  <c:v>25715</c:v>
                </c:pt>
                <c:pt idx="38">
                  <c:v>20098</c:v>
                </c:pt>
                <c:pt idx="39">
                  <c:v>23340</c:v>
                </c:pt>
                <c:pt idx="40">
                  <c:v>40576</c:v>
                </c:pt>
                <c:pt idx="41">
                  <c:v>16073</c:v>
                </c:pt>
                <c:pt idx="42">
                  <c:v>31891</c:v>
                </c:pt>
                <c:pt idx="43">
                  <c:v>28858</c:v>
                </c:pt>
                <c:pt idx="44">
                  <c:v>30621</c:v>
                </c:pt>
                <c:pt idx="45">
                  <c:v>33414</c:v>
                </c:pt>
                <c:pt idx="46">
                  <c:v>28554</c:v>
                </c:pt>
                <c:pt idx="47">
                  <c:v>30201</c:v>
                </c:pt>
                <c:pt idx="48">
                  <c:v>22463</c:v>
                </c:pt>
                <c:pt idx="49">
                  <c:v>18785</c:v>
                </c:pt>
                <c:pt idx="50">
                  <c:v>16394</c:v>
                </c:pt>
                <c:pt idx="51">
                  <c:v>13595</c:v>
                </c:pt>
                <c:pt idx="52">
                  <c:v>12144</c:v>
                </c:pt>
                <c:pt idx="53">
                  <c:v>8436</c:v>
                </c:pt>
                <c:pt idx="54">
                  <c:v>10673</c:v>
                </c:pt>
              </c:numCache>
            </c:numRef>
          </c:val>
        </c:ser>
        <c:ser>
          <c:idx val="1"/>
          <c:order val="1"/>
          <c:tx>
            <c:strRef>
              <c:f>Sheet5!$S$1:$S$1</c:f>
              <c:strCache>
                <c:ptCount val="1"/>
                <c:pt idx="0">
                  <c:v>Old</c:v>
                </c:pt>
              </c:strCache>
            </c:strRef>
          </c:tx>
          <c:invertIfNegative val="0"/>
          <c:cat>
            <c:numRef>
              <c:f>Sheet5!$Q$45:$Q$99</c:f>
              <c:numCache>
                <c:formatCode>m/d/yyyy</c:formatCode>
                <c:ptCount val="55"/>
                <c:pt idx="0">
                  <c:v>39995</c:v>
                </c:pt>
                <c:pt idx="1">
                  <c:v>40026</c:v>
                </c:pt>
                <c:pt idx="2">
                  <c:v>40057</c:v>
                </c:pt>
                <c:pt idx="3">
                  <c:v>40087</c:v>
                </c:pt>
                <c:pt idx="4">
                  <c:v>40118</c:v>
                </c:pt>
                <c:pt idx="5">
                  <c:v>40148</c:v>
                </c:pt>
                <c:pt idx="6">
                  <c:v>40179</c:v>
                </c:pt>
                <c:pt idx="7">
                  <c:v>40210</c:v>
                </c:pt>
                <c:pt idx="8">
                  <c:v>40238</c:v>
                </c:pt>
                <c:pt idx="9">
                  <c:v>40269</c:v>
                </c:pt>
                <c:pt idx="10">
                  <c:v>40299</c:v>
                </c:pt>
                <c:pt idx="11">
                  <c:v>40330</c:v>
                </c:pt>
                <c:pt idx="12">
                  <c:v>40360</c:v>
                </c:pt>
                <c:pt idx="13">
                  <c:v>40391</c:v>
                </c:pt>
                <c:pt idx="14">
                  <c:v>40422</c:v>
                </c:pt>
                <c:pt idx="15">
                  <c:v>40452</c:v>
                </c:pt>
                <c:pt idx="16">
                  <c:v>40483</c:v>
                </c:pt>
                <c:pt idx="17">
                  <c:v>40513</c:v>
                </c:pt>
                <c:pt idx="18">
                  <c:v>40544</c:v>
                </c:pt>
                <c:pt idx="19">
                  <c:v>40575</c:v>
                </c:pt>
                <c:pt idx="20">
                  <c:v>40603</c:v>
                </c:pt>
                <c:pt idx="21">
                  <c:v>40634</c:v>
                </c:pt>
                <c:pt idx="22">
                  <c:v>40664</c:v>
                </c:pt>
                <c:pt idx="23">
                  <c:v>40695</c:v>
                </c:pt>
                <c:pt idx="24">
                  <c:v>40725</c:v>
                </c:pt>
                <c:pt idx="25">
                  <c:v>40756</c:v>
                </c:pt>
                <c:pt idx="26">
                  <c:v>40787</c:v>
                </c:pt>
                <c:pt idx="27">
                  <c:v>40817</c:v>
                </c:pt>
                <c:pt idx="28">
                  <c:v>40848</c:v>
                </c:pt>
                <c:pt idx="29">
                  <c:v>40878</c:v>
                </c:pt>
                <c:pt idx="30">
                  <c:v>40909</c:v>
                </c:pt>
                <c:pt idx="31">
                  <c:v>40940</c:v>
                </c:pt>
                <c:pt idx="32">
                  <c:v>40969</c:v>
                </c:pt>
                <c:pt idx="33">
                  <c:v>41000</c:v>
                </c:pt>
                <c:pt idx="34">
                  <c:v>41030</c:v>
                </c:pt>
                <c:pt idx="35">
                  <c:v>41061</c:v>
                </c:pt>
                <c:pt idx="36">
                  <c:v>41091</c:v>
                </c:pt>
                <c:pt idx="37">
                  <c:v>41122</c:v>
                </c:pt>
                <c:pt idx="38">
                  <c:v>41153</c:v>
                </c:pt>
                <c:pt idx="39">
                  <c:v>41183</c:v>
                </c:pt>
                <c:pt idx="40">
                  <c:v>41214</c:v>
                </c:pt>
                <c:pt idx="41">
                  <c:v>41244</c:v>
                </c:pt>
                <c:pt idx="42">
                  <c:v>41275</c:v>
                </c:pt>
                <c:pt idx="43">
                  <c:v>41306</c:v>
                </c:pt>
                <c:pt idx="44">
                  <c:v>41334</c:v>
                </c:pt>
                <c:pt idx="45">
                  <c:v>41365</c:v>
                </c:pt>
                <c:pt idx="46">
                  <c:v>41395</c:v>
                </c:pt>
                <c:pt idx="47">
                  <c:v>41426</c:v>
                </c:pt>
                <c:pt idx="48">
                  <c:v>41456</c:v>
                </c:pt>
                <c:pt idx="49">
                  <c:v>41487</c:v>
                </c:pt>
                <c:pt idx="50">
                  <c:v>41518</c:v>
                </c:pt>
                <c:pt idx="51">
                  <c:v>41548</c:v>
                </c:pt>
                <c:pt idx="52">
                  <c:v>41579</c:v>
                </c:pt>
                <c:pt idx="53">
                  <c:v>41609</c:v>
                </c:pt>
                <c:pt idx="54">
                  <c:v>41640</c:v>
                </c:pt>
              </c:numCache>
            </c:numRef>
          </c:cat>
          <c:val>
            <c:numRef>
              <c:f>Sheet5!$S$45:$S$99</c:f>
              <c:numCache>
                <c:formatCode>General</c:formatCode>
                <c:ptCount val="55"/>
                <c:pt idx="0">
                  <c:v>14498</c:v>
                </c:pt>
                <c:pt idx="1">
                  <c:v>16086</c:v>
                </c:pt>
                <c:pt idx="2">
                  <c:v>8996</c:v>
                </c:pt>
                <c:pt idx="3">
                  <c:v>6341</c:v>
                </c:pt>
                <c:pt idx="4">
                  <c:v>8103</c:v>
                </c:pt>
                <c:pt idx="5">
                  <c:v>12795</c:v>
                </c:pt>
                <c:pt idx="6">
                  <c:v>12696</c:v>
                </c:pt>
                <c:pt idx="7">
                  <c:v>13514</c:v>
                </c:pt>
                <c:pt idx="8">
                  <c:v>11773</c:v>
                </c:pt>
                <c:pt idx="9">
                  <c:v>10346</c:v>
                </c:pt>
                <c:pt idx="10">
                  <c:v>9171</c:v>
                </c:pt>
                <c:pt idx="11">
                  <c:v>10433</c:v>
                </c:pt>
                <c:pt idx="12">
                  <c:v>9017</c:v>
                </c:pt>
                <c:pt idx="13">
                  <c:v>9218</c:v>
                </c:pt>
                <c:pt idx="14">
                  <c:v>16012</c:v>
                </c:pt>
                <c:pt idx="15">
                  <c:v>13956</c:v>
                </c:pt>
                <c:pt idx="16">
                  <c:v>16014</c:v>
                </c:pt>
                <c:pt idx="17">
                  <c:v>17737</c:v>
                </c:pt>
                <c:pt idx="18">
                  <c:v>14937</c:v>
                </c:pt>
                <c:pt idx="19">
                  <c:v>17490</c:v>
                </c:pt>
                <c:pt idx="20">
                  <c:v>10517</c:v>
                </c:pt>
                <c:pt idx="21">
                  <c:v>9118</c:v>
                </c:pt>
                <c:pt idx="22">
                  <c:v>5828</c:v>
                </c:pt>
                <c:pt idx="23">
                  <c:v>5870</c:v>
                </c:pt>
                <c:pt idx="24">
                  <c:v>6101</c:v>
                </c:pt>
                <c:pt idx="25">
                  <c:v>6179</c:v>
                </c:pt>
                <c:pt idx="26">
                  <c:v>7308</c:v>
                </c:pt>
                <c:pt idx="27">
                  <c:v>7216</c:v>
                </c:pt>
                <c:pt idx="28">
                  <c:v>6751</c:v>
                </c:pt>
                <c:pt idx="29">
                  <c:v>5539</c:v>
                </c:pt>
                <c:pt idx="30">
                  <c:v>12378</c:v>
                </c:pt>
                <c:pt idx="31">
                  <c:v>9871</c:v>
                </c:pt>
                <c:pt idx="32">
                  <c:v>16508</c:v>
                </c:pt>
                <c:pt idx="33">
                  <c:v>12108</c:v>
                </c:pt>
                <c:pt idx="34">
                  <c:v>12394</c:v>
                </c:pt>
                <c:pt idx="35">
                  <c:v>15626</c:v>
                </c:pt>
                <c:pt idx="36">
                  <c:v>14877</c:v>
                </c:pt>
                <c:pt idx="37">
                  <c:v>13702</c:v>
                </c:pt>
                <c:pt idx="38">
                  <c:v>11344</c:v>
                </c:pt>
                <c:pt idx="39">
                  <c:v>12699</c:v>
                </c:pt>
                <c:pt idx="40">
                  <c:v>21038</c:v>
                </c:pt>
                <c:pt idx="41">
                  <c:v>8801</c:v>
                </c:pt>
                <c:pt idx="42">
                  <c:v>15956</c:v>
                </c:pt>
                <c:pt idx="43">
                  <c:v>14922</c:v>
                </c:pt>
                <c:pt idx="44">
                  <c:v>16099</c:v>
                </c:pt>
                <c:pt idx="45">
                  <c:v>16803</c:v>
                </c:pt>
                <c:pt idx="46">
                  <c:v>15227</c:v>
                </c:pt>
                <c:pt idx="47">
                  <c:v>14816</c:v>
                </c:pt>
                <c:pt idx="48">
                  <c:v>11331</c:v>
                </c:pt>
                <c:pt idx="49">
                  <c:v>9920</c:v>
                </c:pt>
                <c:pt idx="50">
                  <c:v>8504</c:v>
                </c:pt>
                <c:pt idx="51">
                  <c:v>7408</c:v>
                </c:pt>
                <c:pt idx="52">
                  <c:v>6199</c:v>
                </c:pt>
                <c:pt idx="53">
                  <c:v>3859</c:v>
                </c:pt>
                <c:pt idx="54">
                  <c:v>5345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273600"/>
        <c:axId val="81275136"/>
      </c:barChart>
      <c:lineChart>
        <c:grouping val="standard"/>
        <c:varyColors val="0"/>
        <c:ser>
          <c:idx val="2"/>
          <c:order val="2"/>
          <c:tx>
            <c:strRef>
              <c:f>Sheet5!$T$1:$T$1</c:f>
              <c:strCache>
                <c:ptCount val="1"/>
                <c:pt idx="0">
                  <c:v>Ratio</c:v>
                </c:pt>
              </c:strCache>
            </c:strRef>
          </c:tx>
          <c:marker>
            <c:symbol val="none"/>
          </c:marker>
          <c:cat>
            <c:numRef>
              <c:f>Sheet5!$Q$45:$Q$99</c:f>
              <c:numCache>
                <c:formatCode>m/d/yyyy</c:formatCode>
                <c:ptCount val="55"/>
                <c:pt idx="0">
                  <c:v>39995</c:v>
                </c:pt>
                <c:pt idx="1">
                  <c:v>40026</c:v>
                </c:pt>
                <c:pt idx="2">
                  <c:v>40057</c:v>
                </c:pt>
                <c:pt idx="3">
                  <c:v>40087</c:v>
                </c:pt>
                <c:pt idx="4">
                  <c:v>40118</c:v>
                </c:pt>
                <c:pt idx="5">
                  <c:v>40148</c:v>
                </c:pt>
                <c:pt idx="6">
                  <c:v>40179</c:v>
                </c:pt>
                <c:pt idx="7">
                  <c:v>40210</c:v>
                </c:pt>
                <c:pt idx="8">
                  <c:v>40238</c:v>
                </c:pt>
                <c:pt idx="9">
                  <c:v>40269</c:v>
                </c:pt>
                <c:pt idx="10">
                  <c:v>40299</c:v>
                </c:pt>
                <c:pt idx="11">
                  <c:v>40330</c:v>
                </c:pt>
                <c:pt idx="12">
                  <c:v>40360</c:v>
                </c:pt>
                <c:pt idx="13">
                  <c:v>40391</c:v>
                </c:pt>
                <c:pt idx="14">
                  <c:v>40422</c:v>
                </c:pt>
                <c:pt idx="15">
                  <c:v>40452</c:v>
                </c:pt>
                <c:pt idx="16">
                  <c:v>40483</c:v>
                </c:pt>
                <c:pt idx="17">
                  <c:v>40513</c:v>
                </c:pt>
                <c:pt idx="18">
                  <c:v>40544</c:v>
                </c:pt>
                <c:pt idx="19">
                  <c:v>40575</c:v>
                </c:pt>
                <c:pt idx="20">
                  <c:v>40603</c:v>
                </c:pt>
                <c:pt idx="21">
                  <c:v>40634</c:v>
                </c:pt>
                <c:pt idx="22">
                  <c:v>40664</c:v>
                </c:pt>
                <c:pt idx="23">
                  <c:v>40695</c:v>
                </c:pt>
                <c:pt idx="24">
                  <c:v>40725</c:v>
                </c:pt>
                <c:pt idx="25">
                  <c:v>40756</c:v>
                </c:pt>
                <c:pt idx="26">
                  <c:v>40787</c:v>
                </c:pt>
                <c:pt idx="27">
                  <c:v>40817</c:v>
                </c:pt>
                <c:pt idx="28">
                  <c:v>40848</c:v>
                </c:pt>
                <c:pt idx="29">
                  <c:v>40878</c:v>
                </c:pt>
                <c:pt idx="30">
                  <c:v>40909</c:v>
                </c:pt>
                <c:pt idx="31">
                  <c:v>40940</c:v>
                </c:pt>
                <c:pt idx="32">
                  <c:v>40969</c:v>
                </c:pt>
                <c:pt idx="33">
                  <c:v>41000</c:v>
                </c:pt>
                <c:pt idx="34">
                  <c:v>41030</c:v>
                </c:pt>
                <c:pt idx="35">
                  <c:v>41061</c:v>
                </c:pt>
                <c:pt idx="36">
                  <c:v>41091</c:v>
                </c:pt>
                <c:pt idx="37">
                  <c:v>41122</c:v>
                </c:pt>
                <c:pt idx="38">
                  <c:v>41153</c:v>
                </c:pt>
                <c:pt idx="39">
                  <c:v>41183</c:v>
                </c:pt>
                <c:pt idx="40">
                  <c:v>41214</c:v>
                </c:pt>
                <c:pt idx="41">
                  <c:v>41244</c:v>
                </c:pt>
                <c:pt idx="42">
                  <c:v>41275</c:v>
                </c:pt>
                <c:pt idx="43">
                  <c:v>41306</c:v>
                </c:pt>
                <c:pt idx="44">
                  <c:v>41334</c:v>
                </c:pt>
                <c:pt idx="45">
                  <c:v>41365</c:v>
                </c:pt>
                <c:pt idx="46">
                  <c:v>41395</c:v>
                </c:pt>
                <c:pt idx="47">
                  <c:v>41426</c:v>
                </c:pt>
                <c:pt idx="48">
                  <c:v>41456</c:v>
                </c:pt>
                <c:pt idx="49">
                  <c:v>41487</c:v>
                </c:pt>
                <c:pt idx="50">
                  <c:v>41518</c:v>
                </c:pt>
                <c:pt idx="51">
                  <c:v>41548</c:v>
                </c:pt>
                <c:pt idx="52">
                  <c:v>41579</c:v>
                </c:pt>
                <c:pt idx="53">
                  <c:v>41609</c:v>
                </c:pt>
                <c:pt idx="54">
                  <c:v>41640</c:v>
                </c:pt>
              </c:numCache>
            </c:numRef>
          </c:cat>
          <c:val>
            <c:numRef>
              <c:f>Sheet5!$T$45:$T$99</c:f>
              <c:numCache>
                <c:formatCode>0.00</c:formatCode>
                <c:ptCount val="55"/>
                <c:pt idx="0">
                  <c:v>1.5226238101807146</c:v>
                </c:pt>
                <c:pt idx="1">
                  <c:v>1.5672012930498571</c:v>
                </c:pt>
                <c:pt idx="2">
                  <c:v>1.7415518008003557</c:v>
                </c:pt>
                <c:pt idx="3">
                  <c:v>1.9079009619933764</c:v>
                </c:pt>
                <c:pt idx="4">
                  <c:v>2.0461557447858816</c:v>
                </c:pt>
                <c:pt idx="5">
                  <c:v>1.9924189136381398</c:v>
                </c:pt>
                <c:pt idx="6">
                  <c:v>1.9414776307498425</c:v>
                </c:pt>
                <c:pt idx="7">
                  <c:v>1.9460559419860886</c:v>
                </c:pt>
                <c:pt idx="8">
                  <c:v>1.7992865030153742</c:v>
                </c:pt>
                <c:pt idx="9">
                  <c:v>1.8860429151362845</c:v>
                </c:pt>
                <c:pt idx="10">
                  <c:v>1.9163668084178389</c:v>
                </c:pt>
                <c:pt idx="11">
                  <c:v>1.8712738426147799</c:v>
                </c:pt>
                <c:pt idx="12">
                  <c:v>2.1246534324054562</c:v>
                </c:pt>
                <c:pt idx="13">
                  <c:v>2.1827945324365374</c:v>
                </c:pt>
                <c:pt idx="14">
                  <c:v>2.3953285036222831</c:v>
                </c:pt>
                <c:pt idx="15">
                  <c:v>2.5940813986815705</c:v>
                </c:pt>
                <c:pt idx="16">
                  <c:v>2.454602223054827</c:v>
                </c:pt>
                <c:pt idx="17">
                  <c:v>2.5778316513502846</c:v>
                </c:pt>
                <c:pt idx="18">
                  <c:v>2.0874338890004687</c:v>
                </c:pt>
                <c:pt idx="19">
                  <c:v>2.0928530588907948</c:v>
                </c:pt>
                <c:pt idx="20">
                  <c:v>1.8997813064562137</c:v>
                </c:pt>
                <c:pt idx="21">
                  <c:v>2.0618556701030926</c:v>
                </c:pt>
                <c:pt idx="22">
                  <c:v>2.1997254632807137</c:v>
                </c:pt>
                <c:pt idx="23">
                  <c:v>2.1444633730834752</c:v>
                </c:pt>
                <c:pt idx="24">
                  <c:v>1.8978855925258153</c:v>
                </c:pt>
                <c:pt idx="25">
                  <c:v>2.1490532448616282</c:v>
                </c:pt>
                <c:pt idx="26">
                  <c:v>2.1278051450465245</c:v>
                </c:pt>
                <c:pt idx="27">
                  <c:v>2.2829822616407984</c:v>
                </c:pt>
                <c:pt idx="28">
                  <c:v>2.2749222337431489</c:v>
                </c:pt>
                <c:pt idx="29">
                  <c:v>3.2226033580068605</c:v>
                </c:pt>
                <c:pt idx="30">
                  <c:v>1.7344482145742446</c:v>
                </c:pt>
                <c:pt idx="31">
                  <c:v>1.9690001013068585</c:v>
                </c:pt>
                <c:pt idx="32">
                  <c:v>1.757329779500848</c:v>
                </c:pt>
                <c:pt idx="33">
                  <c:v>1.5538486950776347</c:v>
                </c:pt>
                <c:pt idx="34">
                  <c:v>1.8035339680490561</c:v>
                </c:pt>
                <c:pt idx="35">
                  <c:v>1.5153590170229105</c:v>
                </c:pt>
                <c:pt idx="36">
                  <c:v>1.4740875176446864</c:v>
                </c:pt>
                <c:pt idx="37">
                  <c:v>1.8767333236023938</c:v>
                </c:pt>
                <c:pt idx="38">
                  <c:v>1.7716854724964739</c:v>
                </c:pt>
                <c:pt idx="39">
                  <c:v>1.8379399952752185</c:v>
                </c:pt>
                <c:pt idx="40">
                  <c:v>1.9287004468105333</c:v>
                </c:pt>
                <c:pt idx="41">
                  <c:v>1.8262697420747642</c:v>
                </c:pt>
                <c:pt idx="42">
                  <c:v>1.9986838806718477</c:v>
                </c:pt>
                <c:pt idx="43">
                  <c:v>1.9339230666130545</c:v>
                </c:pt>
                <c:pt idx="44">
                  <c:v>1.9020436051928691</c:v>
                </c:pt>
                <c:pt idx="45">
                  <c:v>1.9885734690233887</c:v>
                </c:pt>
                <c:pt idx="46">
                  <c:v>1.8752216457608195</c:v>
                </c:pt>
                <c:pt idx="47">
                  <c:v>2.0384044276457884</c:v>
                </c:pt>
                <c:pt idx="48">
                  <c:v>1.9824375606742564</c:v>
                </c:pt>
                <c:pt idx="49">
                  <c:v>1.893649193548387</c:v>
                </c:pt>
                <c:pt idx="50">
                  <c:v>1.9277986829727187</c:v>
                </c:pt>
                <c:pt idx="51">
                  <c:v>1.8351781857451404</c:v>
                </c:pt>
                <c:pt idx="52">
                  <c:v>1.9590256492982738</c:v>
                </c:pt>
                <c:pt idx="53">
                  <c:v>2.1860585643949211</c:v>
                </c:pt>
                <c:pt idx="54">
                  <c:v>1.996819457436857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279232"/>
        <c:axId val="81277696"/>
      </c:lineChart>
      <c:dateAx>
        <c:axId val="812736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81275136"/>
        <c:crosses val="autoZero"/>
        <c:auto val="1"/>
        <c:lblOffset val="100"/>
        <c:baseTimeUnit val="months"/>
      </c:dateAx>
      <c:valAx>
        <c:axId val="812751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Loan 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1273600"/>
        <c:crosses val="autoZero"/>
        <c:crossBetween val="between"/>
        <c:dispUnits>
          <c:builtInUnit val="thousands"/>
          <c:dispUnitsLbl/>
        </c:dispUnits>
      </c:valAx>
      <c:valAx>
        <c:axId val="81277696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crossAx val="81279232"/>
        <c:crosses val="max"/>
        <c:crossBetween val="between"/>
      </c:valAx>
      <c:dateAx>
        <c:axId val="8127923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81277696"/>
        <c:crosses val="autoZero"/>
        <c:auto val="1"/>
        <c:lblOffset val="100"/>
        <c:baseTimeUnit val="months"/>
      </c:date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'&gt;80 LTV'!$AF$5</c:f>
              <c:strCache>
                <c:ptCount val="1"/>
                <c:pt idx="0">
                  <c:v>HARP-I</c:v>
                </c:pt>
              </c:strCache>
            </c:strRef>
          </c:tx>
          <c:invertIfNegative val="0"/>
          <c:cat>
            <c:numRef>
              <c:f>'&gt;80 LTV'!$AE$6:$AE$62</c:f>
              <c:numCache>
                <c:formatCode>m/d/yyyy</c:formatCode>
                <c:ptCount val="57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</c:numCache>
            </c:numRef>
          </c:cat>
          <c:val>
            <c:numRef>
              <c:f>'&gt;80 LTV'!$AF$6:$AF$62</c:f>
              <c:numCache>
                <c:formatCode>General</c:formatCode>
                <c:ptCount val="57"/>
                <c:pt idx="0">
                  <c:v>4272</c:v>
                </c:pt>
                <c:pt idx="1">
                  <c:v>9557</c:v>
                </c:pt>
                <c:pt idx="2">
                  <c:v>15810</c:v>
                </c:pt>
                <c:pt idx="3">
                  <c:v>14494</c:v>
                </c:pt>
                <c:pt idx="4">
                  <c:v>9396</c:v>
                </c:pt>
                <c:pt idx="5">
                  <c:v>7014</c:v>
                </c:pt>
                <c:pt idx="6">
                  <c:v>9189</c:v>
                </c:pt>
                <c:pt idx="7">
                  <c:v>11722</c:v>
                </c:pt>
                <c:pt idx="8">
                  <c:v>13737</c:v>
                </c:pt>
                <c:pt idx="9">
                  <c:v>12676</c:v>
                </c:pt>
                <c:pt idx="10">
                  <c:v>9563</c:v>
                </c:pt>
                <c:pt idx="11">
                  <c:v>11244</c:v>
                </c:pt>
                <c:pt idx="12">
                  <c:v>10360</c:v>
                </c:pt>
                <c:pt idx="13">
                  <c:v>7944</c:v>
                </c:pt>
                <c:pt idx="14">
                  <c:v>10171</c:v>
                </c:pt>
                <c:pt idx="15">
                  <c:v>12608</c:v>
                </c:pt>
                <c:pt idx="16">
                  <c:v>14205</c:v>
                </c:pt>
                <c:pt idx="17">
                  <c:v>15045</c:v>
                </c:pt>
                <c:pt idx="18">
                  <c:v>17054</c:v>
                </c:pt>
                <c:pt idx="19">
                  <c:v>18502</c:v>
                </c:pt>
                <c:pt idx="20">
                  <c:v>17396</c:v>
                </c:pt>
                <c:pt idx="21">
                  <c:v>15213</c:v>
                </c:pt>
                <c:pt idx="22">
                  <c:v>10593</c:v>
                </c:pt>
                <c:pt idx="23">
                  <c:v>7420</c:v>
                </c:pt>
                <c:pt idx="24">
                  <c:v>6376</c:v>
                </c:pt>
                <c:pt idx="25">
                  <c:v>5524</c:v>
                </c:pt>
                <c:pt idx="26">
                  <c:v>6163</c:v>
                </c:pt>
                <c:pt idx="27">
                  <c:v>6608</c:v>
                </c:pt>
                <c:pt idx="28">
                  <c:v>6814</c:v>
                </c:pt>
                <c:pt idx="29">
                  <c:v>7897</c:v>
                </c:pt>
                <c:pt idx="30">
                  <c:v>9245</c:v>
                </c:pt>
                <c:pt idx="31">
                  <c:v>9831</c:v>
                </c:pt>
                <c:pt idx="32">
                  <c:v>9082</c:v>
                </c:pt>
                <c:pt idx="33">
                  <c:v>11001</c:v>
                </c:pt>
                <c:pt idx="34">
                  <c:v>14080</c:v>
                </c:pt>
                <c:pt idx="35">
                  <c:v>13189</c:v>
                </c:pt>
                <c:pt idx="36">
                  <c:v>12382</c:v>
                </c:pt>
                <c:pt idx="37">
                  <c:v>13178</c:v>
                </c:pt>
                <c:pt idx="38">
                  <c:v>13092</c:v>
                </c:pt>
                <c:pt idx="39">
                  <c:v>13246</c:v>
                </c:pt>
                <c:pt idx="40">
                  <c:v>14068</c:v>
                </c:pt>
                <c:pt idx="41">
                  <c:v>13316</c:v>
                </c:pt>
                <c:pt idx="42">
                  <c:v>15936</c:v>
                </c:pt>
                <c:pt idx="43">
                  <c:v>13955</c:v>
                </c:pt>
                <c:pt idx="44">
                  <c:v>14118</c:v>
                </c:pt>
                <c:pt idx="45">
                  <c:v>15173</c:v>
                </c:pt>
                <c:pt idx="46">
                  <c:v>15258</c:v>
                </c:pt>
                <c:pt idx="47">
                  <c:v>15539</c:v>
                </c:pt>
                <c:pt idx="48">
                  <c:v>14591</c:v>
                </c:pt>
                <c:pt idx="49">
                  <c:v>13308</c:v>
                </c:pt>
                <c:pt idx="50">
                  <c:v>11511</c:v>
                </c:pt>
                <c:pt idx="51">
                  <c:v>10589</c:v>
                </c:pt>
                <c:pt idx="52">
                  <c:v>8489</c:v>
                </c:pt>
                <c:pt idx="53">
                  <c:v>6264</c:v>
                </c:pt>
                <c:pt idx="54">
                  <c:v>5421</c:v>
                </c:pt>
                <c:pt idx="55">
                  <c:v>4753</c:v>
                </c:pt>
                <c:pt idx="56">
                  <c:v>4811</c:v>
                </c:pt>
              </c:numCache>
            </c:numRef>
          </c:val>
        </c:ser>
        <c:ser>
          <c:idx val="1"/>
          <c:order val="1"/>
          <c:tx>
            <c:strRef>
              <c:f>'&gt;80 LTV'!$AG$5</c:f>
              <c:strCache>
                <c:ptCount val="1"/>
                <c:pt idx="0">
                  <c:v>HARP-II</c:v>
                </c:pt>
              </c:strCache>
            </c:strRef>
          </c:tx>
          <c:invertIfNegative val="0"/>
          <c:cat>
            <c:numRef>
              <c:f>'&gt;80 LTV'!$AE$6:$AE$62</c:f>
              <c:numCache>
                <c:formatCode>m/d/yyyy</c:formatCode>
                <c:ptCount val="57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</c:numCache>
            </c:numRef>
          </c:cat>
          <c:val>
            <c:numRef>
              <c:f>'&gt;80 LTV'!$AG$6:$AG$62</c:f>
              <c:numCache>
                <c:formatCode>General</c:formatCode>
                <c:ptCount val="57"/>
                <c:pt idx="0">
                  <c:v>3673</c:v>
                </c:pt>
                <c:pt idx="1">
                  <c:v>9247</c:v>
                </c:pt>
                <c:pt idx="2">
                  <c:v>15370</c:v>
                </c:pt>
                <c:pt idx="3">
                  <c:v>14029</c:v>
                </c:pt>
                <c:pt idx="4">
                  <c:v>9135</c:v>
                </c:pt>
                <c:pt idx="5">
                  <c:v>6784</c:v>
                </c:pt>
                <c:pt idx="6">
                  <c:v>8893</c:v>
                </c:pt>
                <c:pt idx="7">
                  <c:v>11371</c:v>
                </c:pt>
                <c:pt idx="8">
                  <c:v>13463</c:v>
                </c:pt>
                <c:pt idx="9">
                  <c:v>12639</c:v>
                </c:pt>
                <c:pt idx="10">
                  <c:v>9607</c:v>
                </c:pt>
                <c:pt idx="11">
                  <c:v>11233</c:v>
                </c:pt>
                <c:pt idx="12">
                  <c:v>10354</c:v>
                </c:pt>
                <c:pt idx="13">
                  <c:v>7969</c:v>
                </c:pt>
                <c:pt idx="14">
                  <c:v>10240</c:v>
                </c:pt>
                <c:pt idx="15">
                  <c:v>12706</c:v>
                </c:pt>
                <c:pt idx="16">
                  <c:v>14514</c:v>
                </c:pt>
                <c:pt idx="17">
                  <c:v>15385</c:v>
                </c:pt>
                <c:pt idx="18">
                  <c:v>17435</c:v>
                </c:pt>
                <c:pt idx="19">
                  <c:v>18832</c:v>
                </c:pt>
                <c:pt idx="20">
                  <c:v>17593</c:v>
                </c:pt>
                <c:pt idx="21">
                  <c:v>15376</c:v>
                </c:pt>
                <c:pt idx="22">
                  <c:v>10725</c:v>
                </c:pt>
                <c:pt idx="23">
                  <c:v>7425</c:v>
                </c:pt>
                <c:pt idx="24">
                  <c:v>6431</c:v>
                </c:pt>
                <c:pt idx="25">
                  <c:v>5596</c:v>
                </c:pt>
                <c:pt idx="26">
                  <c:v>6287</c:v>
                </c:pt>
                <c:pt idx="27">
                  <c:v>6722</c:v>
                </c:pt>
                <c:pt idx="28">
                  <c:v>6917</c:v>
                </c:pt>
                <c:pt idx="29">
                  <c:v>8052</c:v>
                </c:pt>
                <c:pt idx="30">
                  <c:v>9402</c:v>
                </c:pt>
                <c:pt idx="31">
                  <c:v>9964</c:v>
                </c:pt>
                <c:pt idx="32">
                  <c:v>9237</c:v>
                </c:pt>
                <c:pt idx="33">
                  <c:v>11247</c:v>
                </c:pt>
                <c:pt idx="34">
                  <c:v>14409</c:v>
                </c:pt>
                <c:pt idx="35">
                  <c:v>13389</c:v>
                </c:pt>
                <c:pt idx="36">
                  <c:v>12542</c:v>
                </c:pt>
                <c:pt idx="37">
                  <c:v>13383</c:v>
                </c:pt>
                <c:pt idx="38">
                  <c:v>13357</c:v>
                </c:pt>
                <c:pt idx="39">
                  <c:v>13492</c:v>
                </c:pt>
                <c:pt idx="40">
                  <c:v>14252</c:v>
                </c:pt>
                <c:pt idx="41">
                  <c:v>13492</c:v>
                </c:pt>
                <c:pt idx="42">
                  <c:v>16216</c:v>
                </c:pt>
                <c:pt idx="43">
                  <c:v>14266</c:v>
                </c:pt>
                <c:pt idx="44">
                  <c:v>14429</c:v>
                </c:pt>
                <c:pt idx="45">
                  <c:v>15534</c:v>
                </c:pt>
                <c:pt idx="46">
                  <c:v>15566</c:v>
                </c:pt>
                <c:pt idx="47">
                  <c:v>15856</c:v>
                </c:pt>
                <c:pt idx="48">
                  <c:v>14917</c:v>
                </c:pt>
                <c:pt idx="49">
                  <c:v>13693</c:v>
                </c:pt>
                <c:pt idx="50">
                  <c:v>11861</c:v>
                </c:pt>
                <c:pt idx="51">
                  <c:v>10905</c:v>
                </c:pt>
                <c:pt idx="52">
                  <c:v>8808</c:v>
                </c:pt>
                <c:pt idx="53">
                  <c:v>6521</c:v>
                </c:pt>
                <c:pt idx="54">
                  <c:v>5615</c:v>
                </c:pt>
                <c:pt idx="55">
                  <c:v>4989</c:v>
                </c:pt>
                <c:pt idx="56">
                  <c:v>4958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468224"/>
        <c:axId val="82470016"/>
      </c:barChart>
      <c:lineChart>
        <c:grouping val="standard"/>
        <c:varyColors val="0"/>
        <c:ser>
          <c:idx val="2"/>
          <c:order val="2"/>
          <c:tx>
            <c:strRef>
              <c:f>'&gt;80 LTV'!$AH$5</c:f>
              <c:strCache>
                <c:ptCount val="1"/>
                <c:pt idx="0">
                  <c:v>Ratio II/I</c:v>
                </c:pt>
              </c:strCache>
            </c:strRef>
          </c:tx>
          <c:marker>
            <c:symbol val="none"/>
          </c:marker>
          <c:trendline>
            <c:trendlineType val="linear"/>
            <c:dispRSqr val="0"/>
            <c:dispEq val="0"/>
          </c:trendline>
          <c:cat>
            <c:numRef>
              <c:f>'&gt;80 LTV'!$AE$6:$AE$62</c:f>
              <c:numCache>
                <c:formatCode>m/d/yyyy</c:formatCode>
                <c:ptCount val="57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</c:numCache>
            </c:numRef>
          </c:cat>
          <c:val>
            <c:numRef>
              <c:f>'&gt;80 LTV'!$AH$6:$AH$62</c:f>
              <c:numCache>
                <c:formatCode>General</c:formatCode>
                <c:ptCount val="57"/>
                <c:pt idx="0">
                  <c:v>0.85978464419475653</c:v>
                </c:pt>
                <c:pt idx="1">
                  <c:v>0.96756304279585648</c:v>
                </c:pt>
                <c:pt idx="2">
                  <c:v>0.97216951296647691</c:v>
                </c:pt>
                <c:pt idx="3">
                  <c:v>0.96791775907271971</c:v>
                </c:pt>
                <c:pt idx="4">
                  <c:v>0.97222222222222221</c:v>
                </c:pt>
                <c:pt idx="5">
                  <c:v>0.96720844026233244</c:v>
                </c:pt>
                <c:pt idx="6">
                  <c:v>0.96778757209707256</c:v>
                </c:pt>
                <c:pt idx="7">
                  <c:v>0.9700563043849173</c:v>
                </c:pt>
                <c:pt idx="8">
                  <c:v>0.98005386911261561</c:v>
                </c:pt>
                <c:pt idx="9">
                  <c:v>0.99708109813821399</c:v>
                </c:pt>
                <c:pt idx="10">
                  <c:v>1.0046010666108962</c:v>
                </c:pt>
                <c:pt idx="11">
                  <c:v>0.99902170046246885</c:v>
                </c:pt>
                <c:pt idx="12">
                  <c:v>0.99942084942084941</c:v>
                </c:pt>
                <c:pt idx="13">
                  <c:v>1.0031470292044311</c:v>
                </c:pt>
                <c:pt idx="14">
                  <c:v>1.0067839937076</c:v>
                </c:pt>
                <c:pt idx="15">
                  <c:v>1.007772842639594</c:v>
                </c:pt>
                <c:pt idx="16">
                  <c:v>1.021752903907075</c:v>
                </c:pt>
                <c:pt idx="17">
                  <c:v>1.0225988700564972</c:v>
                </c:pt>
                <c:pt idx="18">
                  <c:v>1.0223407998123608</c:v>
                </c:pt>
                <c:pt idx="19">
                  <c:v>1.0178359096313911</c:v>
                </c:pt>
                <c:pt idx="20">
                  <c:v>1.0113244424005519</c:v>
                </c:pt>
                <c:pt idx="21">
                  <c:v>1.0107145204759087</c:v>
                </c:pt>
                <c:pt idx="22">
                  <c:v>1.0124610591900312</c:v>
                </c:pt>
                <c:pt idx="23">
                  <c:v>1.0006738544474394</c:v>
                </c:pt>
                <c:pt idx="24">
                  <c:v>1.0086260978670012</c:v>
                </c:pt>
                <c:pt idx="25">
                  <c:v>1.0130340333091963</c:v>
                </c:pt>
                <c:pt idx="26">
                  <c:v>1.0201200713938017</c:v>
                </c:pt>
                <c:pt idx="27">
                  <c:v>1.0172518159806296</c:v>
                </c:pt>
                <c:pt idx="28">
                  <c:v>1.0151159377751688</c:v>
                </c:pt>
                <c:pt idx="29">
                  <c:v>1.0196277067240724</c:v>
                </c:pt>
                <c:pt idx="30">
                  <c:v>1.016982152514873</c:v>
                </c:pt>
                <c:pt idx="31">
                  <c:v>1.013528633913132</c:v>
                </c:pt>
                <c:pt idx="32">
                  <c:v>1.0170667253908832</c:v>
                </c:pt>
                <c:pt idx="33">
                  <c:v>1.0223616034905918</c:v>
                </c:pt>
                <c:pt idx="34">
                  <c:v>1.0233664772727273</c:v>
                </c:pt>
                <c:pt idx="35">
                  <c:v>1.0151641519448025</c:v>
                </c:pt>
                <c:pt idx="36">
                  <c:v>1.0129219835244709</c:v>
                </c:pt>
                <c:pt idx="37">
                  <c:v>1.0155562300804371</c:v>
                </c:pt>
                <c:pt idx="38">
                  <c:v>1.0202413687748244</c:v>
                </c:pt>
                <c:pt idx="39">
                  <c:v>1.0185716442699684</c:v>
                </c:pt>
                <c:pt idx="40">
                  <c:v>1.0130793289735569</c:v>
                </c:pt>
                <c:pt idx="41">
                  <c:v>1.0132171823370382</c:v>
                </c:pt>
                <c:pt idx="42">
                  <c:v>1.017570281124498</c:v>
                </c:pt>
                <c:pt idx="43">
                  <c:v>1.022285919025439</c:v>
                </c:pt>
                <c:pt idx="44">
                  <c:v>1.0220286159512679</c:v>
                </c:pt>
                <c:pt idx="45">
                  <c:v>1.0237922625716733</c:v>
                </c:pt>
                <c:pt idx="46">
                  <c:v>1.020186131865251</c:v>
                </c:pt>
                <c:pt idx="47">
                  <c:v>1.0204002831585044</c:v>
                </c:pt>
                <c:pt idx="48">
                  <c:v>1.0223425399218697</c:v>
                </c:pt>
                <c:pt idx="49">
                  <c:v>1.0289299669371808</c:v>
                </c:pt>
                <c:pt idx="50">
                  <c:v>1.0304056988967074</c:v>
                </c:pt>
                <c:pt idx="51">
                  <c:v>1.0298422891680046</c:v>
                </c:pt>
                <c:pt idx="52">
                  <c:v>1.0375780421722229</c:v>
                </c:pt>
                <c:pt idx="53">
                  <c:v>1.0410280970625798</c:v>
                </c:pt>
                <c:pt idx="54">
                  <c:v>1.0357867552112157</c:v>
                </c:pt>
                <c:pt idx="55">
                  <c:v>1.0496528508310541</c:v>
                </c:pt>
                <c:pt idx="56">
                  <c:v>1.0305549781750156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485632"/>
        <c:axId val="82471552"/>
      </c:lineChart>
      <c:dateAx>
        <c:axId val="824682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82470016"/>
        <c:crosses val="autoZero"/>
        <c:auto val="1"/>
        <c:lblOffset val="100"/>
        <c:baseTimeUnit val="months"/>
      </c:dateAx>
      <c:valAx>
        <c:axId val="824700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2468224"/>
        <c:crosses val="autoZero"/>
        <c:crossBetween val="between"/>
      </c:valAx>
      <c:valAx>
        <c:axId val="824715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82485632"/>
        <c:crosses val="max"/>
        <c:crossBetween val="between"/>
      </c:valAx>
      <c:dateAx>
        <c:axId val="8248563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82471552"/>
        <c:crosses val="autoZero"/>
        <c:auto val="1"/>
        <c:lblOffset val="100"/>
        <c:baseTimeUnit val="month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'&lt;80 LTV'!$AE$5</c:f>
              <c:strCache>
                <c:ptCount val="1"/>
                <c:pt idx="0">
                  <c:v>HARP-II</c:v>
                </c:pt>
              </c:strCache>
            </c:strRef>
          </c:tx>
          <c:invertIfNegative val="0"/>
          <c:cat>
            <c:numRef>
              <c:f>'&lt;80 LTV'!$AD$6:$AD$62</c:f>
              <c:numCache>
                <c:formatCode>m/d/yyyy</c:formatCode>
                <c:ptCount val="57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</c:numCache>
            </c:numRef>
          </c:cat>
          <c:val>
            <c:numRef>
              <c:f>'&lt;80 LTV'!$AE$6:$AE$62</c:f>
              <c:numCache>
                <c:formatCode>General</c:formatCode>
                <c:ptCount val="57"/>
                <c:pt idx="0">
                  <c:v>6710</c:v>
                </c:pt>
                <c:pt idx="1">
                  <c:v>7064</c:v>
                </c:pt>
                <c:pt idx="2">
                  <c:v>10110</c:v>
                </c:pt>
                <c:pt idx="3">
                  <c:v>8591</c:v>
                </c:pt>
                <c:pt idx="4">
                  <c:v>7271</c:v>
                </c:pt>
                <c:pt idx="5">
                  <c:v>6267</c:v>
                </c:pt>
                <c:pt idx="6">
                  <c:v>9286</c:v>
                </c:pt>
                <c:pt idx="7">
                  <c:v>12219</c:v>
                </c:pt>
                <c:pt idx="8">
                  <c:v>13101</c:v>
                </c:pt>
                <c:pt idx="9">
                  <c:v>12009</c:v>
                </c:pt>
                <c:pt idx="10">
                  <c:v>7833</c:v>
                </c:pt>
                <c:pt idx="11">
                  <c:v>9812</c:v>
                </c:pt>
                <c:pt idx="12">
                  <c:v>9091</c:v>
                </c:pt>
                <c:pt idx="13">
                  <c:v>7236</c:v>
                </c:pt>
                <c:pt idx="14">
                  <c:v>11105</c:v>
                </c:pt>
                <c:pt idx="15">
                  <c:v>15462</c:v>
                </c:pt>
                <c:pt idx="16">
                  <c:v>18826</c:v>
                </c:pt>
                <c:pt idx="17">
                  <c:v>22721</c:v>
                </c:pt>
                <c:pt idx="18">
                  <c:v>25802</c:v>
                </c:pt>
                <c:pt idx="19">
                  <c:v>25645</c:v>
                </c:pt>
                <c:pt idx="20">
                  <c:v>19730</c:v>
                </c:pt>
                <c:pt idx="21">
                  <c:v>16913</c:v>
                </c:pt>
                <c:pt idx="22">
                  <c:v>10499</c:v>
                </c:pt>
                <c:pt idx="23">
                  <c:v>7066</c:v>
                </c:pt>
                <c:pt idx="24">
                  <c:v>6830</c:v>
                </c:pt>
                <c:pt idx="25">
                  <c:v>5521</c:v>
                </c:pt>
                <c:pt idx="26">
                  <c:v>6205</c:v>
                </c:pt>
                <c:pt idx="27">
                  <c:v>7401</c:v>
                </c:pt>
                <c:pt idx="28">
                  <c:v>7168</c:v>
                </c:pt>
                <c:pt idx="29">
                  <c:v>9500</c:v>
                </c:pt>
                <c:pt idx="30">
                  <c:v>10752</c:v>
                </c:pt>
                <c:pt idx="31">
                  <c:v>11894</c:v>
                </c:pt>
                <c:pt idx="32">
                  <c:v>9686</c:v>
                </c:pt>
                <c:pt idx="33">
                  <c:v>9403</c:v>
                </c:pt>
                <c:pt idx="34">
                  <c:v>9341</c:v>
                </c:pt>
                <c:pt idx="35">
                  <c:v>8758</c:v>
                </c:pt>
                <c:pt idx="36">
                  <c:v>7590</c:v>
                </c:pt>
                <c:pt idx="37">
                  <c:v>7435</c:v>
                </c:pt>
                <c:pt idx="38">
                  <c:v>7800</c:v>
                </c:pt>
                <c:pt idx="39">
                  <c:v>9870</c:v>
                </c:pt>
                <c:pt idx="40">
                  <c:v>10684</c:v>
                </c:pt>
                <c:pt idx="41">
                  <c:v>12836</c:v>
                </c:pt>
                <c:pt idx="42">
                  <c:v>13536</c:v>
                </c:pt>
                <c:pt idx="43">
                  <c:v>12555</c:v>
                </c:pt>
                <c:pt idx="44">
                  <c:v>13011</c:v>
                </c:pt>
                <c:pt idx="45">
                  <c:v>14091</c:v>
                </c:pt>
                <c:pt idx="46">
                  <c:v>14320</c:v>
                </c:pt>
                <c:pt idx="47">
                  <c:v>14365</c:v>
                </c:pt>
                <c:pt idx="48">
                  <c:v>13328</c:v>
                </c:pt>
                <c:pt idx="49">
                  <c:v>13096</c:v>
                </c:pt>
                <c:pt idx="50">
                  <c:v>11152</c:v>
                </c:pt>
                <c:pt idx="51">
                  <c:v>9637</c:v>
                </c:pt>
                <c:pt idx="52">
                  <c:v>7185</c:v>
                </c:pt>
                <c:pt idx="53">
                  <c:v>5561</c:v>
                </c:pt>
                <c:pt idx="54">
                  <c:v>5307</c:v>
                </c:pt>
                <c:pt idx="55">
                  <c:v>4763</c:v>
                </c:pt>
                <c:pt idx="56">
                  <c:v>4713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395072"/>
        <c:axId val="101396864"/>
      </c:barChart>
      <c:dateAx>
        <c:axId val="1013950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01396864"/>
        <c:crosses val="autoZero"/>
        <c:auto val="1"/>
        <c:lblOffset val="100"/>
        <c:baseTimeUnit val="months"/>
      </c:dateAx>
      <c:valAx>
        <c:axId val="1013968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13950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'&lt;80 LTV'!$AI$5</c:f>
              <c:strCache>
                <c:ptCount val="1"/>
                <c:pt idx="0">
                  <c:v>Ratio HARP/Refi</c:v>
                </c:pt>
              </c:strCache>
            </c:strRef>
          </c:tx>
          <c:marker>
            <c:symbol val="none"/>
          </c:marker>
          <c:trendline>
            <c:spPr>
              <a:ln w="22225">
                <a:solidFill>
                  <a:srgbClr val="C00000"/>
                </a:solidFill>
              </a:ln>
            </c:spPr>
            <c:trendlineType val="linear"/>
            <c:dispRSqr val="0"/>
            <c:dispEq val="0"/>
          </c:trendline>
          <c:cat>
            <c:numRef>
              <c:f>'&lt;80 LTV'!$AH$6:$AH$62</c:f>
              <c:numCache>
                <c:formatCode>m/d/yyyy</c:formatCode>
                <c:ptCount val="57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</c:numCache>
            </c:numRef>
          </c:cat>
          <c:val>
            <c:numRef>
              <c:f>'&lt;80 LTV'!$AI$6:$AI$62</c:f>
              <c:numCache>
                <c:formatCode>0%</c:formatCode>
                <c:ptCount val="57"/>
                <c:pt idx="0">
                  <c:v>4.5711249327274835E-2</c:v>
                </c:pt>
                <c:pt idx="1">
                  <c:v>4.9449780192086915E-2</c:v>
                </c:pt>
                <c:pt idx="2">
                  <c:v>8.1220476236382913E-2</c:v>
                </c:pt>
                <c:pt idx="3">
                  <c:v>9.8626960255321097E-2</c:v>
                </c:pt>
                <c:pt idx="4">
                  <c:v>0.1339239666985928</c:v>
                </c:pt>
                <c:pt idx="5">
                  <c:v>0.12973812234758306</c:v>
                </c:pt>
                <c:pt idx="6">
                  <c:v>0.15860219645083606</c:v>
                </c:pt>
                <c:pt idx="7">
                  <c:v>0.19611273392610665</c:v>
                </c:pt>
                <c:pt idx="8">
                  <c:v>0.19880724756441773</c:v>
                </c:pt>
                <c:pt idx="9">
                  <c:v>0.20920873837148532</c:v>
                </c:pt>
                <c:pt idx="10">
                  <c:v>0.18189206762028609</c:v>
                </c:pt>
                <c:pt idx="11">
                  <c:v>0.22995078509491446</c:v>
                </c:pt>
                <c:pt idx="12">
                  <c:v>0.23752416784239955</c:v>
                </c:pt>
                <c:pt idx="13">
                  <c:v>0.22182029980687287</c:v>
                </c:pt>
                <c:pt idx="14">
                  <c:v>0.2692904602551045</c:v>
                </c:pt>
                <c:pt idx="15">
                  <c:v>0.29642268317932596</c:v>
                </c:pt>
                <c:pt idx="16">
                  <c:v>0.29132042771149591</c:v>
                </c:pt>
                <c:pt idx="17">
                  <c:v>0.3346096637851052</c:v>
                </c:pt>
                <c:pt idx="18">
                  <c:v>0.33821833053691275</c:v>
                </c:pt>
                <c:pt idx="19">
                  <c:v>0.34832864729771945</c:v>
                </c:pt>
                <c:pt idx="20">
                  <c:v>0.30024957389822254</c:v>
                </c:pt>
                <c:pt idx="21">
                  <c:v>0.33391245977374584</c:v>
                </c:pt>
                <c:pt idx="22">
                  <c:v>0.34422950819672132</c:v>
                </c:pt>
                <c:pt idx="23">
                  <c:v>0.2738229025382678</c:v>
                </c:pt>
                <c:pt idx="24">
                  <c:v>0.30875638533520183</c:v>
                </c:pt>
                <c:pt idx="25">
                  <c:v>0.29329579260518485</c:v>
                </c:pt>
                <c:pt idx="26">
                  <c:v>0.26236786469344608</c:v>
                </c:pt>
                <c:pt idx="27">
                  <c:v>0.29646691235378947</c:v>
                </c:pt>
                <c:pt idx="28">
                  <c:v>0.27280685061845861</c:v>
                </c:pt>
                <c:pt idx="29">
                  <c:v>0.23868147329279935</c:v>
                </c:pt>
                <c:pt idx="30">
                  <c:v>0.27236112166578008</c:v>
                </c:pt>
                <c:pt idx="31">
                  <c:v>0.28204884989328904</c:v>
                </c:pt>
                <c:pt idx="32">
                  <c:v>0.21692197437964705</c:v>
                </c:pt>
                <c:pt idx="33">
                  <c:v>0.23968290382605592</c:v>
                </c:pt>
                <c:pt idx="34">
                  <c:v>0.24571233164983164</c:v>
                </c:pt>
                <c:pt idx="35">
                  <c:v>0.23377108691010037</c:v>
                </c:pt>
                <c:pt idx="36">
                  <c:v>0.22981893053957489</c:v>
                </c:pt>
                <c:pt idx="37">
                  <c:v>0.20620129239814738</c:v>
                </c:pt>
                <c:pt idx="38">
                  <c:v>0.21664861261561535</c:v>
                </c:pt>
                <c:pt idx="39">
                  <c:v>0.22434367541766109</c:v>
                </c:pt>
                <c:pt idx="40">
                  <c:v>0.19533778224700613</c:v>
                </c:pt>
                <c:pt idx="41">
                  <c:v>0.1987027662966919</c:v>
                </c:pt>
                <c:pt idx="42">
                  <c:v>0.20224114746750335</c:v>
                </c:pt>
                <c:pt idx="43">
                  <c:v>0.21476957815867803</c:v>
                </c:pt>
                <c:pt idx="44">
                  <c:v>0.20030790547301977</c:v>
                </c:pt>
                <c:pt idx="45">
                  <c:v>0.19818844146893769</c:v>
                </c:pt>
                <c:pt idx="46">
                  <c:v>0.21585770274344288</c:v>
                </c:pt>
                <c:pt idx="47">
                  <c:v>0.25646747960222099</c:v>
                </c:pt>
                <c:pt idx="48">
                  <c:v>0.26683216881218841</c:v>
                </c:pt>
                <c:pt idx="49">
                  <c:v>0.22797458438506396</c:v>
                </c:pt>
                <c:pt idx="50">
                  <c:v>0.22482511138439207</c:v>
                </c:pt>
                <c:pt idx="51">
                  <c:v>0.24819717729473575</c:v>
                </c:pt>
                <c:pt idx="52">
                  <c:v>0.26723945547868777</c:v>
                </c:pt>
                <c:pt idx="53">
                  <c:v>0.2720246539157658</c:v>
                </c:pt>
                <c:pt idx="54">
                  <c:v>0.25331742243436756</c:v>
                </c:pt>
                <c:pt idx="55">
                  <c:v>0.21364492688615772</c:v>
                </c:pt>
                <c:pt idx="56">
                  <c:v>0.20799682245465378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414016"/>
        <c:axId val="101415552"/>
      </c:lineChart>
      <c:dateAx>
        <c:axId val="1014140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01415552"/>
        <c:crosses val="autoZero"/>
        <c:auto val="1"/>
        <c:lblOffset val="100"/>
        <c:baseTimeUnit val="months"/>
      </c:dateAx>
      <c:valAx>
        <c:axId val="10141555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1014140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 LTV filter'!$AE$5</c:f>
              <c:strCache>
                <c:ptCount val="1"/>
                <c:pt idx="0">
                  <c:v>HARP-I</c:v>
                </c:pt>
              </c:strCache>
            </c:strRef>
          </c:tx>
          <c:invertIfNegative val="0"/>
          <c:cat>
            <c:numRef>
              <c:f>'no LTV filter'!$AD$6:$AD$62</c:f>
              <c:numCache>
                <c:formatCode>m/d/yyyy</c:formatCode>
                <c:ptCount val="57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</c:numCache>
            </c:numRef>
          </c:cat>
          <c:val>
            <c:numRef>
              <c:f>'no LTV filter'!$AE$6:$AE$62</c:f>
              <c:numCache>
                <c:formatCode>General</c:formatCode>
                <c:ptCount val="57"/>
                <c:pt idx="0">
                  <c:v>4272</c:v>
                </c:pt>
                <c:pt idx="1">
                  <c:v>9557</c:v>
                </c:pt>
                <c:pt idx="2">
                  <c:v>15810</c:v>
                </c:pt>
                <c:pt idx="3">
                  <c:v>14494</c:v>
                </c:pt>
                <c:pt idx="4">
                  <c:v>9396</c:v>
                </c:pt>
                <c:pt idx="5">
                  <c:v>7014</c:v>
                </c:pt>
                <c:pt idx="6">
                  <c:v>9189</c:v>
                </c:pt>
                <c:pt idx="7">
                  <c:v>11722</c:v>
                </c:pt>
                <c:pt idx="8">
                  <c:v>13737</c:v>
                </c:pt>
                <c:pt idx="9">
                  <c:v>12676</c:v>
                </c:pt>
                <c:pt idx="10">
                  <c:v>9563</c:v>
                </c:pt>
                <c:pt idx="11">
                  <c:v>11244</c:v>
                </c:pt>
                <c:pt idx="12">
                  <c:v>10360</c:v>
                </c:pt>
                <c:pt idx="13">
                  <c:v>7944</c:v>
                </c:pt>
                <c:pt idx="14">
                  <c:v>10171</c:v>
                </c:pt>
                <c:pt idx="15">
                  <c:v>12608</c:v>
                </c:pt>
                <c:pt idx="16">
                  <c:v>14205</c:v>
                </c:pt>
                <c:pt idx="17">
                  <c:v>15045</c:v>
                </c:pt>
                <c:pt idx="18">
                  <c:v>17054</c:v>
                </c:pt>
                <c:pt idx="19">
                  <c:v>18502</c:v>
                </c:pt>
                <c:pt idx="20">
                  <c:v>17396</c:v>
                </c:pt>
                <c:pt idx="21">
                  <c:v>15213</c:v>
                </c:pt>
                <c:pt idx="22">
                  <c:v>10593</c:v>
                </c:pt>
                <c:pt idx="23">
                  <c:v>7420</c:v>
                </c:pt>
                <c:pt idx="24">
                  <c:v>6376</c:v>
                </c:pt>
                <c:pt idx="25">
                  <c:v>5524</c:v>
                </c:pt>
                <c:pt idx="26">
                  <c:v>6163</c:v>
                </c:pt>
                <c:pt idx="27">
                  <c:v>6608</c:v>
                </c:pt>
                <c:pt idx="28">
                  <c:v>6814</c:v>
                </c:pt>
                <c:pt idx="29">
                  <c:v>7897</c:v>
                </c:pt>
                <c:pt idx="30">
                  <c:v>9245</c:v>
                </c:pt>
                <c:pt idx="31">
                  <c:v>9831</c:v>
                </c:pt>
                <c:pt idx="32">
                  <c:v>9082</c:v>
                </c:pt>
                <c:pt idx="33">
                  <c:v>11001</c:v>
                </c:pt>
                <c:pt idx="34">
                  <c:v>14080</c:v>
                </c:pt>
                <c:pt idx="35">
                  <c:v>13189</c:v>
                </c:pt>
                <c:pt idx="36">
                  <c:v>12382</c:v>
                </c:pt>
                <c:pt idx="37">
                  <c:v>13178</c:v>
                </c:pt>
                <c:pt idx="38">
                  <c:v>13092</c:v>
                </c:pt>
                <c:pt idx="39">
                  <c:v>13246</c:v>
                </c:pt>
                <c:pt idx="40">
                  <c:v>14068</c:v>
                </c:pt>
                <c:pt idx="41">
                  <c:v>13316</c:v>
                </c:pt>
                <c:pt idx="42">
                  <c:v>15936</c:v>
                </c:pt>
                <c:pt idx="43">
                  <c:v>13955</c:v>
                </c:pt>
                <c:pt idx="44">
                  <c:v>14118</c:v>
                </c:pt>
                <c:pt idx="45">
                  <c:v>15173</c:v>
                </c:pt>
                <c:pt idx="46">
                  <c:v>15258</c:v>
                </c:pt>
                <c:pt idx="47">
                  <c:v>15539</c:v>
                </c:pt>
                <c:pt idx="48">
                  <c:v>14591</c:v>
                </c:pt>
                <c:pt idx="49">
                  <c:v>13308</c:v>
                </c:pt>
                <c:pt idx="50">
                  <c:v>11511</c:v>
                </c:pt>
                <c:pt idx="51">
                  <c:v>10589</c:v>
                </c:pt>
                <c:pt idx="52">
                  <c:v>8489</c:v>
                </c:pt>
                <c:pt idx="53">
                  <c:v>6264</c:v>
                </c:pt>
                <c:pt idx="54">
                  <c:v>5421</c:v>
                </c:pt>
                <c:pt idx="55">
                  <c:v>4753</c:v>
                </c:pt>
                <c:pt idx="56">
                  <c:v>4811</c:v>
                </c:pt>
              </c:numCache>
            </c:numRef>
          </c:val>
        </c:ser>
        <c:ser>
          <c:idx val="1"/>
          <c:order val="1"/>
          <c:tx>
            <c:strRef>
              <c:f>'no LTV filter'!$AF$5</c:f>
              <c:strCache>
                <c:ptCount val="1"/>
                <c:pt idx="0">
                  <c:v>HARP-II</c:v>
                </c:pt>
              </c:strCache>
            </c:strRef>
          </c:tx>
          <c:invertIfNegative val="0"/>
          <c:cat>
            <c:numRef>
              <c:f>'no LTV filter'!$AD$6:$AD$62</c:f>
              <c:numCache>
                <c:formatCode>m/d/yyyy</c:formatCode>
                <c:ptCount val="57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</c:numCache>
            </c:numRef>
          </c:cat>
          <c:val>
            <c:numRef>
              <c:f>'no LTV filter'!$AF$6:$AF$62</c:f>
              <c:numCache>
                <c:formatCode>General</c:formatCode>
                <c:ptCount val="57"/>
                <c:pt idx="0">
                  <c:v>10383</c:v>
                </c:pt>
                <c:pt idx="1">
                  <c:v>16311</c:v>
                </c:pt>
                <c:pt idx="2">
                  <c:v>25480</c:v>
                </c:pt>
                <c:pt idx="3">
                  <c:v>22620</c:v>
                </c:pt>
                <c:pt idx="4">
                  <c:v>16406</c:v>
                </c:pt>
                <c:pt idx="5">
                  <c:v>13051</c:v>
                </c:pt>
                <c:pt idx="6">
                  <c:v>18179</c:v>
                </c:pt>
                <c:pt idx="7">
                  <c:v>23590</c:v>
                </c:pt>
                <c:pt idx="8">
                  <c:v>26564</c:v>
                </c:pt>
                <c:pt idx="9">
                  <c:v>24648</c:v>
                </c:pt>
                <c:pt idx="10">
                  <c:v>17440</c:v>
                </c:pt>
                <c:pt idx="11">
                  <c:v>21045</c:v>
                </c:pt>
                <c:pt idx="12">
                  <c:v>19445</c:v>
                </c:pt>
                <c:pt idx="13">
                  <c:v>15205</c:v>
                </c:pt>
                <c:pt idx="14">
                  <c:v>21345</c:v>
                </c:pt>
                <c:pt idx="15">
                  <c:v>28168</c:v>
                </c:pt>
                <c:pt idx="16">
                  <c:v>33340</c:v>
                </c:pt>
                <c:pt idx="17">
                  <c:v>38106</c:v>
                </c:pt>
                <c:pt idx="18">
                  <c:v>43237</c:v>
                </c:pt>
                <c:pt idx="19">
                  <c:v>44477</c:v>
                </c:pt>
                <c:pt idx="20">
                  <c:v>37323</c:v>
                </c:pt>
                <c:pt idx="21">
                  <c:v>32289</c:v>
                </c:pt>
                <c:pt idx="22">
                  <c:v>21224</c:v>
                </c:pt>
                <c:pt idx="23">
                  <c:v>14491</c:v>
                </c:pt>
                <c:pt idx="24">
                  <c:v>13261</c:v>
                </c:pt>
                <c:pt idx="25">
                  <c:v>11117</c:v>
                </c:pt>
                <c:pt idx="26">
                  <c:v>12492</c:v>
                </c:pt>
                <c:pt idx="27">
                  <c:v>14123</c:v>
                </c:pt>
                <c:pt idx="28">
                  <c:v>14085</c:v>
                </c:pt>
                <c:pt idx="29">
                  <c:v>17552</c:v>
                </c:pt>
                <c:pt idx="30">
                  <c:v>20154</c:v>
                </c:pt>
                <c:pt idx="31">
                  <c:v>21858</c:v>
                </c:pt>
                <c:pt idx="32">
                  <c:v>18923</c:v>
                </c:pt>
                <c:pt idx="33">
                  <c:v>20650</c:v>
                </c:pt>
                <c:pt idx="34">
                  <c:v>23750</c:v>
                </c:pt>
                <c:pt idx="35">
                  <c:v>22147</c:v>
                </c:pt>
                <c:pt idx="36">
                  <c:v>20132</c:v>
                </c:pt>
                <c:pt idx="37">
                  <c:v>20818</c:v>
                </c:pt>
                <c:pt idx="38">
                  <c:v>21157</c:v>
                </c:pt>
                <c:pt idx="39">
                  <c:v>23362</c:v>
                </c:pt>
                <c:pt idx="40">
                  <c:v>24936</c:v>
                </c:pt>
                <c:pt idx="41">
                  <c:v>26328</c:v>
                </c:pt>
                <c:pt idx="42">
                  <c:v>29752</c:v>
                </c:pt>
                <c:pt idx="43">
                  <c:v>26821</c:v>
                </c:pt>
                <c:pt idx="44">
                  <c:v>27440</c:v>
                </c:pt>
                <c:pt idx="45">
                  <c:v>29625</c:v>
                </c:pt>
                <c:pt idx="46">
                  <c:v>29886</c:v>
                </c:pt>
                <c:pt idx="47">
                  <c:v>30221</c:v>
                </c:pt>
                <c:pt idx="48">
                  <c:v>28245</c:v>
                </c:pt>
                <c:pt idx="49">
                  <c:v>26789</c:v>
                </c:pt>
                <c:pt idx="50">
                  <c:v>23013</c:v>
                </c:pt>
                <c:pt idx="51">
                  <c:v>20542</c:v>
                </c:pt>
                <c:pt idx="52">
                  <c:v>15993</c:v>
                </c:pt>
                <c:pt idx="53">
                  <c:v>12082</c:v>
                </c:pt>
                <c:pt idx="54">
                  <c:v>10922</c:v>
                </c:pt>
                <c:pt idx="55">
                  <c:v>9752</c:v>
                </c:pt>
                <c:pt idx="56">
                  <c:v>9671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424832"/>
        <c:axId val="194426368"/>
      </c:barChart>
      <c:lineChart>
        <c:grouping val="standard"/>
        <c:varyColors val="0"/>
        <c:ser>
          <c:idx val="2"/>
          <c:order val="2"/>
          <c:tx>
            <c:strRef>
              <c:f>'no LTV filter'!$AG$5</c:f>
              <c:strCache>
                <c:ptCount val="1"/>
                <c:pt idx="0">
                  <c:v>Ratio II/I</c:v>
                </c:pt>
              </c:strCache>
            </c:strRef>
          </c:tx>
          <c:marker>
            <c:symbol val="none"/>
          </c:marker>
          <c:trendline>
            <c:trendlineType val="linear"/>
            <c:dispRSqr val="0"/>
            <c:dispEq val="0"/>
          </c:trendline>
          <c:cat>
            <c:numRef>
              <c:f>'no LTV filter'!$AD$6:$AD$62</c:f>
              <c:numCache>
                <c:formatCode>m/d/yyyy</c:formatCode>
                <c:ptCount val="57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</c:numCache>
            </c:numRef>
          </c:cat>
          <c:val>
            <c:numRef>
              <c:f>'no LTV filter'!$AG$6:$AG$62</c:f>
              <c:numCache>
                <c:formatCode>General</c:formatCode>
                <c:ptCount val="57"/>
                <c:pt idx="0">
                  <c:v>2.4304775280898876</c:v>
                </c:pt>
                <c:pt idx="1">
                  <c:v>1.7067071256670503</c:v>
                </c:pt>
                <c:pt idx="2">
                  <c:v>1.6116382036685641</c:v>
                </c:pt>
                <c:pt idx="3">
                  <c:v>1.5606457844625363</c:v>
                </c:pt>
                <c:pt idx="4">
                  <c:v>1.7460621541081311</c:v>
                </c:pt>
                <c:pt idx="5">
                  <c:v>1.8607071571143428</c:v>
                </c:pt>
                <c:pt idx="6">
                  <c:v>1.978343671781478</c:v>
                </c:pt>
                <c:pt idx="7">
                  <c:v>2.0124552124210884</c:v>
                </c:pt>
                <c:pt idx="8">
                  <c:v>1.9337555507024824</c:v>
                </c:pt>
                <c:pt idx="9">
                  <c:v>1.9444619753865573</c:v>
                </c:pt>
                <c:pt idx="10">
                  <c:v>1.8236954930461153</c:v>
                </c:pt>
                <c:pt idx="11">
                  <c:v>1.8716648879402349</c:v>
                </c:pt>
                <c:pt idx="12">
                  <c:v>1.876930501930502</c:v>
                </c:pt>
                <c:pt idx="13">
                  <c:v>1.9140231621349446</c:v>
                </c:pt>
                <c:pt idx="14">
                  <c:v>2.0986137056336642</c:v>
                </c:pt>
                <c:pt idx="15">
                  <c:v>2.2341370558375635</c:v>
                </c:pt>
                <c:pt idx="16">
                  <c:v>2.3470608940513902</c:v>
                </c:pt>
                <c:pt idx="17">
                  <c:v>2.532801595214357</c:v>
                </c:pt>
                <c:pt idx="18">
                  <c:v>2.5352996364489271</c:v>
                </c:pt>
                <c:pt idx="19">
                  <c:v>2.4039022808345045</c:v>
                </c:pt>
                <c:pt idx="20">
                  <c:v>2.1454932168314556</c:v>
                </c:pt>
                <c:pt idx="21">
                  <c:v>2.1224610530467363</c:v>
                </c:pt>
                <c:pt idx="22">
                  <c:v>2.0035872746153118</c:v>
                </c:pt>
                <c:pt idx="23">
                  <c:v>1.9529649595687331</c:v>
                </c:pt>
                <c:pt idx="24">
                  <c:v>2.0798306148055206</c:v>
                </c:pt>
                <c:pt idx="25">
                  <c:v>2.0124909485879798</c:v>
                </c:pt>
                <c:pt idx="26">
                  <c:v>2.0269349342852507</c:v>
                </c:pt>
                <c:pt idx="27">
                  <c:v>2.1372578692493946</c:v>
                </c:pt>
                <c:pt idx="28">
                  <c:v>2.0670678015849719</c:v>
                </c:pt>
                <c:pt idx="29">
                  <c:v>2.22261618336077</c:v>
                </c:pt>
                <c:pt idx="30">
                  <c:v>2.179989183342347</c:v>
                </c:pt>
                <c:pt idx="31">
                  <c:v>2.2233750381446447</c:v>
                </c:pt>
                <c:pt idx="32">
                  <c:v>2.0835719004624531</c:v>
                </c:pt>
                <c:pt idx="33">
                  <c:v>1.8771020816289428</c:v>
                </c:pt>
                <c:pt idx="34">
                  <c:v>1.6867897727272727</c:v>
                </c:pt>
                <c:pt idx="35">
                  <c:v>1.6792023656077033</c:v>
                </c:pt>
                <c:pt idx="36">
                  <c:v>1.6259085769665644</c:v>
                </c:pt>
                <c:pt idx="37">
                  <c:v>1.5797541356806799</c:v>
                </c:pt>
                <c:pt idx="38">
                  <c:v>1.6160250534677665</c:v>
                </c:pt>
                <c:pt idx="39">
                  <c:v>1.7637022497357693</c:v>
                </c:pt>
                <c:pt idx="40">
                  <c:v>1.7725334091555303</c:v>
                </c:pt>
                <c:pt idx="41">
                  <c:v>1.9771703214178431</c:v>
                </c:pt>
                <c:pt idx="42">
                  <c:v>1.8669678714859437</c:v>
                </c:pt>
                <c:pt idx="43">
                  <c:v>1.9219634539591544</c:v>
                </c:pt>
                <c:pt idx="44">
                  <c:v>1.9436180762147612</c:v>
                </c:pt>
                <c:pt idx="45">
                  <c:v>1.9524813814011732</c:v>
                </c:pt>
                <c:pt idx="46">
                  <c:v>1.9587101848210775</c:v>
                </c:pt>
                <c:pt idx="47">
                  <c:v>1.9448484458459361</c:v>
                </c:pt>
                <c:pt idx="48">
                  <c:v>1.9357823315742582</c:v>
                </c:pt>
                <c:pt idx="49">
                  <c:v>2.012999699428915</c:v>
                </c:pt>
                <c:pt idx="50">
                  <c:v>1.9992181391712276</c:v>
                </c:pt>
                <c:pt idx="51">
                  <c:v>1.9399376711681935</c:v>
                </c:pt>
                <c:pt idx="52">
                  <c:v>1.8839674873365533</c:v>
                </c:pt>
                <c:pt idx="53">
                  <c:v>1.9287994891443168</c:v>
                </c:pt>
                <c:pt idx="54">
                  <c:v>2.0147574248293671</c:v>
                </c:pt>
                <c:pt idx="55">
                  <c:v>2.0517567851883021</c:v>
                </c:pt>
                <c:pt idx="56">
                  <c:v>2.0101849927250051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29696"/>
        <c:axId val="194427904"/>
      </c:lineChart>
      <c:dateAx>
        <c:axId val="1944248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94426368"/>
        <c:crosses val="autoZero"/>
        <c:auto val="1"/>
        <c:lblOffset val="100"/>
        <c:baseTimeUnit val="months"/>
      </c:dateAx>
      <c:valAx>
        <c:axId val="194426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424832"/>
        <c:crosses val="autoZero"/>
        <c:crossBetween val="between"/>
      </c:valAx>
      <c:valAx>
        <c:axId val="19442790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94429696"/>
        <c:crosses val="max"/>
        <c:crossBetween val="between"/>
      </c:valAx>
      <c:dateAx>
        <c:axId val="19442969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94427904"/>
        <c:crosses val="autoZero"/>
        <c:auto val="1"/>
        <c:lblOffset val="100"/>
        <c:baseTimeUnit val="month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Ratio Algo II/Algo I (LTV &gt; 80)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'&gt;80 LTV'!$AF$5</c:f>
              <c:strCache>
                <c:ptCount val="1"/>
                <c:pt idx="0">
                  <c:v>HARP-I</c:v>
                </c:pt>
              </c:strCache>
            </c:strRef>
          </c:tx>
          <c:invertIfNegative val="0"/>
          <c:cat>
            <c:numRef>
              <c:f>'&gt;80 LTV'!$AE$6:$AE$62</c:f>
              <c:numCache>
                <c:formatCode>m/d/yyyy</c:formatCode>
                <c:ptCount val="57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</c:numCache>
            </c:numRef>
          </c:cat>
          <c:val>
            <c:numRef>
              <c:f>'&gt;80 LTV'!$AF$6:$AF$62</c:f>
              <c:numCache>
                <c:formatCode>General</c:formatCode>
                <c:ptCount val="57"/>
                <c:pt idx="0">
                  <c:v>4272</c:v>
                </c:pt>
                <c:pt idx="1">
                  <c:v>9557</c:v>
                </c:pt>
                <c:pt idx="2">
                  <c:v>15810</c:v>
                </c:pt>
                <c:pt idx="3">
                  <c:v>14494</c:v>
                </c:pt>
                <c:pt idx="4">
                  <c:v>9396</c:v>
                </c:pt>
                <c:pt idx="5">
                  <c:v>7014</c:v>
                </c:pt>
                <c:pt idx="6">
                  <c:v>9189</c:v>
                </c:pt>
                <c:pt idx="7">
                  <c:v>11722</c:v>
                </c:pt>
                <c:pt idx="8">
                  <c:v>13737</c:v>
                </c:pt>
                <c:pt idx="9">
                  <c:v>12676</c:v>
                </c:pt>
                <c:pt idx="10">
                  <c:v>9563</c:v>
                </c:pt>
                <c:pt idx="11">
                  <c:v>11244</c:v>
                </c:pt>
                <c:pt idx="12">
                  <c:v>10360</c:v>
                </c:pt>
                <c:pt idx="13">
                  <c:v>7944</c:v>
                </c:pt>
                <c:pt idx="14">
                  <c:v>10171</c:v>
                </c:pt>
                <c:pt idx="15">
                  <c:v>12608</c:v>
                </c:pt>
                <c:pt idx="16">
                  <c:v>14205</c:v>
                </c:pt>
                <c:pt idx="17">
                  <c:v>15045</c:v>
                </c:pt>
                <c:pt idx="18">
                  <c:v>17054</c:v>
                </c:pt>
                <c:pt idx="19">
                  <c:v>18502</c:v>
                </c:pt>
                <c:pt idx="20">
                  <c:v>17396</c:v>
                </c:pt>
                <c:pt idx="21">
                  <c:v>15213</c:v>
                </c:pt>
                <c:pt idx="22">
                  <c:v>10593</c:v>
                </c:pt>
                <c:pt idx="23">
                  <c:v>7420</c:v>
                </c:pt>
                <c:pt idx="24">
                  <c:v>6376</c:v>
                </c:pt>
                <c:pt idx="25">
                  <c:v>5524</c:v>
                </c:pt>
                <c:pt idx="26">
                  <c:v>6163</c:v>
                </c:pt>
                <c:pt idx="27">
                  <c:v>6608</c:v>
                </c:pt>
                <c:pt idx="28">
                  <c:v>6814</c:v>
                </c:pt>
                <c:pt idx="29">
                  <c:v>7897</c:v>
                </c:pt>
                <c:pt idx="30">
                  <c:v>9245</c:v>
                </c:pt>
                <c:pt idx="31">
                  <c:v>9831</c:v>
                </c:pt>
                <c:pt idx="32">
                  <c:v>9082</c:v>
                </c:pt>
                <c:pt idx="33">
                  <c:v>11001</c:v>
                </c:pt>
                <c:pt idx="34">
                  <c:v>14080</c:v>
                </c:pt>
                <c:pt idx="35">
                  <c:v>13189</c:v>
                </c:pt>
                <c:pt idx="36">
                  <c:v>12382</c:v>
                </c:pt>
                <c:pt idx="37">
                  <c:v>13178</c:v>
                </c:pt>
                <c:pt idx="38">
                  <c:v>13092</c:v>
                </c:pt>
                <c:pt idx="39">
                  <c:v>13246</c:v>
                </c:pt>
                <c:pt idx="40">
                  <c:v>14068</c:v>
                </c:pt>
                <c:pt idx="41">
                  <c:v>13316</c:v>
                </c:pt>
                <c:pt idx="42">
                  <c:v>15936</c:v>
                </c:pt>
                <c:pt idx="43">
                  <c:v>13955</c:v>
                </c:pt>
                <c:pt idx="44">
                  <c:v>14118</c:v>
                </c:pt>
                <c:pt idx="45">
                  <c:v>15173</c:v>
                </c:pt>
                <c:pt idx="46">
                  <c:v>15258</c:v>
                </c:pt>
                <c:pt idx="47">
                  <c:v>15539</c:v>
                </c:pt>
                <c:pt idx="48">
                  <c:v>14591</c:v>
                </c:pt>
                <c:pt idx="49">
                  <c:v>13308</c:v>
                </c:pt>
                <c:pt idx="50">
                  <c:v>11511</c:v>
                </c:pt>
                <c:pt idx="51">
                  <c:v>10589</c:v>
                </c:pt>
                <c:pt idx="52">
                  <c:v>8489</c:v>
                </c:pt>
                <c:pt idx="53">
                  <c:v>6264</c:v>
                </c:pt>
                <c:pt idx="54">
                  <c:v>5421</c:v>
                </c:pt>
                <c:pt idx="55">
                  <c:v>4753</c:v>
                </c:pt>
                <c:pt idx="56">
                  <c:v>4811</c:v>
                </c:pt>
              </c:numCache>
            </c:numRef>
          </c:val>
        </c:ser>
        <c:ser>
          <c:idx val="1"/>
          <c:order val="1"/>
          <c:tx>
            <c:strRef>
              <c:f>'&gt;80 LTV'!$AG$5</c:f>
              <c:strCache>
                <c:ptCount val="1"/>
                <c:pt idx="0">
                  <c:v>HARP-II</c:v>
                </c:pt>
              </c:strCache>
            </c:strRef>
          </c:tx>
          <c:invertIfNegative val="0"/>
          <c:cat>
            <c:numRef>
              <c:f>'&gt;80 LTV'!$AE$6:$AE$62</c:f>
              <c:numCache>
                <c:formatCode>m/d/yyyy</c:formatCode>
                <c:ptCount val="57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</c:numCache>
            </c:numRef>
          </c:cat>
          <c:val>
            <c:numRef>
              <c:f>'&gt;80 LTV'!$AG$6:$AG$62</c:f>
              <c:numCache>
                <c:formatCode>General</c:formatCode>
                <c:ptCount val="57"/>
                <c:pt idx="0">
                  <c:v>3673</c:v>
                </c:pt>
                <c:pt idx="1">
                  <c:v>9247</c:v>
                </c:pt>
                <c:pt idx="2">
                  <c:v>15370</c:v>
                </c:pt>
                <c:pt idx="3">
                  <c:v>14029</c:v>
                </c:pt>
                <c:pt idx="4">
                  <c:v>9135</c:v>
                </c:pt>
                <c:pt idx="5">
                  <c:v>6784</c:v>
                </c:pt>
                <c:pt idx="6">
                  <c:v>8893</c:v>
                </c:pt>
                <c:pt idx="7">
                  <c:v>11371</c:v>
                </c:pt>
                <c:pt idx="8">
                  <c:v>13463</c:v>
                </c:pt>
                <c:pt idx="9">
                  <c:v>12639</c:v>
                </c:pt>
                <c:pt idx="10">
                  <c:v>9607</c:v>
                </c:pt>
                <c:pt idx="11">
                  <c:v>11233</c:v>
                </c:pt>
                <c:pt idx="12">
                  <c:v>10354</c:v>
                </c:pt>
                <c:pt idx="13">
                  <c:v>7969</c:v>
                </c:pt>
                <c:pt idx="14">
                  <c:v>10240</c:v>
                </c:pt>
                <c:pt idx="15">
                  <c:v>12706</c:v>
                </c:pt>
                <c:pt idx="16">
                  <c:v>14514</c:v>
                </c:pt>
                <c:pt idx="17">
                  <c:v>15385</c:v>
                </c:pt>
                <c:pt idx="18">
                  <c:v>17435</c:v>
                </c:pt>
                <c:pt idx="19">
                  <c:v>18832</c:v>
                </c:pt>
                <c:pt idx="20">
                  <c:v>17593</c:v>
                </c:pt>
                <c:pt idx="21">
                  <c:v>15376</c:v>
                </c:pt>
                <c:pt idx="22">
                  <c:v>10725</c:v>
                </c:pt>
                <c:pt idx="23">
                  <c:v>7425</c:v>
                </c:pt>
                <c:pt idx="24">
                  <c:v>6431</c:v>
                </c:pt>
                <c:pt idx="25">
                  <c:v>5596</c:v>
                </c:pt>
                <c:pt idx="26">
                  <c:v>6287</c:v>
                </c:pt>
                <c:pt idx="27">
                  <c:v>6722</c:v>
                </c:pt>
                <c:pt idx="28">
                  <c:v>6917</c:v>
                </c:pt>
                <c:pt idx="29">
                  <c:v>8052</c:v>
                </c:pt>
                <c:pt idx="30">
                  <c:v>9402</c:v>
                </c:pt>
                <c:pt idx="31">
                  <c:v>9964</c:v>
                </c:pt>
                <c:pt idx="32">
                  <c:v>9237</c:v>
                </c:pt>
                <c:pt idx="33">
                  <c:v>11247</c:v>
                </c:pt>
                <c:pt idx="34">
                  <c:v>14409</c:v>
                </c:pt>
                <c:pt idx="35">
                  <c:v>13389</c:v>
                </c:pt>
                <c:pt idx="36">
                  <c:v>12542</c:v>
                </c:pt>
                <c:pt idx="37">
                  <c:v>13383</c:v>
                </c:pt>
                <c:pt idx="38">
                  <c:v>13357</c:v>
                </c:pt>
                <c:pt idx="39">
                  <c:v>13492</c:v>
                </c:pt>
                <c:pt idx="40">
                  <c:v>14252</c:v>
                </c:pt>
                <c:pt idx="41">
                  <c:v>13492</c:v>
                </c:pt>
                <c:pt idx="42">
                  <c:v>16216</c:v>
                </c:pt>
                <c:pt idx="43">
                  <c:v>14266</c:v>
                </c:pt>
                <c:pt idx="44">
                  <c:v>14429</c:v>
                </c:pt>
                <c:pt idx="45">
                  <c:v>15534</c:v>
                </c:pt>
                <c:pt idx="46">
                  <c:v>15566</c:v>
                </c:pt>
                <c:pt idx="47">
                  <c:v>15856</c:v>
                </c:pt>
                <c:pt idx="48">
                  <c:v>14917</c:v>
                </c:pt>
                <c:pt idx="49">
                  <c:v>13693</c:v>
                </c:pt>
                <c:pt idx="50">
                  <c:v>11861</c:v>
                </c:pt>
                <c:pt idx="51">
                  <c:v>10905</c:v>
                </c:pt>
                <c:pt idx="52">
                  <c:v>8808</c:v>
                </c:pt>
                <c:pt idx="53">
                  <c:v>6521</c:v>
                </c:pt>
                <c:pt idx="54">
                  <c:v>5615</c:v>
                </c:pt>
                <c:pt idx="55">
                  <c:v>4989</c:v>
                </c:pt>
                <c:pt idx="56">
                  <c:v>4958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4448256"/>
        <c:axId val="324449792"/>
      </c:barChart>
      <c:lineChart>
        <c:grouping val="standard"/>
        <c:varyColors val="0"/>
        <c:ser>
          <c:idx val="2"/>
          <c:order val="2"/>
          <c:tx>
            <c:strRef>
              <c:f>'&gt;80 LTV'!$AH$5</c:f>
              <c:strCache>
                <c:ptCount val="1"/>
                <c:pt idx="0">
                  <c:v>Ratio II/I</c:v>
                </c:pt>
              </c:strCache>
            </c:strRef>
          </c:tx>
          <c:marker>
            <c:symbol val="none"/>
          </c:marker>
          <c:trendline>
            <c:trendlineType val="linear"/>
            <c:dispRSqr val="0"/>
            <c:dispEq val="0"/>
          </c:trendline>
          <c:cat>
            <c:numRef>
              <c:f>'&gt;80 LTV'!$AE$6:$AE$62</c:f>
              <c:numCache>
                <c:formatCode>m/d/yyyy</c:formatCode>
                <c:ptCount val="57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</c:numCache>
            </c:numRef>
          </c:cat>
          <c:val>
            <c:numRef>
              <c:f>'&gt;80 LTV'!$AH$6:$AH$62</c:f>
              <c:numCache>
                <c:formatCode>General</c:formatCode>
                <c:ptCount val="57"/>
                <c:pt idx="0">
                  <c:v>0.85978464419475653</c:v>
                </c:pt>
                <c:pt idx="1">
                  <c:v>0.96756304279585648</c:v>
                </c:pt>
                <c:pt idx="2">
                  <c:v>0.97216951296647691</c:v>
                </c:pt>
                <c:pt idx="3">
                  <c:v>0.96791775907271971</c:v>
                </c:pt>
                <c:pt idx="4">
                  <c:v>0.97222222222222221</c:v>
                </c:pt>
                <c:pt idx="5">
                  <c:v>0.96720844026233244</c:v>
                </c:pt>
                <c:pt idx="6">
                  <c:v>0.96778757209707256</c:v>
                </c:pt>
                <c:pt idx="7">
                  <c:v>0.9700563043849173</c:v>
                </c:pt>
                <c:pt idx="8">
                  <c:v>0.98005386911261561</c:v>
                </c:pt>
                <c:pt idx="9">
                  <c:v>0.99708109813821399</c:v>
                </c:pt>
                <c:pt idx="10">
                  <c:v>1.0046010666108962</c:v>
                </c:pt>
                <c:pt idx="11">
                  <c:v>0.99902170046246885</c:v>
                </c:pt>
                <c:pt idx="12">
                  <c:v>0.99942084942084941</c:v>
                </c:pt>
                <c:pt idx="13">
                  <c:v>1.0031470292044311</c:v>
                </c:pt>
                <c:pt idx="14">
                  <c:v>1.0067839937076</c:v>
                </c:pt>
                <c:pt idx="15">
                  <c:v>1.007772842639594</c:v>
                </c:pt>
                <c:pt idx="16">
                  <c:v>1.021752903907075</c:v>
                </c:pt>
                <c:pt idx="17">
                  <c:v>1.0225988700564972</c:v>
                </c:pt>
                <c:pt idx="18">
                  <c:v>1.0223407998123608</c:v>
                </c:pt>
                <c:pt idx="19">
                  <c:v>1.0178359096313911</c:v>
                </c:pt>
                <c:pt idx="20">
                  <c:v>1.0113244424005519</c:v>
                </c:pt>
                <c:pt idx="21">
                  <c:v>1.0107145204759087</c:v>
                </c:pt>
                <c:pt idx="22">
                  <c:v>1.0124610591900312</c:v>
                </c:pt>
                <c:pt idx="23">
                  <c:v>1.0006738544474394</c:v>
                </c:pt>
                <c:pt idx="24">
                  <c:v>1.0086260978670012</c:v>
                </c:pt>
                <c:pt idx="25">
                  <c:v>1.0130340333091963</c:v>
                </c:pt>
                <c:pt idx="26">
                  <c:v>1.0201200713938017</c:v>
                </c:pt>
                <c:pt idx="27">
                  <c:v>1.0172518159806296</c:v>
                </c:pt>
                <c:pt idx="28">
                  <c:v>1.0151159377751688</c:v>
                </c:pt>
                <c:pt idx="29">
                  <c:v>1.0196277067240724</c:v>
                </c:pt>
                <c:pt idx="30">
                  <c:v>1.016982152514873</c:v>
                </c:pt>
                <c:pt idx="31">
                  <c:v>1.013528633913132</c:v>
                </c:pt>
                <c:pt idx="32">
                  <c:v>1.0170667253908832</c:v>
                </c:pt>
                <c:pt idx="33">
                  <c:v>1.0223616034905918</c:v>
                </c:pt>
                <c:pt idx="34">
                  <c:v>1.0233664772727273</c:v>
                </c:pt>
                <c:pt idx="35">
                  <c:v>1.0151641519448025</c:v>
                </c:pt>
                <c:pt idx="36">
                  <c:v>1.0129219835244709</c:v>
                </c:pt>
                <c:pt idx="37">
                  <c:v>1.0155562300804371</c:v>
                </c:pt>
                <c:pt idx="38">
                  <c:v>1.0202413687748244</c:v>
                </c:pt>
                <c:pt idx="39">
                  <c:v>1.0185716442699684</c:v>
                </c:pt>
                <c:pt idx="40">
                  <c:v>1.0130793289735569</c:v>
                </c:pt>
                <c:pt idx="41">
                  <c:v>1.0132171823370382</c:v>
                </c:pt>
                <c:pt idx="42">
                  <c:v>1.017570281124498</c:v>
                </c:pt>
                <c:pt idx="43">
                  <c:v>1.022285919025439</c:v>
                </c:pt>
                <c:pt idx="44">
                  <c:v>1.0220286159512679</c:v>
                </c:pt>
                <c:pt idx="45">
                  <c:v>1.0237922625716733</c:v>
                </c:pt>
                <c:pt idx="46">
                  <c:v>1.020186131865251</c:v>
                </c:pt>
                <c:pt idx="47">
                  <c:v>1.0204002831585044</c:v>
                </c:pt>
                <c:pt idx="48">
                  <c:v>1.0223425399218697</c:v>
                </c:pt>
                <c:pt idx="49">
                  <c:v>1.0289299669371808</c:v>
                </c:pt>
                <c:pt idx="50">
                  <c:v>1.0304056988967074</c:v>
                </c:pt>
                <c:pt idx="51">
                  <c:v>1.0298422891680046</c:v>
                </c:pt>
                <c:pt idx="52">
                  <c:v>1.0375780421722229</c:v>
                </c:pt>
                <c:pt idx="53">
                  <c:v>1.0410280970625798</c:v>
                </c:pt>
                <c:pt idx="54">
                  <c:v>1.0357867552112157</c:v>
                </c:pt>
                <c:pt idx="55">
                  <c:v>1.0496528508310541</c:v>
                </c:pt>
                <c:pt idx="56">
                  <c:v>1.0305549781750156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4453120"/>
        <c:axId val="324451328"/>
      </c:lineChart>
      <c:dateAx>
        <c:axId val="3244482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4449792"/>
        <c:crosses val="autoZero"/>
        <c:auto val="1"/>
        <c:lblOffset val="100"/>
        <c:baseTimeUnit val="months"/>
      </c:dateAx>
      <c:valAx>
        <c:axId val="324449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4448256"/>
        <c:crosses val="autoZero"/>
        <c:crossBetween val="between"/>
      </c:valAx>
      <c:valAx>
        <c:axId val="3244513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24453120"/>
        <c:crosses val="max"/>
        <c:crossBetween val="between"/>
      </c:valAx>
      <c:dateAx>
        <c:axId val="32445312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24451328"/>
        <c:crosses val="autoZero"/>
        <c:auto val="1"/>
        <c:lblOffset val="100"/>
        <c:baseTimeUnit val="month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Ratio HARP/Total</a:t>
            </a:r>
            <a:r>
              <a:rPr lang="en-US" sz="1400" baseline="0"/>
              <a:t> </a:t>
            </a:r>
            <a:r>
              <a:rPr lang="en-US" sz="1400"/>
              <a:t>Refi using Algo II (LTV &lt;= 80)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'&lt;80 LTV'!$AI$5</c:f>
              <c:strCache>
                <c:ptCount val="1"/>
                <c:pt idx="0">
                  <c:v>Ratio HARP/Refi</c:v>
                </c:pt>
              </c:strCache>
            </c:strRef>
          </c:tx>
          <c:marker>
            <c:symbol val="none"/>
          </c:marker>
          <c:trendline>
            <c:spPr>
              <a:ln w="22225">
                <a:solidFill>
                  <a:srgbClr val="C00000"/>
                </a:solidFill>
              </a:ln>
            </c:spPr>
            <c:trendlineType val="linear"/>
            <c:dispRSqr val="0"/>
            <c:dispEq val="0"/>
          </c:trendline>
          <c:cat>
            <c:numRef>
              <c:f>'&lt;80 LTV'!$AH$6:$AH$62</c:f>
              <c:numCache>
                <c:formatCode>m/d/yyyy</c:formatCode>
                <c:ptCount val="57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</c:numCache>
            </c:numRef>
          </c:cat>
          <c:val>
            <c:numRef>
              <c:f>'&lt;80 LTV'!$AI$6:$AI$62</c:f>
              <c:numCache>
                <c:formatCode>0%</c:formatCode>
                <c:ptCount val="57"/>
                <c:pt idx="0">
                  <c:v>4.5711249327274835E-2</c:v>
                </c:pt>
                <c:pt idx="1">
                  <c:v>4.9449780192086915E-2</c:v>
                </c:pt>
                <c:pt idx="2">
                  <c:v>8.1220476236382913E-2</c:v>
                </c:pt>
                <c:pt idx="3">
                  <c:v>9.8626960255321097E-2</c:v>
                </c:pt>
                <c:pt idx="4">
                  <c:v>0.1339239666985928</c:v>
                </c:pt>
                <c:pt idx="5">
                  <c:v>0.12973812234758306</c:v>
                </c:pt>
                <c:pt idx="6">
                  <c:v>0.15860219645083606</c:v>
                </c:pt>
                <c:pt idx="7">
                  <c:v>0.19611273392610665</c:v>
                </c:pt>
                <c:pt idx="8">
                  <c:v>0.19880724756441773</c:v>
                </c:pt>
                <c:pt idx="9">
                  <c:v>0.20920873837148532</c:v>
                </c:pt>
                <c:pt idx="10">
                  <c:v>0.18189206762028609</c:v>
                </c:pt>
                <c:pt idx="11">
                  <c:v>0.22995078509491446</c:v>
                </c:pt>
                <c:pt idx="12">
                  <c:v>0.23752416784239955</c:v>
                </c:pt>
                <c:pt idx="13">
                  <c:v>0.22182029980687287</c:v>
                </c:pt>
                <c:pt idx="14">
                  <c:v>0.2692904602551045</c:v>
                </c:pt>
                <c:pt idx="15">
                  <c:v>0.29642268317932596</c:v>
                </c:pt>
                <c:pt idx="16">
                  <c:v>0.29132042771149591</c:v>
                </c:pt>
                <c:pt idx="17">
                  <c:v>0.3346096637851052</c:v>
                </c:pt>
                <c:pt idx="18">
                  <c:v>0.33821833053691275</c:v>
                </c:pt>
                <c:pt idx="19">
                  <c:v>0.34832864729771945</c:v>
                </c:pt>
                <c:pt idx="20">
                  <c:v>0.30024957389822254</c:v>
                </c:pt>
                <c:pt idx="21">
                  <c:v>0.33391245977374584</c:v>
                </c:pt>
                <c:pt idx="22">
                  <c:v>0.34422950819672132</c:v>
                </c:pt>
                <c:pt idx="23">
                  <c:v>0.2738229025382678</c:v>
                </c:pt>
                <c:pt idx="24">
                  <c:v>0.30875638533520183</c:v>
                </c:pt>
                <c:pt idx="25">
                  <c:v>0.29329579260518485</c:v>
                </c:pt>
                <c:pt idx="26">
                  <c:v>0.26236786469344608</c:v>
                </c:pt>
                <c:pt idx="27">
                  <c:v>0.29646691235378947</c:v>
                </c:pt>
                <c:pt idx="28">
                  <c:v>0.27280685061845861</c:v>
                </c:pt>
                <c:pt idx="29">
                  <c:v>0.23868147329279935</c:v>
                </c:pt>
                <c:pt idx="30">
                  <c:v>0.27236112166578008</c:v>
                </c:pt>
                <c:pt idx="31">
                  <c:v>0.28204884989328904</c:v>
                </c:pt>
                <c:pt idx="32">
                  <c:v>0.21692197437964705</c:v>
                </c:pt>
                <c:pt idx="33">
                  <c:v>0.23968290382605592</c:v>
                </c:pt>
                <c:pt idx="34">
                  <c:v>0.24571233164983164</c:v>
                </c:pt>
                <c:pt idx="35">
                  <c:v>0.23377108691010037</c:v>
                </c:pt>
                <c:pt idx="36">
                  <c:v>0.22981893053957489</c:v>
                </c:pt>
                <c:pt idx="37">
                  <c:v>0.20620129239814738</c:v>
                </c:pt>
                <c:pt idx="38">
                  <c:v>0.21664861261561535</c:v>
                </c:pt>
                <c:pt idx="39">
                  <c:v>0.22434367541766109</c:v>
                </c:pt>
                <c:pt idx="40">
                  <c:v>0.19533778224700613</c:v>
                </c:pt>
                <c:pt idx="41">
                  <c:v>0.1987027662966919</c:v>
                </c:pt>
                <c:pt idx="42">
                  <c:v>0.20224114746750335</c:v>
                </c:pt>
                <c:pt idx="43">
                  <c:v>0.21476957815867803</c:v>
                </c:pt>
                <c:pt idx="44">
                  <c:v>0.20030790547301977</c:v>
                </c:pt>
                <c:pt idx="45">
                  <c:v>0.19818844146893769</c:v>
                </c:pt>
                <c:pt idx="46">
                  <c:v>0.21585770274344288</c:v>
                </c:pt>
                <c:pt idx="47">
                  <c:v>0.25646747960222099</c:v>
                </c:pt>
                <c:pt idx="48">
                  <c:v>0.26683216881218841</c:v>
                </c:pt>
                <c:pt idx="49">
                  <c:v>0.22797458438506396</c:v>
                </c:pt>
                <c:pt idx="50">
                  <c:v>0.22482511138439207</c:v>
                </c:pt>
                <c:pt idx="51">
                  <c:v>0.24819717729473575</c:v>
                </c:pt>
                <c:pt idx="52">
                  <c:v>0.26723945547868777</c:v>
                </c:pt>
                <c:pt idx="53">
                  <c:v>0.2720246539157658</c:v>
                </c:pt>
                <c:pt idx="54">
                  <c:v>0.25331742243436756</c:v>
                </c:pt>
                <c:pt idx="55">
                  <c:v>0.21364492688615772</c:v>
                </c:pt>
                <c:pt idx="56">
                  <c:v>0.20799682245465378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566144"/>
        <c:axId val="334567680"/>
      </c:lineChart>
      <c:dateAx>
        <c:axId val="3345661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34567680"/>
        <c:crosses val="autoZero"/>
        <c:auto val="1"/>
        <c:lblOffset val="100"/>
        <c:baseTimeUnit val="months"/>
      </c:dateAx>
      <c:valAx>
        <c:axId val="33456768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345661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1" i="0" baseline="0">
                <a:effectLst/>
              </a:rPr>
              <a:t>Ratio Algo II/Algo I (No LTV Filter)</a:t>
            </a:r>
            <a:endParaRPr lang="en-US" sz="1400">
              <a:effectLst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 LTV filter'!$AE$5</c:f>
              <c:strCache>
                <c:ptCount val="1"/>
                <c:pt idx="0">
                  <c:v>HARP-I</c:v>
                </c:pt>
              </c:strCache>
            </c:strRef>
          </c:tx>
          <c:invertIfNegative val="0"/>
          <c:cat>
            <c:numRef>
              <c:f>'no LTV filter'!$AD$6:$AD$62</c:f>
              <c:numCache>
                <c:formatCode>m/d/yyyy</c:formatCode>
                <c:ptCount val="57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</c:numCache>
            </c:numRef>
          </c:cat>
          <c:val>
            <c:numRef>
              <c:f>'no LTV filter'!$AE$6:$AE$62</c:f>
              <c:numCache>
                <c:formatCode>General</c:formatCode>
                <c:ptCount val="57"/>
                <c:pt idx="0">
                  <c:v>4272</c:v>
                </c:pt>
                <c:pt idx="1">
                  <c:v>9557</c:v>
                </c:pt>
                <c:pt idx="2">
                  <c:v>15810</c:v>
                </c:pt>
                <c:pt idx="3">
                  <c:v>14494</c:v>
                </c:pt>
                <c:pt idx="4">
                  <c:v>9396</c:v>
                </c:pt>
                <c:pt idx="5">
                  <c:v>7014</c:v>
                </c:pt>
                <c:pt idx="6">
                  <c:v>9189</c:v>
                </c:pt>
                <c:pt idx="7">
                  <c:v>11722</c:v>
                </c:pt>
                <c:pt idx="8">
                  <c:v>13737</c:v>
                </c:pt>
                <c:pt idx="9">
                  <c:v>12676</c:v>
                </c:pt>
                <c:pt idx="10">
                  <c:v>9563</c:v>
                </c:pt>
                <c:pt idx="11">
                  <c:v>11244</c:v>
                </c:pt>
                <c:pt idx="12">
                  <c:v>10360</c:v>
                </c:pt>
                <c:pt idx="13">
                  <c:v>7944</c:v>
                </c:pt>
                <c:pt idx="14">
                  <c:v>10171</c:v>
                </c:pt>
                <c:pt idx="15">
                  <c:v>12608</c:v>
                </c:pt>
                <c:pt idx="16">
                  <c:v>14205</c:v>
                </c:pt>
                <c:pt idx="17">
                  <c:v>15045</c:v>
                </c:pt>
                <c:pt idx="18">
                  <c:v>17054</c:v>
                </c:pt>
                <c:pt idx="19">
                  <c:v>18502</c:v>
                </c:pt>
                <c:pt idx="20">
                  <c:v>17396</c:v>
                </c:pt>
                <c:pt idx="21">
                  <c:v>15213</c:v>
                </c:pt>
                <c:pt idx="22">
                  <c:v>10593</c:v>
                </c:pt>
                <c:pt idx="23">
                  <c:v>7420</c:v>
                </c:pt>
                <c:pt idx="24">
                  <c:v>6376</c:v>
                </c:pt>
                <c:pt idx="25">
                  <c:v>5524</c:v>
                </c:pt>
                <c:pt idx="26">
                  <c:v>6163</c:v>
                </c:pt>
                <c:pt idx="27">
                  <c:v>6608</c:v>
                </c:pt>
                <c:pt idx="28">
                  <c:v>6814</c:v>
                </c:pt>
                <c:pt idx="29">
                  <c:v>7897</c:v>
                </c:pt>
                <c:pt idx="30">
                  <c:v>9245</c:v>
                </c:pt>
                <c:pt idx="31">
                  <c:v>9831</c:v>
                </c:pt>
                <c:pt idx="32">
                  <c:v>9082</c:v>
                </c:pt>
                <c:pt idx="33">
                  <c:v>11001</c:v>
                </c:pt>
                <c:pt idx="34">
                  <c:v>14080</c:v>
                </c:pt>
                <c:pt idx="35">
                  <c:v>13189</c:v>
                </c:pt>
                <c:pt idx="36">
                  <c:v>12382</c:v>
                </c:pt>
                <c:pt idx="37">
                  <c:v>13178</c:v>
                </c:pt>
                <c:pt idx="38">
                  <c:v>13092</c:v>
                </c:pt>
                <c:pt idx="39">
                  <c:v>13246</c:v>
                </c:pt>
                <c:pt idx="40">
                  <c:v>14068</c:v>
                </c:pt>
                <c:pt idx="41">
                  <c:v>13316</c:v>
                </c:pt>
                <c:pt idx="42">
                  <c:v>15936</c:v>
                </c:pt>
                <c:pt idx="43">
                  <c:v>13955</c:v>
                </c:pt>
                <c:pt idx="44">
                  <c:v>14118</c:v>
                </c:pt>
                <c:pt idx="45">
                  <c:v>15173</c:v>
                </c:pt>
                <c:pt idx="46">
                  <c:v>15258</c:v>
                </c:pt>
                <c:pt idx="47">
                  <c:v>15539</c:v>
                </c:pt>
                <c:pt idx="48">
                  <c:v>14591</c:v>
                </c:pt>
                <c:pt idx="49">
                  <c:v>13308</c:v>
                </c:pt>
                <c:pt idx="50">
                  <c:v>11511</c:v>
                </c:pt>
                <c:pt idx="51">
                  <c:v>10589</c:v>
                </c:pt>
                <c:pt idx="52">
                  <c:v>8489</c:v>
                </c:pt>
                <c:pt idx="53">
                  <c:v>6264</c:v>
                </c:pt>
                <c:pt idx="54">
                  <c:v>5421</c:v>
                </c:pt>
                <c:pt idx="55">
                  <c:v>4753</c:v>
                </c:pt>
                <c:pt idx="56">
                  <c:v>4811</c:v>
                </c:pt>
              </c:numCache>
            </c:numRef>
          </c:val>
        </c:ser>
        <c:ser>
          <c:idx val="1"/>
          <c:order val="1"/>
          <c:tx>
            <c:strRef>
              <c:f>'no LTV filter'!$AF$5</c:f>
              <c:strCache>
                <c:ptCount val="1"/>
                <c:pt idx="0">
                  <c:v>HARP-II</c:v>
                </c:pt>
              </c:strCache>
            </c:strRef>
          </c:tx>
          <c:invertIfNegative val="0"/>
          <c:cat>
            <c:numRef>
              <c:f>'no LTV filter'!$AD$6:$AD$62</c:f>
              <c:numCache>
                <c:formatCode>m/d/yyyy</c:formatCode>
                <c:ptCount val="57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</c:numCache>
            </c:numRef>
          </c:cat>
          <c:val>
            <c:numRef>
              <c:f>'no LTV filter'!$AF$6:$AF$62</c:f>
              <c:numCache>
                <c:formatCode>General</c:formatCode>
                <c:ptCount val="57"/>
                <c:pt idx="0">
                  <c:v>10383</c:v>
                </c:pt>
                <c:pt idx="1">
                  <c:v>16311</c:v>
                </c:pt>
                <c:pt idx="2">
                  <c:v>25480</c:v>
                </c:pt>
                <c:pt idx="3">
                  <c:v>22620</c:v>
                </c:pt>
                <c:pt idx="4">
                  <c:v>16406</c:v>
                </c:pt>
                <c:pt idx="5">
                  <c:v>13051</c:v>
                </c:pt>
                <c:pt idx="6">
                  <c:v>18179</c:v>
                </c:pt>
                <c:pt idx="7">
                  <c:v>23590</c:v>
                </c:pt>
                <c:pt idx="8">
                  <c:v>26564</c:v>
                </c:pt>
                <c:pt idx="9">
                  <c:v>24648</c:v>
                </c:pt>
                <c:pt idx="10">
                  <c:v>17440</c:v>
                </c:pt>
                <c:pt idx="11">
                  <c:v>21045</c:v>
                </c:pt>
                <c:pt idx="12">
                  <c:v>19445</c:v>
                </c:pt>
                <c:pt idx="13">
                  <c:v>15205</c:v>
                </c:pt>
                <c:pt idx="14">
                  <c:v>21345</c:v>
                </c:pt>
                <c:pt idx="15">
                  <c:v>28168</c:v>
                </c:pt>
                <c:pt idx="16">
                  <c:v>33340</c:v>
                </c:pt>
                <c:pt idx="17">
                  <c:v>38106</c:v>
                </c:pt>
                <c:pt idx="18">
                  <c:v>43237</c:v>
                </c:pt>
                <c:pt idx="19">
                  <c:v>44477</c:v>
                </c:pt>
                <c:pt idx="20">
                  <c:v>37323</c:v>
                </c:pt>
                <c:pt idx="21">
                  <c:v>32289</c:v>
                </c:pt>
                <c:pt idx="22">
                  <c:v>21224</c:v>
                </c:pt>
                <c:pt idx="23">
                  <c:v>14491</c:v>
                </c:pt>
                <c:pt idx="24">
                  <c:v>13261</c:v>
                </c:pt>
                <c:pt idx="25">
                  <c:v>11117</c:v>
                </c:pt>
                <c:pt idx="26">
                  <c:v>12492</c:v>
                </c:pt>
                <c:pt idx="27">
                  <c:v>14123</c:v>
                </c:pt>
                <c:pt idx="28">
                  <c:v>14085</c:v>
                </c:pt>
                <c:pt idx="29">
                  <c:v>17552</c:v>
                </c:pt>
                <c:pt idx="30">
                  <c:v>20154</c:v>
                </c:pt>
                <c:pt idx="31">
                  <c:v>21858</c:v>
                </c:pt>
                <c:pt idx="32">
                  <c:v>18923</c:v>
                </c:pt>
                <c:pt idx="33">
                  <c:v>20650</c:v>
                </c:pt>
                <c:pt idx="34">
                  <c:v>23750</c:v>
                </c:pt>
                <c:pt idx="35">
                  <c:v>22147</c:v>
                </c:pt>
                <c:pt idx="36">
                  <c:v>20132</c:v>
                </c:pt>
                <c:pt idx="37">
                  <c:v>20818</c:v>
                </c:pt>
                <c:pt idx="38">
                  <c:v>21157</c:v>
                </c:pt>
                <c:pt idx="39">
                  <c:v>23362</c:v>
                </c:pt>
                <c:pt idx="40">
                  <c:v>24936</c:v>
                </c:pt>
                <c:pt idx="41">
                  <c:v>26328</c:v>
                </c:pt>
                <c:pt idx="42">
                  <c:v>29752</c:v>
                </c:pt>
                <c:pt idx="43">
                  <c:v>26821</c:v>
                </c:pt>
                <c:pt idx="44">
                  <c:v>27440</c:v>
                </c:pt>
                <c:pt idx="45">
                  <c:v>29625</c:v>
                </c:pt>
                <c:pt idx="46">
                  <c:v>29886</c:v>
                </c:pt>
                <c:pt idx="47">
                  <c:v>30221</c:v>
                </c:pt>
                <c:pt idx="48">
                  <c:v>28245</c:v>
                </c:pt>
                <c:pt idx="49">
                  <c:v>26789</c:v>
                </c:pt>
                <c:pt idx="50">
                  <c:v>23013</c:v>
                </c:pt>
                <c:pt idx="51">
                  <c:v>20542</c:v>
                </c:pt>
                <c:pt idx="52">
                  <c:v>15993</c:v>
                </c:pt>
                <c:pt idx="53">
                  <c:v>12082</c:v>
                </c:pt>
                <c:pt idx="54">
                  <c:v>10922</c:v>
                </c:pt>
                <c:pt idx="55">
                  <c:v>9752</c:v>
                </c:pt>
                <c:pt idx="56">
                  <c:v>9671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9781888"/>
        <c:axId val="324747264"/>
      </c:barChart>
      <c:lineChart>
        <c:grouping val="standard"/>
        <c:varyColors val="0"/>
        <c:ser>
          <c:idx val="2"/>
          <c:order val="2"/>
          <c:tx>
            <c:strRef>
              <c:f>'no LTV filter'!$AG$5</c:f>
              <c:strCache>
                <c:ptCount val="1"/>
                <c:pt idx="0">
                  <c:v>Ratio II/I</c:v>
                </c:pt>
              </c:strCache>
            </c:strRef>
          </c:tx>
          <c:marker>
            <c:symbol val="none"/>
          </c:marker>
          <c:trendline>
            <c:trendlineType val="linear"/>
            <c:dispRSqr val="0"/>
            <c:dispEq val="0"/>
          </c:trendline>
          <c:cat>
            <c:numRef>
              <c:f>'no LTV filter'!$AD$6:$AD$62</c:f>
              <c:numCache>
                <c:formatCode>m/d/yyyy</c:formatCode>
                <c:ptCount val="57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</c:numCache>
            </c:numRef>
          </c:cat>
          <c:val>
            <c:numRef>
              <c:f>'no LTV filter'!$AG$6:$AG$62</c:f>
              <c:numCache>
                <c:formatCode>General</c:formatCode>
                <c:ptCount val="57"/>
                <c:pt idx="0">
                  <c:v>2.4304775280898876</c:v>
                </c:pt>
                <c:pt idx="1">
                  <c:v>1.7067071256670503</c:v>
                </c:pt>
                <c:pt idx="2">
                  <c:v>1.6116382036685641</c:v>
                </c:pt>
                <c:pt idx="3">
                  <c:v>1.5606457844625363</c:v>
                </c:pt>
                <c:pt idx="4">
                  <c:v>1.7460621541081311</c:v>
                </c:pt>
                <c:pt idx="5">
                  <c:v>1.8607071571143428</c:v>
                </c:pt>
                <c:pt idx="6">
                  <c:v>1.978343671781478</c:v>
                </c:pt>
                <c:pt idx="7">
                  <c:v>2.0124552124210884</c:v>
                </c:pt>
                <c:pt idx="8">
                  <c:v>1.9337555507024824</c:v>
                </c:pt>
                <c:pt idx="9">
                  <c:v>1.9444619753865573</c:v>
                </c:pt>
                <c:pt idx="10">
                  <c:v>1.8236954930461153</c:v>
                </c:pt>
                <c:pt idx="11">
                  <c:v>1.8716648879402349</c:v>
                </c:pt>
                <c:pt idx="12">
                  <c:v>1.876930501930502</c:v>
                </c:pt>
                <c:pt idx="13">
                  <c:v>1.9140231621349446</c:v>
                </c:pt>
                <c:pt idx="14">
                  <c:v>2.0986137056336642</c:v>
                </c:pt>
                <c:pt idx="15">
                  <c:v>2.2341370558375635</c:v>
                </c:pt>
                <c:pt idx="16">
                  <c:v>2.3470608940513902</c:v>
                </c:pt>
                <c:pt idx="17">
                  <c:v>2.532801595214357</c:v>
                </c:pt>
                <c:pt idx="18">
                  <c:v>2.5352996364489271</c:v>
                </c:pt>
                <c:pt idx="19">
                  <c:v>2.4039022808345045</c:v>
                </c:pt>
                <c:pt idx="20">
                  <c:v>2.1454932168314556</c:v>
                </c:pt>
                <c:pt idx="21">
                  <c:v>2.1224610530467363</c:v>
                </c:pt>
                <c:pt idx="22">
                  <c:v>2.0035872746153118</c:v>
                </c:pt>
                <c:pt idx="23">
                  <c:v>1.9529649595687331</c:v>
                </c:pt>
                <c:pt idx="24">
                  <c:v>2.0798306148055206</c:v>
                </c:pt>
                <c:pt idx="25">
                  <c:v>2.0124909485879798</c:v>
                </c:pt>
                <c:pt idx="26">
                  <c:v>2.0269349342852507</c:v>
                </c:pt>
                <c:pt idx="27">
                  <c:v>2.1372578692493946</c:v>
                </c:pt>
                <c:pt idx="28">
                  <c:v>2.0670678015849719</c:v>
                </c:pt>
                <c:pt idx="29">
                  <c:v>2.22261618336077</c:v>
                </c:pt>
                <c:pt idx="30">
                  <c:v>2.179989183342347</c:v>
                </c:pt>
                <c:pt idx="31">
                  <c:v>2.2233750381446447</c:v>
                </c:pt>
                <c:pt idx="32">
                  <c:v>2.0835719004624531</c:v>
                </c:pt>
                <c:pt idx="33">
                  <c:v>1.8771020816289428</c:v>
                </c:pt>
                <c:pt idx="34">
                  <c:v>1.6867897727272727</c:v>
                </c:pt>
                <c:pt idx="35">
                  <c:v>1.6792023656077033</c:v>
                </c:pt>
                <c:pt idx="36">
                  <c:v>1.6259085769665644</c:v>
                </c:pt>
                <c:pt idx="37">
                  <c:v>1.5797541356806799</c:v>
                </c:pt>
                <c:pt idx="38">
                  <c:v>1.6160250534677665</c:v>
                </c:pt>
                <c:pt idx="39">
                  <c:v>1.7637022497357693</c:v>
                </c:pt>
                <c:pt idx="40">
                  <c:v>1.7725334091555303</c:v>
                </c:pt>
                <c:pt idx="41">
                  <c:v>1.9771703214178431</c:v>
                </c:pt>
                <c:pt idx="42">
                  <c:v>1.8669678714859437</c:v>
                </c:pt>
                <c:pt idx="43">
                  <c:v>1.9219634539591544</c:v>
                </c:pt>
                <c:pt idx="44">
                  <c:v>1.9436180762147612</c:v>
                </c:pt>
                <c:pt idx="45">
                  <c:v>1.9524813814011732</c:v>
                </c:pt>
                <c:pt idx="46">
                  <c:v>1.9587101848210775</c:v>
                </c:pt>
                <c:pt idx="47">
                  <c:v>1.9448484458459361</c:v>
                </c:pt>
                <c:pt idx="48">
                  <c:v>1.9357823315742582</c:v>
                </c:pt>
                <c:pt idx="49">
                  <c:v>2.012999699428915</c:v>
                </c:pt>
                <c:pt idx="50">
                  <c:v>1.9992181391712276</c:v>
                </c:pt>
                <c:pt idx="51">
                  <c:v>1.9399376711681935</c:v>
                </c:pt>
                <c:pt idx="52">
                  <c:v>1.8839674873365533</c:v>
                </c:pt>
                <c:pt idx="53">
                  <c:v>1.9287994891443168</c:v>
                </c:pt>
                <c:pt idx="54">
                  <c:v>2.0147574248293671</c:v>
                </c:pt>
                <c:pt idx="55">
                  <c:v>2.0517567851883021</c:v>
                </c:pt>
                <c:pt idx="56">
                  <c:v>2.0101849927250051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4750336"/>
        <c:axId val="324748800"/>
      </c:lineChart>
      <c:dateAx>
        <c:axId val="3397818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4747264"/>
        <c:crosses val="autoZero"/>
        <c:auto val="1"/>
        <c:lblOffset val="100"/>
        <c:baseTimeUnit val="months"/>
      </c:dateAx>
      <c:valAx>
        <c:axId val="324747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9781888"/>
        <c:crosses val="autoZero"/>
        <c:crossBetween val="between"/>
      </c:valAx>
      <c:valAx>
        <c:axId val="32474880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24750336"/>
        <c:crosses val="max"/>
        <c:crossBetween val="between"/>
      </c:valAx>
      <c:dateAx>
        <c:axId val="32475033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24748800"/>
        <c:crosses val="autoZero"/>
        <c:auto val="1"/>
        <c:lblOffset val="100"/>
        <c:baseTimeUnit val="month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261936</xdr:colOff>
      <xdr:row>21</xdr:row>
      <xdr:rowOff>128587</xdr:rowOff>
    </xdr:from>
    <xdr:to>
      <xdr:col>20</xdr:col>
      <xdr:colOff>495299</xdr:colOff>
      <xdr:row>36</xdr:row>
      <xdr:rowOff>14287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228599</xdr:colOff>
      <xdr:row>38</xdr:row>
      <xdr:rowOff>9525</xdr:rowOff>
    </xdr:from>
    <xdr:to>
      <xdr:col>20</xdr:col>
      <xdr:colOff>409574</xdr:colOff>
      <xdr:row>55</xdr:row>
      <xdr:rowOff>104775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161924</xdr:colOff>
      <xdr:row>2</xdr:row>
      <xdr:rowOff>133350</xdr:rowOff>
    </xdr:from>
    <xdr:to>
      <xdr:col>20</xdr:col>
      <xdr:colOff>533399</xdr:colOff>
      <xdr:row>19</xdr:row>
      <xdr:rowOff>133350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285750</xdr:colOff>
      <xdr:row>58</xdr:row>
      <xdr:rowOff>9525</xdr:rowOff>
    </xdr:from>
    <xdr:to>
      <xdr:col>20</xdr:col>
      <xdr:colOff>419100</xdr:colOff>
      <xdr:row>72</xdr:row>
      <xdr:rowOff>85725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</xdr:colOff>
      <xdr:row>39</xdr:row>
      <xdr:rowOff>76200</xdr:rowOff>
    </xdr:from>
    <xdr:to>
      <xdr:col>18</xdr:col>
      <xdr:colOff>342900</xdr:colOff>
      <xdr:row>53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228600</xdr:colOff>
      <xdr:row>39</xdr:row>
      <xdr:rowOff>76200</xdr:rowOff>
    </xdr:from>
    <xdr:to>
      <xdr:col>26</xdr:col>
      <xdr:colOff>533400</xdr:colOff>
      <xdr:row>53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47625</xdr:colOff>
      <xdr:row>55</xdr:row>
      <xdr:rowOff>0</xdr:rowOff>
    </xdr:from>
    <xdr:to>
      <xdr:col>18</xdr:col>
      <xdr:colOff>352425</xdr:colOff>
      <xdr:row>69</xdr:row>
      <xdr:rowOff>76200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238125</xdr:colOff>
      <xdr:row>55</xdr:row>
      <xdr:rowOff>0</xdr:rowOff>
    </xdr:from>
    <xdr:to>
      <xdr:col>26</xdr:col>
      <xdr:colOff>542925</xdr:colOff>
      <xdr:row>69</xdr:row>
      <xdr:rowOff>76200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74</xdr:row>
      <xdr:rowOff>0</xdr:rowOff>
    </xdr:from>
    <xdr:to>
      <xdr:col>18</xdr:col>
      <xdr:colOff>304800</xdr:colOff>
      <xdr:row>88</xdr:row>
      <xdr:rowOff>76200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190500</xdr:colOff>
      <xdr:row>74</xdr:row>
      <xdr:rowOff>0</xdr:rowOff>
    </xdr:from>
    <xdr:to>
      <xdr:col>26</xdr:col>
      <xdr:colOff>495300</xdr:colOff>
      <xdr:row>88</xdr:row>
      <xdr:rowOff>76200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0</xdr:colOff>
      <xdr:row>90</xdr:row>
      <xdr:rowOff>0</xdr:rowOff>
    </xdr:from>
    <xdr:to>
      <xdr:col>18</xdr:col>
      <xdr:colOff>304800</xdr:colOff>
      <xdr:row>104</xdr:row>
      <xdr:rowOff>76200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190500</xdr:colOff>
      <xdr:row>90</xdr:row>
      <xdr:rowOff>0</xdr:rowOff>
    </xdr:from>
    <xdr:to>
      <xdr:col>26</xdr:col>
      <xdr:colOff>495300</xdr:colOff>
      <xdr:row>104</xdr:row>
      <xdr:rowOff>76200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123824</xdr:colOff>
      <xdr:row>9</xdr:row>
      <xdr:rowOff>47624</xdr:rowOff>
    </xdr:from>
    <xdr:to>
      <xdr:col>38</xdr:col>
      <xdr:colOff>190500</xdr:colOff>
      <xdr:row>39</xdr:row>
      <xdr:rowOff>95249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185736</xdr:colOff>
      <xdr:row>20</xdr:row>
      <xdr:rowOff>33336</xdr:rowOff>
    </xdr:from>
    <xdr:to>
      <xdr:col>30</xdr:col>
      <xdr:colOff>161924</xdr:colOff>
      <xdr:row>38</xdr:row>
      <xdr:rowOff>152399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366711</xdr:colOff>
      <xdr:row>8</xdr:row>
      <xdr:rowOff>90486</xdr:rowOff>
    </xdr:from>
    <xdr:to>
      <xdr:col>29</xdr:col>
      <xdr:colOff>342899</xdr:colOff>
      <xdr:row>27</xdr:row>
      <xdr:rowOff>19049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528637</xdr:colOff>
      <xdr:row>33</xdr:row>
      <xdr:rowOff>14287</xdr:rowOff>
    </xdr:from>
    <xdr:to>
      <xdr:col>29</xdr:col>
      <xdr:colOff>361950</xdr:colOff>
      <xdr:row>47</xdr:row>
      <xdr:rowOff>90487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185736</xdr:colOff>
      <xdr:row>20</xdr:row>
      <xdr:rowOff>33336</xdr:rowOff>
    </xdr:from>
    <xdr:to>
      <xdr:col>29</xdr:col>
      <xdr:colOff>161924</xdr:colOff>
      <xdr:row>38</xdr:row>
      <xdr:rowOff>152399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8</xdr:row>
      <xdr:rowOff>28575</xdr:rowOff>
    </xdr:from>
    <xdr:to>
      <xdr:col>21</xdr:col>
      <xdr:colOff>604838</xdr:colOff>
      <xdr:row>26</xdr:row>
      <xdr:rowOff>147638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29</xdr:row>
      <xdr:rowOff>190499</xdr:rowOff>
    </xdr:from>
    <xdr:to>
      <xdr:col>21</xdr:col>
      <xdr:colOff>590550</xdr:colOff>
      <xdr:row>46</xdr:row>
      <xdr:rowOff>9524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49</xdr:row>
      <xdr:rowOff>0</xdr:rowOff>
    </xdr:from>
    <xdr:to>
      <xdr:col>21</xdr:col>
      <xdr:colOff>600075</xdr:colOff>
      <xdr:row>67</xdr:row>
      <xdr:rowOff>119063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2384.439472453705" createdVersion="4" refreshedVersion="4" minRefreshableVersion="3" recordCount="3229">
  <cacheSource type="worksheet">
    <worksheetSource ref="A1:C1048576" sheet="Sheet1"/>
  </cacheSource>
  <cacheFields count="3">
    <cacheField name="poolIssueDate" numFmtId="0">
      <sharedItems containsNonDate="0" containsDate="1" containsString="0" containsBlank="1" minDate="2005-12-01T00:00:00" maxDate="2016-01-02T00:00:00" count="123"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m/>
      </sharedItems>
    </cacheField>
    <cacheField name="count()" numFmtId="0">
      <sharedItems containsString="0" containsBlank="1" containsNumber="1" containsInteger="1" minValue="1" maxValue="136772"/>
    </cacheField>
    <cacheField name="HARPStatus" numFmtId="0">
      <sharedItems containsBlank="1" count="6">
        <s v="&lt; 2009-06"/>
        <s v="N/A"/>
        <s v="NON-HARP"/>
        <s v="HARP"/>
        <s v="Unknow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ien Chen" refreshedDate="42384.454007870372" createdVersion="4" refreshedVersion="4" minRefreshableVersion="3" recordCount="368">
  <cacheSource type="worksheet">
    <worksheetSource ref="U1:W1048576" sheet="Sheet1"/>
  </cacheSource>
  <cacheFields count="3">
    <cacheField name="poolIssueDate" numFmtId="0">
      <sharedItems containsNonDate="0" containsDate="1" containsString="0" containsBlank="1" minDate="2005-12-01T00:00:00" maxDate="2016-01-02T00:00:00" count="123"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m/>
      </sharedItems>
    </cacheField>
    <cacheField name="count()" numFmtId="0">
      <sharedItems containsString="0" containsBlank="1" containsNumber="1" containsInteger="1" minValue="177" maxValue="187401"/>
    </cacheField>
    <cacheField name="MHAStatus" numFmtId="0">
      <sharedItems containsBlank="1" count="4">
        <s v="MHA-ELIGIBLE"/>
        <s v="NOMHA-REFI"/>
        <s v="NOMHA-PURCHAS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Lien Chen" refreshedDate="42388.736453587961" createdVersion="4" refreshedVersion="4" minRefreshableVersion="3" recordCount="352">
  <cacheSource type="worksheet">
    <worksheetSource ref="AI1:AK353" sheet="Sheet1"/>
  </cacheSource>
  <cacheFields count="3">
    <cacheField name="pmtdate" numFmtId="14">
      <sharedItems containsSemiMixedTypes="0" containsNonDate="0" containsDate="1" containsString="0" minDate="2005-01-01T00:00:00" maxDate="2016-03-02T00:00:00" count="135"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</sharedItems>
    </cacheField>
    <cacheField name="count()" numFmtId="0">
      <sharedItems containsSemiMixedTypes="0" containsString="0" containsNumber="1" containsInteger="1" minValue="1" maxValue="125488"/>
    </cacheField>
    <cacheField name="CombinedHARPStatus" numFmtId="0">
      <sharedItems count="4">
        <s v="N/A       "/>
        <s v="&lt; 2009-06 "/>
        <s v="HARPed    "/>
        <s v="NON-HARP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Lien Chen" refreshedDate="42389.527334027778" createdVersion="4" refreshedVersion="4" minRefreshableVersion="3" recordCount="368">
  <cacheSource type="worksheet">
    <worksheetSource ref="AW1:AY1048576" sheet="Sheet1"/>
  </cacheSource>
  <cacheFields count="3">
    <cacheField name="pmtdate" numFmtId="0">
      <sharedItems containsNonDate="0" containsDate="1" containsString="0" containsBlank="1" minDate="2005-01-01T00:00:00" maxDate="2016-03-02T00:00:00" count="136"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m/>
      </sharedItems>
    </cacheField>
    <cacheField name="count()" numFmtId="0">
      <sharedItems containsString="0" containsBlank="1" containsNumber="1" containsInteger="1" minValue="12" maxValue="98694"/>
    </cacheField>
    <cacheField name="CombinedHARPStatus" numFmtId="0">
      <sharedItems containsBlank="1" count="5">
        <s v="&lt; 2009-06 "/>
        <s v="N/A       "/>
        <s v="NON-HARPed"/>
        <s v="HARPed    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Lien Chen" refreshedDate="42398.753885416663" createdVersion="4" refreshedVersion="4" minRefreshableVersion="3" recordCount="328">
  <cacheSource type="worksheet">
    <worksheetSource name="CurrentMtgRatesDataTable82529"/>
  </cacheSource>
  <cacheFields count="3">
    <cacheField name="pmtdate" numFmtId="14">
      <sharedItems containsSemiMixedTypes="0" containsNonDate="0" containsDate="1" containsString="0" minDate="2005-01-01T00:00:00" maxDate="2016-03-02T00:00:00" count="135"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</sharedItems>
    </cacheField>
    <cacheField name="count()" numFmtId="0">
      <sharedItems containsSemiMixedTypes="0" containsString="0" containsNumber="1" containsInteger="1" minValue="23" maxValue="39546"/>
    </cacheField>
    <cacheField name="HARPStatus" numFmtId="0">
      <sharedItems count="5">
        <s v="N/A"/>
        <s v="&lt; 2009-06"/>
        <s v="NON-HARP"/>
        <s v="HARP"/>
        <s v="Unknow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Lien Chen" refreshedDate="42398.753913541666" createdVersion="4" refreshedVersion="4" minRefreshableVersion="3" recordCount="405">
  <cacheSource type="worksheet">
    <worksheetSource name="CurrentMtgRatesDataTable825294"/>
  </cacheSource>
  <cacheFields count="3">
    <cacheField name="pmtdate" numFmtId="14">
      <sharedItems containsSemiMixedTypes="0" containsNonDate="0" containsDate="1" containsString="0" minDate="2005-01-01T00:00:00" maxDate="2016-03-02T00:00:00" count="135"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</sharedItems>
    </cacheField>
    <cacheField name="count()" numFmtId="0">
      <sharedItems containsSemiMixedTypes="0" containsString="0" containsNumber="1" containsInteger="1" minValue="16" maxValue="35897"/>
    </cacheField>
    <cacheField name="MHAStatus" numFmtId="0">
      <sharedItems count="4">
        <s v="NOMHA-PURCHASE"/>
        <s v="MHA-ELIGIBLE"/>
        <s v="NOMHA-REFI"/>
        <s v="MISC-VERIFY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Lien Chen" refreshedDate="42398.755039583331" createdVersion="4" refreshedVersion="4" minRefreshableVersion="3" recordCount="329">
  <cacheSource type="worksheet">
    <worksheetSource name="CurrentMtgRatesDataTable825295"/>
  </cacheSource>
  <cacheFields count="3">
    <cacheField name="pmtdate" numFmtId="14">
      <sharedItems containsSemiMixedTypes="0" containsNonDate="0" containsDate="1" containsString="0" minDate="2005-01-01T00:00:00" maxDate="2016-03-02T00:00:00" count="135"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</sharedItems>
    </cacheField>
    <cacheField name="count()" numFmtId="0">
      <sharedItems containsSemiMixedTypes="0" containsString="0" containsNumber="1" containsInteger="1" minValue="6" maxValue="125490"/>
    </cacheField>
    <cacheField name="HARPStatus" numFmtId="0">
      <sharedItems count="5">
        <s v="N/A"/>
        <s v="&lt; 2009-06"/>
        <s v="NON-HARP"/>
        <s v="HARP"/>
        <s v="Unknow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r:id="rId1" refreshedBy="Lien Chen" refreshedDate="42398.755061574077" createdVersion="4" refreshedVersion="4" minRefreshableVersion="3" recordCount="405">
  <cacheSource type="worksheet">
    <worksheetSource name="CurrentMtgRatesDataTable8252946"/>
  </cacheSource>
  <cacheFields count="3">
    <cacheField name="pmtdate" numFmtId="14">
      <sharedItems containsSemiMixedTypes="0" containsNonDate="0" containsDate="1" containsString="0" minDate="2005-01-01T00:00:00" maxDate="2016-03-02T00:00:00" count="135"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</sharedItems>
    </cacheField>
    <cacheField name="count()" numFmtId="0">
      <sharedItems containsSemiMixedTypes="0" containsString="0" containsNumber="1" containsInteger="1" minValue="16" maxValue="162867"/>
    </cacheField>
    <cacheField name="MHAStatus" numFmtId="0">
      <sharedItems count="4">
        <s v="NOMHA-PURCHASE"/>
        <s v="MHA-ELIGIBLE"/>
        <s v="NOMHA-REFI"/>
        <s v="MISC-VERIFY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r:id="rId1" refreshedBy="Lien Chen" refreshedDate="42398.755485995367" createdVersion="4" refreshedVersion="4" minRefreshableVersion="3" recordCount="329">
  <cacheSource type="worksheet">
    <worksheetSource name="CurrentMtgRatesDataTable825297"/>
  </cacheSource>
  <cacheFields count="3">
    <cacheField name="pmtdate" numFmtId="14">
      <sharedItems containsSemiMixedTypes="0" containsNonDate="0" containsDate="1" containsString="0" minDate="2005-01-01T00:00:00" maxDate="2016-03-02T00:00:00" count="135"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</sharedItems>
    </cacheField>
    <cacheField name="count()" numFmtId="0">
      <sharedItems containsSemiMixedTypes="0" containsString="0" containsNumber="1" containsInteger="1" minValue="6" maxValue="100891"/>
    </cacheField>
    <cacheField name="HARPStatus" numFmtId="0">
      <sharedItems count="5">
        <s v="N/A"/>
        <s v="&lt; 2009-06"/>
        <s v="NON-HARP"/>
        <s v="HARP"/>
        <s v="Unknow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r:id="rId1" refreshedBy="Lien Chen" refreshedDate="42398.755506712965" createdVersion="4" refreshedVersion="4" minRefreshableVersion="3" recordCount="270">
  <cacheSource type="worksheet">
    <worksheetSource name="CurrentMtgRatesDataTable8252948"/>
  </cacheSource>
  <cacheFields count="3">
    <cacheField name="pmtdate" numFmtId="14">
      <sharedItems containsSemiMixedTypes="0" containsNonDate="0" containsDate="1" containsString="0" minDate="2005-01-01T00:00:00" maxDate="2016-03-02T00:00:00" count="135"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</sharedItems>
    </cacheField>
    <cacheField name="count()" numFmtId="0">
      <sharedItems containsSemiMixedTypes="0" containsString="0" containsNumber="1" containsInteger="1" minValue="434" maxValue="156465"/>
    </cacheField>
    <cacheField name="MHAStatus" numFmtId="0">
      <sharedItems count="3">
        <s v="NOMHA-PURCHASE"/>
        <s v="NOMHA-REFI"/>
        <s v="MISC-VERIFY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29">
  <r>
    <x v="0"/>
    <n v="19057"/>
    <x v="0"/>
  </r>
  <r>
    <x v="0"/>
    <n v="116679"/>
    <x v="1"/>
  </r>
  <r>
    <x v="1"/>
    <n v="15165"/>
    <x v="0"/>
  </r>
  <r>
    <x v="1"/>
    <n v="101038"/>
    <x v="1"/>
  </r>
  <r>
    <x v="2"/>
    <n v="13726"/>
    <x v="0"/>
  </r>
  <r>
    <x v="2"/>
    <n v="85924"/>
    <x v="1"/>
  </r>
  <r>
    <x v="3"/>
    <n v="13317"/>
    <x v="0"/>
  </r>
  <r>
    <x v="3"/>
    <n v="85045"/>
    <x v="1"/>
  </r>
  <r>
    <x v="4"/>
    <n v="13740"/>
    <x v="0"/>
  </r>
  <r>
    <x v="4"/>
    <n v="91876"/>
    <x v="1"/>
  </r>
  <r>
    <x v="5"/>
    <n v="11485"/>
    <x v="0"/>
  </r>
  <r>
    <x v="5"/>
    <n v="83181"/>
    <x v="1"/>
  </r>
  <r>
    <x v="6"/>
    <n v="11763"/>
    <x v="0"/>
  </r>
  <r>
    <x v="6"/>
    <n v="96000"/>
    <x v="1"/>
  </r>
  <r>
    <x v="7"/>
    <n v="10532"/>
    <x v="0"/>
  </r>
  <r>
    <x v="7"/>
    <n v="94899"/>
    <x v="1"/>
  </r>
  <r>
    <x v="8"/>
    <n v="11293"/>
    <x v="0"/>
  </r>
  <r>
    <x v="8"/>
    <n v="106784"/>
    <x v="1"/>
  </r>
  <r>
    <x v="9"/>
    <n v="11420"/>
    <x v="0"/>
  </r>
  <r>
    <x v="9"/>
    <n v="107277"/>
    <x v="1"/>
  </r>
  <r>
    <x v="10"/>
    <n v="11613"/>
    <x v="0"/>
  </r>
  <r>
    <x v="10"/>
    <n v="92041"/>
    <x v="1"/>
  </r>
  <r>
    <x v="11"/>
    <n v="83109"/>
    <x v="1"/>
  </r>
  <r>
    <x v="11"/>
    <n v="13547"/>
    <x v="0"/>
  </r>
  <r>
    <x v="12"/>
    <n v="109560"/>
    <x v="1"/>
  </r>
  <r>
    <x v="12"/>
    <n v="18639"/>
    <x v="0"/>
  </r>
  <r>
    <x v="13"/>
    <n v="16054"/>
    <x v="0"/>
  </r>
  <r>
    <x v="13"/>
    <n v="90090"/>
    <x v="1"/>
  </r>
  <r>
    <x v="14"/>
    <n v="105785"/>
    <x v="1"/>
  </r>
  <r>
    <x v="14"/>
    <n v="23045"/>
    <x v="0"/>
  </r>
  <r>
    <x v="15"/>
    <n v="107547"/>
    <x v="1"/>
  </r>
  <r>
    <x v="15"/>
    <n v="21585"/>
    <x v="0"/>
  </r>
  <r>
    <x v="16"/>
    <n v="100318"/>
    <x v="1"/>
  </r>
  <r>
    <x v="16"/>
    <n v="20927"/>
    <x v="0"/>
  </r>
  <r>
    <x v="17"/>
    <n v="23119"/>
    <x v="0"/>
  </r>
  <r>
    <x v="17"/>
    <n v="111446"/>
    <x v="1"/>
  </r>
  <r>
    <x v="18"/>
    <n v="20337"/>
    <x v="0"/>
  </r>
  <r>
    <x v="18"/>
    <n v="112135"/>
    <x v="1"/>
  </r>
  <r>
    <x v="19"/>
    <n v="17646"/>
    <x v="0"/>
  </r>
  <r>
    <x v="19"/>
    <n v="100566"/>
    <x v="1"/>
  </r>
  <r>
    <x v="20"/>
    <n v="17169"/>
    <x v="0"/>
  </r>
  <r>
    <x v="20"/>
    <n v="117065"/>
    <x v="1"/>
  </r>
  <r>
    <x v="21"/>
    <n v="17527"/>
    <x v="0"/>
  </r>
  <r>
    <x v="21"/>
    <n v="136772"/>
    <x v="1"/>
  </r>
  <r>
    <x v="22"/>
    <n v="17939"/>
    <x v="0"/>
  </r>
  <r>
    <x v="22"/>
    <n v="108346"/>
    <x v="1"/>
  </r>
  <r>
    <x v="23"/>
    <n v="22061"/>
    <x v="0"/>
  </r>
  <r>
    <x v="23"/>
    <n v="118469"/>
    <x v="1"/>
  </r>
  <r>
    <x v="24"/>
    <n v="23242"/>
    <x v="0"/>
  </r>
  <r>
    <x v="24"/>
    <n v="108670"/>
    <x v="1"/>
  </r>
  <r>
    <x v="25"/>
    <n v="25971"/>
    <x v="0"/>
  </r>
  <r>
    <x v="25"/>
    <n v="90455"/>
    <x v="1"/>
  </r>
  <r>
    <x v="26"/>
    <n v="41508"/>
    <x v="0"/>
  </r>
  <r>
    <x v="26"/>
    <n v="124215"/>
    <x v="1"/>
  </r>
  <r>
    <x v="27"/>
    <n v="49873"/>
    <x v="0"/>
  </r>
  <r>
    <x v="27"/>
    <n v="88535"/>
    <x v="1"/>
  </r>
  <r>
    <x v="28"/>
    <n v="98952"/>
    <x v="1"/>
  </r>
  <r>
    <x v="28"/>
    <n v="44733"/>
    <x v="0"/>
  </r>
  <r>
    <x v="29"/>
    <n v="110414"/>
    <x v="1"/>
  </r>
  <r>
    <x v="29"/>
    <n v="41194"/>
    <x v="0"/>
  </r>
  <r>
    <x v="30"/>
    <n v="30865"/>
    <x v="0"/>
  </r>
  <r>
    <x v="30"/>
    <n v="108177"/>
    <x v="1"/>
  </r>
  <r>
    <x v="31"/>
    <n v="62302"/>
    <x v="1"/>
  </r>
  <r>
    <x v="31"/>
    <n v="15169"/>
    <x v="0"/>
  </r>
  <r>
    <x v="32"/>
    <n v="68339"/>
    <x v="1"/>
  </r>
  <r>
    <x v="32"/>
    <n v="12928"/>
    <x v="0"/>
  </r>
  <r>
    <x v="33"/>
    <n v="66445"/>
    <x v="1"/>
  </r>
  <r>
    <x v="33"/>
    <n v="11279"/>
    <x v="0"/>
  </r>
  <r>
    <x v="34"/>
    <n v="9037"/>
    <x v="0"/>
  </r>
  <r>
    <x v="34"/>
    <n v="45734"/>
    <x v="1"/>
  </r>
  <r>
    <x v="35"/>
    <n v="13338"/>
    <x v="0"/>
  </r>
  <r>
    <x v="35"/>
    <n v="43655"/>
    <x v="1"/>
  </r>
  <r>
    <x v="36"/>
    <n v="12980"/>
    <x v="0"/>
  </r>
  <r>
    <x v="36"/>
    <n v="50259"/>
    <x v="1"/>
  </r>
  <r>
    <x v="37"/>
    <n v="20693"/>
    <x v="0"/>
  </r>
  <r>
    <x v="37"/>
    <n v="45008"/>
    <x v="1"/>
  </r>
  <r>
    <x v="38"/>
    <n v="60330"/>
    <x v="0"/>
  </r>
  <r>
    <x v="38"/>
    <n v="54314"/>
    <x v="1"/>
  </r>
  <r>
    <x v="39"/>
    <n v="126468"/>
    <x v="0"/>
  </r>
  <r>
    <x v="39"/>
    <n v="90938"/>
    <x v="1"/>
  </r>
  <r>
    <x v="40"/>
    <n v="91317"/>
    <x v="0"/>
  </r>
  <r>
    <x v="40"/>
    <n v="4758"/>
    <x v="2"/>
  </r>
  <r>
    <x v="40"/>
    <n v="286"/>
    <x v="3"/>
  </r>
  <r>
    <x v="40"/>
    <n v="70127"/>
    <x v="1"/>
  </r>
  <r>
    <x v="41"/>
    <n v="25662"/>
    <x v="0"/>
  </r>
  <r>
    <x v="41"/>
    <n v="51705"/>
    <x v="2"/>
  </r>
  <r>
    <x v="41"/>
    <n v="5842"/>
    <x v="3"/>
  </r>
  <r>
    <x v="41"/>
    <n v="67567"/>
    <x v="1"/>
  </r>
  <r>
    <x v="42"/>
    <n v="7053"/>
    <x v="0"/>
  </r>
  <r>
    <x v="42"/>
    <n v="106391"/>
    <x v="2"/>
  </r>
  <r>
    <x v="42"/>
    <n v="16517"/>
    <x v="3"/>
  </r>
  <r>
    <x v="42"/>
    <n v="104095"/>
    <x v="1"/>
  </r>
  <r>
    <x v="43"/>
    <n v="781"/>
    <x v="0"/>
  </r>
  <r>
    <x v="43"/>
    <n v="60337"/>
    <x v="2"/>
  </r>
  <r>
    <x v="43"/>
    <n v="22075"/>
    <x v="3"/>
  </r>
  <r>
    <x v="43"/>
    <n v="71014"/>
    <x v="1"/>
  </r>
  <r>
    <x v="44"/>
    <n v="173"/>
    <x v="0"/>
  </r>
  <r>
    <x v="44"/>
    <n v="55906"/>
    <x v="2"/>
  </r>
  <r>
    <x v="44"/>
    <n v="25210"/>
    <x v="3"/>
  </r>
  <r>
    <x v="44"/>
    <n v="82357"/>
    <x v="1"/>
  </r>
  <r>
    <x v="45"/>
    <n v="258"/>
    <x v="0"/>
  </r>
  <r>
    <x v="45"/>
    <n v="31910"/>
    <x v="2"/>
  </r>
  <r>
    <x v="45"/>
    <n v="15667"/>
    <x v="3"/>
  </r>
  <r>
    <x v="45"/>
    <n v="70570"/>
    <x v="1"/>
  </r>
  <r>
    <x v="46"/>
    <n v="1059"/>
    <x v="0"/>
  </r>
  <r>
    <x v="46"/>
    <n v="23119"/>
    <x v="2"/>
  </r>
  <r>
    <x v="46"/>
    <n v="12098"/>
    <x v="3"/>
  </r>
  <r>
    <x v="46"/>
    <n v="61209"/>
    <x v="1"/>
  </r>
  <r>
    <x v="47"/>
    <n v="77"/>
    <x v="0"/>
  </r>
  <r>
    <x v="47"/>
    <n v="22548"/>
    <x v="2"/>
  </r>
  <r>
    <x v="47"/>
    <n v="16580"/>
    <x v="3"/>
  </r>
  <r>
    <x v="47"/>
    <n v="54618"/>
    <x v="1"/>
  </r>
  <r>
    <x v="48"/>
    <n v="336"/>
    <x v="0"/>
  </r>
  <r>
    <x v="48"/>
    <n v="30548"/>
    <x v="2"/>
  </r>
  <r>
    <x v="48"/>
    <n v="25493"/>
    <x v="3"/>
  </r>
  <r>
    <x v="48"/>
    <n v="70439"/>
    <x v="1"/>
  </r>
  <r>
    <x v="49"/>
    <n v="360"/>
    <x v="0"/>
  </r>
  <r>
    <x v="49"/>
    <n v="24350"/>
    <x v="2"/>
  </r>
  <r>
    <x v="49"/>
    <n v="24649"/>
    <x v="3"/>
  </r>
  <r>
    <x v="49"/>
    <n v="51271"/>
    <x v="1"/>
  </r>
  <r>
    <x v="50"/>
    <n v="77"/>
    <x v="0"/>
  </r>
  <r>
    <x v="50"/>
    <n v="28003"/>
    <x v="2"/>
  </r>
  <r>
    <x v="50"/>
    <n v="26299"/>
    <x v="3"/>
  </r>
  <r>
    <x v="50"/>
    <n v="51586"/>
    <x v="1"/>
  </r>
  <r>
    <x v="51"/>
    <n v="679"/>
    <x v="0"/>
  </r>
  <r>
    <x v="51"/>
    <n v="25937"/>
    <x v="2"/>
  </r>
  <r>
    <x v="51"/>
    <n v="21183"/>
    <x v="3"/>
  </r>
  <r>
    <x v="51"/>
    <n v="56751"/>
    <x v="1"/>
  </r>
  <r>
    <x v="52"/>
    <n v="113"/>
    <x v="0"/>
  </r>
  <r>
    <x v="52"/>
    <n v="14416"/>
    <x v="2"/>
  </r>
  <r>
    <x v="52"/>
    <n v="19513"/>
    <x v="3"/>
  </r>
  <r>
    <x v="52"/>
    <n v="37231"/>
    <x v="1"/>
  </r>
  <r>
    <x v="53"/>
    <n v="25"/>
    <x v="0"/>
  </r>
  <r>
    <x v="53"/>
    <n v="15988"/>
    <x v="2"/>
  </r>
  <r>
    <x v="53"/>
    <n v="17575"/>
    <x v="3"/>
  </r>
  <r>
    <x v="53"/>
    <n v="46855"/>
    <x v="1"/>
  </r>
  <r>
    <x v="54"/>
    <n v="4"/>
    <x v="0"/>
  </r>
  <r>
    <x v="54"/>
    <n v="14269"/>
    <x v="2"/>
  </r>
  <r>
    <x v="54"/>
    <n v="19523"/>
    <x v="3"/>
  </r>
  <r>
    <x v="54"/>
    <n v="55813"/>
    <x v="1"/>
  </r>
  <r>
    <x v="55"/>
    <n v="1"/>
    <x v="0"/>
  </r>
  <r>
    <x v="55"/>
    <n v="13900"/>
    <x v="2"/>
  </r>
  <r>
    <x v="55"/>
    <n v="19158"/>
    <x v="3"/>
  </r>
  <r>
    <x v="55"/>
    <n v="50706"/>
    <x v="1"/>
  </r>
  <r>
    <x v="56"/>
    <n v="1120"/>
    <x v="0"/>
  </r>
  <r>
    <x v="56"/>
    <n v="16488"/>
    <x v="2"/>
  </r>
  <r>
    <x v="56"/>
    <n v="20121"/>
    <x v="3"/>
  </r>
  <r>
    <x v="56"/>
    <n v="48810"/>
    <x v="1"/>
  </r>
  <r>
    <x v="57"/>
    <n v="326"/>
    <x v="0"/>
  </r>
  <r>
    <x v="57"/>
    <n v="24337"/>
    <x v="2"/>
  </r>
  <r>
    <x v="57"/>
    <n v="38354"/>
    <x v="3"/>
  </r>
  <r>
    <x v="57"/>
    <n v="42017"/>
    <x v="1"/>
  </r>
  <r>
    <x v="58"/>
    <n v="3"/>
    <x v="0"/>
  </r>
  <r>
    <x v="58"/>
    <n v="29103"/>
    <x v="2"/>
  </r>
  <r>
    <x v="58"/>
    <n v="36203"/>
    <x v="3"/>
  </r>
  <r>
    <x v="58"/>
    <n v="39705"/>
    <x v="1"/>
  </r>
  <r>
    <x v="59"/>
    <n v="24"/>
    <x v="0"/>
  </r>
  <r>
    <x v="59"/>
    <n v="28907"/>
    <x v="2"/>
  </r>
  <r>
    <x v="59"/>
    <n v="39308"/>
    <x v="3"/>
  </r>
  <r>
    <x v="59"/>
    <n v="35585"/>
    <x v="1"/>
  </r>
  <r>
    <x v="60"/>
    <n v="3"/>
    <x v="0"/>
  </r>
  <r>
    <x v="60"/>
    <n v="29330"/>
    <x v="2"/>
  </r>
  <r>
    <x v="60"/>
    <n v="45723"/>
    <x v="3"/>
  </r>
  <r>
    <x v="60"/>
    <n v="33399"/>
    <x v="1"/>
  </r>
  <r>
    <x v="61"/>
    <n v="36053"/>
    <x v="2"/>
  </r>
  <r>
    <x v="61"/>
    <n v="31180"/>
    <x v="3"/>
  </r>
  <r>
    <x v="61"/>
    <n v="40868"/>
    <x v="1"/>
  </r>
  <r>
    <x v="62"/>
    <n v="150"/>
    <x v="0"/>
  </r>
  <r>
    <x v="62"/>
    <n v="24920"/>
    <x v="2"/>
  </r>
  <r>
    <x v="62"/>
    <n v="36604"/>
    <x v="3"/>
  </r>
  <r>
    <x v="62"/>
    <n v="38825"/>
    <x v="1"/>
  </r>
  <r>
    <x v="63"/>
    <n v="2646"/>
    <x v="0"/>
  </r>
  <r>
    <x v="63"/>
    <n v="11405"/>
    <x v="2"/>
  </r>
  <r>
    <x v="63"/>
    <n v="19980"/>
    <x v="3"/>
  </r>
  <r>
    <x v="63"/>
    <n v="29596"/>
    <x v="1"/>
  </r>
  <r>
    <x v="64"/>
    <n v="10"/>
    <x v="0"/>
  </r>
  <r>
    <x v="64"/>
    <n v="9549"/>
    <x v="2"/>
  </r>
  <r>
    <x v="64"/>
    <n v="18800"/>
    <x v="3"/>
  </r>
  <r>
    <x v="64"/>
    <n v="24320"/>
    <x v="1"/>
  </r>
  <r>
    <x v="65"/>
    <n v="7249"/>
    <x v="2"/>
  </r>
  <r>
    <x v="65"/>
    <n v="12820"/>
    <x v="3"/>
  </r>
  <r>
    <x v="65"/>
    <n v="26412"/>
    <x v="1"/>
  </r>
  <r>
    <x v="66"/>
    <n v="7079"/>
    <x v="2"/>
  </r>
  <r>
    <x v="66"/>
    <n v="12588"/>
    <x v="3"/>
  </r>
  <r>
    <x v="66"/>
    <n v="32058"/>
    <x v="1"/>
  </r>
  <r>
    <x v="67"/>
    <n v="5161"/>
    <x v="2"/>
  </r>
  <r>
    <x v="67"/>
    <n v="11579"/>
    <x v="3"/>
  </r>
  <r>
    <x v="67"/>
    <n v="25325"/>
    <x v="1"/>
  </r>
  <r>
    <x v="68"/>
    <n v="8995"/>
    <x v="2"/>
  </r>
  <r>
    <x v="68"/>
    <n v="13279"/>
    <x v="3"/>
  </r>
  <r>
    <x v="68"/>
    <n v="34306"/>
    <x v="1"/>
  </r>
  <r>
    <x v="69"/>
    <n v="9559"/>
    <x v="2"/>
  </r>
  <r>
    <x v="69"/>
    <n v="15550"/>
    <x v="3"/>
  </r>
  <r>
    <x v="69"/>
    <n v="35181"/>
    <x v="1"/>
  </r>
  <r>
    <x v="70"/>
    <n v="15321"/>
    <x v="2"/>
  </r>
  <r>
    <x v="70"/>
    <n v="16474"/>
    <x v="3"/>
  </r>
  <r>
    <x v="70"/>
    <n v="28354"/>
    <x v="1"/>
  </r>
  <r>
    <x v="71"/>
    <n v="16"/>
    <x v="0"/>
  </r>
  <r>
    <x v="71"/>
    <n v="16181"/>
    <x v="2"/>
  </r>
  <r>
    <x v="71"/>
    <n v="15358"/>
    <x v="3"/>
  </r>
  <r>
    <x v="71"/>
    <n v="22321"/>
    <x v="1"/>
  </r>
  <r>
    <x v="72"/>
    <n v="13058"/>
    <x v="2"/>
  </r>
  <r>
    <x v="72"/>
    <n v="17850"/>
    <x v="3"/>
  </r>
  <r>
    <x v="72"/>
    <n v="12661"/>
    <x v="1"/>
  </r>
  <r>
    <x v="73"/>
    <n v="21613"/>
    <x v="2"/>
  </r>
  <r>
    <x v="73"/>
    <n v="21469"/>
    <x v="3"/>
  </r>
  <r>
    <x v="73"/>
    <n v="26095"/>
    <x v="1"/>
  </r>
  <r>
    <x v="74"/>
    <n v="35057"/>
    <x v="2"/>
  </r>
  <r>
    <x v="74"/>
    <n v="19436"/>
    <x v="3"/>
  </r>
  <r>
    <x v="74"/>
    <n v="35310"/>
    <x v="1"/>
  </r>
  <r>
    <x v="75"/>
    <n v="28239"/>
    <x v="2"/>
  </r>
  <r>
    <x v="75"/>
    <n v="29010"/>
    <x v="3"/>
  </r>
  <r>
    <x v="75"/>
    <n v="26813"/>
    <x v="1"/>
  </r>
  <r>
    <x v="76"/>
    <n v="30739"/>
    <x v="2"/>
  </r>
  <r>
    <x v="76"/>
    <n v="18814"/>
    <x v="3"/>
  </r>
  <r>
    <x v="76"/>
    <n v="37089"/>
    <x v="1"/>
  </r>
  <r>
    <x v="77"/>
    <n v="28"/>
    <x v="0"/>
  </r>
  <r>
    <x v="77"/>
    <n v="17578"/>
    <x v="2"/>
  </r>
  <r>
    <x v="77"/>
    <n v="22353"/>
    <x v="3"/>
  </r>
  <r>
    <x v="77"/>
    <n v="26357"/>
    <x v="1"/>
  </r>
  <r>
    <x v="78"/>
    <n v="25831"/>
    <x v="2"/>
  </r>
  <r>
    <x v="78"/>
    <n v="23679"/>
    <x v="3"/>
  </r>
  <r>
    <x v="78"/>
    <n v="49421"/>
    <x v="1"/>
  </r>
  <r>
    <x v="79"/>
    <n v="18827"/>
    <x v="2"/>
  </r>
  <r>
    <x v="79"/>
    <n v="21930"/>
    <x v="3"/>
  </r>
  <r>
    <x v="79"/>
    <n v="37815"/>
    <x v="1"/>
  </r>
  <r>
    <x v="80"/>
    <n v="26774"/>
    <x v="2"/>
  </r>
  <r>
    <x v="80"/>
    <n v="25715"/>
    <x v="3"/>
  </r>
  <r>
    <x v="80"/>
    <n v="51040"/>
    <x v="1"/>
  </r>
  <r>
    <x v="81"/>
    <n v="25041"/>
    <x v="2"/>
  </r>
  <r>
    <x v="81"/>
    <n v="20098"/>
    <x v="3"/>
  </r>
  <r>
    <x v="81"/>
    <n v="34014"/>
    <x v="1"/>
  </r>
  <r>
    <x v="82"/>
    <n v="38833"/>
    <x v="2"/>
  </r>
  <r>
    <x v="82"/>
    <n v="23340"/>
    <x v="3"/>
  </r>
  <r>
    <x v="82"/>
    <n v="50866"/>
    <x v="1"/>
  </r>
  <r>
    <x v="83"/>
    <n v="1190"/>
    <x v="0"/>
  </r>
  <r>
    <x v="83"/>
    <n v="49783"/>
    <x v="2"/>
  </r>
  <r>
    <x v="83"/>
    <n v="40576"/>
    <x v="3"/>
  </r>
  <r>
    <x v="83"/>
    <n v="70841"/>
    <x v="1"/>
  </r>
  <r>
    <x v="84"/>
    <n v="7"/>
    <x v="0"/>
  </r>
  <r>
    <x v="84"/>
    <n v="23978"/>
    <x v="2"/>
  </r>
  <r>
    <x v="84"/>
    <n v="16073"/>
    <x v="3"/>
  </r>
  <r>
    <x v="84"/>
    <n v="26902"/>
    <x v="1"/>
  </r>
  <r>
    <x v="85"/>
    <n v="39760"/>
    <x v="2"/>
  </r>
  <r>
    <x v="85"/>
    <n v="31891"/>
    <x v="3"/>
  </r>
  <r>
    <x v="85"/>
    <n v="42899"/>
    <x v="1"/>
  </r>
  <r>
    <x v="86"/>
    <n v="38300"/>
    <x v="2"/>
  </r>
  <r>
    <x v="86"/>
    <n v="28858"/>
    <x v="3"/>
  </r>
  <r>
    <x v="86"/>
    <n v="41255"/>
    <x v="1"/>
  </r>
  <r>
    <x v="87"/>
    <n v="8"/>
    <x v="0"/>
  </r>
  <r>
    <x v="87"/>
    <n v="48117"/>
    <x v="2"/>
  </r>
  <r>
    <x v="87"/>
    <n v="30621"/>
    <x v="3"/>
  </r>
  <r>
    <x v="87"/>
    <n v="48881"/>
    <x v="1"/>
  </r>
  <r>
    <x v="88"/>
    <n v="7"/>
    <x v="0"/>
  </r>
  <r>
    <x v="88"/>
    <n v="40468"/>
    <x v="2"/>
  </r>
  <r>
    <x v="88"/>
    <n v="33414"/>
    <x v="3"/>
  </r>
  <r>
    <x v="88"/>
    <n v="53226"/>
    <x v="1"/>
  </r>
  <r>
    <x v="89"/>
    <n v="88"/>
    <x v="0"/>
  </r>
  <r>
    <x v="89"/>
    <n v="26944"/>
    <x v="2"/>
  </r>
  <r>
    <x v="89"/>
    <n v="28554"/>
    <x v="3"/>
  </r>
  <r>
    <x v="89"/>
    <n v="49248"/>
    <x v="1"/>
  </r>
  <r>
    <x v="90"/>
    <n v="19"/>
    <x v="0"/>
  </r>
  <r>
    <x v="90"/>
    <n v="33375"/>
    <x v="2"/>
  </r>
  <r>
    <x v="90"/>
    <n v="30201"/>
    <x v="3"/>
  </r>
  <r>
    <x v="90"/>
    <n v="62348"/>
    <x v="1"/>
  </r>
  <r>
    <x v="91"/>
    <n v="26413"/>
    <x v="2"/>
  </r>
  <r>
    <x v="91"/>
    <n v="22463"/>
    <x v="3"/>
  </r>
  <r>
    <x v="91"/>
    <n v="52562"/>
    <x v="1"/>
  </r>
  <r>
    <x v="92"/>
    <n v="1"/>
    <x v="0"/>
  </r>
  <r>
    <x v="92"/>
    <n v="23108"/>
    <x v="2"/>
  </r>
  <r>
    <x v="92"/>
    <n v="18785"/>
    <x v="3"/>
  </r>
  <r>
    <x v="92"/>
    <n v="62201"/>
    <x v="1"/>
  </r>
  <r>
    <x v="93"/>
    <n v="90"/>
    <x v="0"/>
  </r>
  <r>
    <x v="93"/>
    <n v="12617"/>
    <x v="2"/>
  </r>
  <r>
    <x v="93"/>
    <n v="16394"/>
    <x v="3"/>
  </r>
  <r>
    <x v="93"/>
    <n v="44797"/>
    <x v="1"/>
  </r>
  <r>
    <x v="94"/>
    <n v="8614"/>
    <x v="2"/>
  </r>
  <r>
    <x v="94"/>
    <n v="13595"/>
    <x v="3"/>
  </r>
  <r>
    <x v="94"/>
    <n v="41608"/>
    <x v="1"/>
  </r>
  <r>
    <x v="95"/>
    <n v="969"/>
    <x v="0"/>
  </r>
  <r>
    <x v="95"/>
    <n v="7821"/>
    <x v="2"/>
  </r>
  <r>
    <x v="95"/>
    <n v="12144"/>
    <x v="3"/>
  </r>
  <r>
    <x v="95"/>
    <n v="50491"/>
    <x v="1"/>
  </r>
  <r>
    <x v="96"/>
    <n v="1125"/>
    <x v="0"/>
  </r>
  <r>
    <x v="96"/>
    <n v="9232"/>
    <x v="2"/>
  </r>
  <r>
    <x v="96"/>
    <n v="8436"/>
    <x v="3"/>
  </r>
  <r>
    <x v="96"/>
    <n v="51152"/>
    <x v="1"/>
  </r>
  <r>
    <x v="97"/>
    <n v="8940"/>
    <x v="2"/>
  </r>
  <r>
    <x v="97"/>
    <n v="10673"/>
    <x v="3"/>
  </r>
  <r>
    <x v="97"/>
    <n v="41585"/>
    <x v="1"/>
  </r>
  <r>
    <x v="98"/>
    <n v="7816"/>
    <x v="2"/>
  </r>
  <r>
    <x v="98"/>
    <n v="9613"/>
    <x v="3"/>
  </r>
  <r>
    <x v="98"/>
    <n v="433"/>
    <x v="4"/>
  </r>
  <r>
    <x v="98"/>
    <n v="40661"/>
    <x v="1"/>
  </r>
  <r>
    <x v="99"/>
    <n v="16"/>
    <x v="0"/>
  </r>
  <r>
    <x v="99"/>
    <n v="2610"/>
    <x v="2"/>
  </r>
  <r>
    <x v="99"/>
    <n v="2000"/>
    <x v="3"/>
  </r>
  <r>
    <x v="99"/>
    <n v="7802"/>
    <x v="4"/>
  </r>
  <r>
    <x v="99"/>
    <n v="31931"/>
    <x v="1"/>
  </r>
  <r>
    <x v="100"/>
    <n v="488"/>
    <x v="2"/>
  </r>
  <r>
    <x v="100"/>
    <n v="203"/>
    <x v="3"/>
  </r>
  <r>
    <x v="100"/>
    <n v="13317"/>
    <x v="4"/>
  </r>
  <r>
    <x v="100"/>
    <n v="41535"/>
    <x v="1"/>
  </r>
  <r>
    <x v="101"/>
    <n v="144"/>
    <x v="2"/>
  </r>
  <r>
    <x v="101"/>
    <n v="50"/>
    <x v="3"/>
  </r>
  <r>
    <x v="101"/>
    <n v="13013"/>
    <x v="4"/>
  </r>
  <r>
    <x v="101"/>
    <n v="44793"/>
    <x v="1"/>
  </r>
  <r>
    <x v="102"/>
    <n v="15"/>
    <x v="2"/>
  </r>
  <r>
    <x v="102"/>
    <n v="13"/>
    <x v="3"/>
  </r>
  <r>
    <x v="102"/>
    <n v="14294"/>
    <x v="4"/>
  </r>
  <r>
    <x v="102"/>
    <n v="52858"/>
    <x v="1"/>
  </r>
  <r>
    <x v="103"/>
    <n v="20"/>
    <x v="2"/>
  </r>
  <r>
    <x v="103"/>
    <n v="10"/>
    <x v="3"/>
  </r>
  <r>
    <x v="103"/>
    <n v="13253"/>
    <x v="4"/>
  </r>
  <r>
    <x v="103"/>
    <n v="55463"/>
    <x v="1"/>
  </r>
  <r>
    <x v="104"/>
    <n v="4942"/>
    <x v="2"/>
  </r>
  <r>
    <x v="104"/>
    <n v="25"/>
    <x v="3"/>
  </r>
  <r>
    <x v="104"/>
    <n v="15355"/>
    <x v="4"/>
  </r>
  <r>
    <x v="104"/>
    <n v="74711"/>
    <x v="1"/>
  </r>
  <r>
    <x v="105"/>
    <n v="1"/>
    <x v="0"/>
  </r>
  <r>
    <x v="105"/>
    <n v="1198"/>
    <x v="2"/>
  </r>
  <r>
    <x v="105"/>
    <n v="11"/>
    <x v="3"/>
  </r>
  <r>
    <x v="105"/>
    <n v="16781"/>
    <x v="4"/>
  </r>
  <r>
    <x v="105"/>
    <n v="65252"/>
    <x v="1"/>
  </r>
  <r>
    <x v="106"/>
    <n v="302"/>
    <x v="2"/>
  </r>
  <r>
    <x v="106"/>
    <n v="33"/>
    <x v="3"/>
  </r>
  <r>
    <x v="106"/>
    <n v="18205"/>
    <x v="4"/>
  </r>
  <r>
    <x v="106"/>
    <n v="64996"/>
    <x v="1"/>
  </r>
  <r>
    <x v="107"/>
    <n v="3"/>
    <x v="0"/>
  </r>
  <r>
    <x v="107"/>
    <n v="67"/>
    <x v="2"/>
  </r>
  <r>
    <x v="107"/>
    <n v="15"/>
    <x v="3"/>
  </r>
  <r>
    <x v="107"/>
    <n v="17771"/>
    <x v="4"/>
  </r>
  <r>
    <x v="107"/>
    <n v="60127"/>
    <x v="1"/>
  </r>
  <r>
    <x v="108"/>
    <n v="1"/>
    <x v="0"/>
  </r>
  <r>
    <x v="108"/>
    <n v="18"/>
    <x v="2"/>
  </r>
  <r>
    <x v="108"/>
    <n v="1"/>
    <x v="3"/>
  </r>
  <r>
    <x v="108"/>
    <n v="20639"/>
    <x v="4"/>
  </r>
  <r>
    <x v="108"/>
    <n v="48738"/>
    <x v="1"/>
  </r>
  <r>
    <x v="109"/>
    <n v="1"/>
    <x v="0"/>
  </r>
  <r>
    <x v="109"/>
    <n v="67"/>
    <x v="2"/>
  </r>
  <r>
    <x v="109"/>
    <n v="17"/>
    <x v="3"/>
  </r>
  <r>
    <x v="109"/>
    <n v="20018"/>
    <x v="4"/>
  </r>
  <r>
    <x v="109"/>
    <n v="49656"/>
    <x v="1"/>
  </r>
  <r>
    <x v="110"/>
    <n v="9"/>
    <x v="0"/>
  </r>
  <r>
    <x v="110"/>
    <n v="7528"/>
    <x v="2"/>
  </r>
  <r>
    <x v="110"/>
    <n v="26"/>
    <x v="3"/>
  </r>
  <r>
    <x v="110"/>
    <n v="26307"/>
    <x v="4"/>
  </r>
  <r>
    <x v="110"/>
    <n v="63470"/>
    <x v="1"/>
  </r>
  <r>
    <x v="111"/>
    <n v="3319"/>
    <x v="0"/>
  </r>
  <r>
    <x v="111"/>
    <n v="34"/>
    <x v="2"/>
  </r>
  <r>
    <x v="111"/>
    <n v="27603"/>
    <x v="4"/>
  </r>
  <r>
    <x v="111"/>
    <n v="43920"/>
    <x v="1"/>
  </r>
  <r>
    <x v="112"/>
    <n v="1"/>
    <x v="2"/>
  </r>
  <r>
    <x v="112"/>
    <n v="1"/>
    <x v="3"/>
  </r>
  <r>
    <x v="112"/>
    <n v="38841"/>
    <x v="4"/>
  </r>
  <r>
    <x v="112"/>
    <n v="57744"/>
    <x v="1"/>
  </r>
  <r>
    <x v="113"/>
    <n v="211"/>
    <x v="2"/>
  </r>
  <r>
    <x v="113"/>
    <n v="32819"/>
    <x v="4"/>
  </r>
  <r>
    <x v="113"/>
    <n v="63761"/>
    <x v="1"/>
  </r>
  <r>
    <x v="114"/>
    <n v="2804"/>
    <x v="2"/>
  </r>
  <r>
    <x v="114"/>
    <n v="2"/>
    <x v="3"/>
  </r>
  <r>
    <x v="114"/>
    <n v="29652"/>
    <x v="4"/>
  </r>
  <r>
    <x v="114"/>
    <n v="74200"/>
    <x v="1"/>
  </r>
  <r>
    <x v="115"/>
    <n v="1279"/>
    <x v="2"/>
  </r>
  <r>
    <x v="115"/>
    <n v="24711"/>
    <x v="4"/>
  </r>
  <r>
    <x v="115"/>
    <n v="77621"/>
    <x v="1"/>
  </r>
  <r>
    <x v="116"/>
    <n v="17994"/>
    <x v="4"/>
  </r>
  <r>
    <x v="116"/>
    <n v="68006"/>
    <x v="1"/>
  </r>
  <r>
    <x v="117"/>
    <n v="11"/>
    <x v="2"/>
  </r>
  <r>
    <x v="117"/>
    <n v="18141"/>
    <x v="4"/>
  </r>
  <r>
    <x v="117"/>
    <n v="75190"/>
    <x v="1"/>
  </r>
  <r>
    <x v="118"/>
    <n v="531"/>
    <x v="2"/>
  </r>
  <r>
    <x v="118"/>
    <n v="17495"/>
    <x v="4"/>
  </r>
  <r>
    <x v="118"/>
    <n v="72819"/>
    <x v="1"/>
  </r>
  <r>
    <x v="119"/>
    <n v="17242"/>
    <x v="4"/>
  </r>
  <r>
    <x v="119"/>
    <n v="63"/>
    <x v="3"/>
  </r>
  <r>
    <x v="119"/>
    <n v="116"/>
    <x v="0"/>
  </r>
  <r>
    <x v="119"/>
    <n v="61380"/>
    <x v="1"/>
  </r>
  <r>
    <x v="120"/>
    <n v="56308"/>
    <x v="1"/>
  </r>
  <r>
    <x v="120"/>
    <n v="17651"/>
    <x v="4"/>
  </r>
  <r>
    <x v="120"/>
    <n v="5"/>
    <x v="3"/>
  </r>
  <r>
    <x v="121"/>
    <n v="38576"/>
    <x v="1"/>
  </r>
  <r>
    <x v="121"/>
    <n v="10736"/>
    <x v="4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68">
  <r>
    <x v="0"/>
    <n v="1771"/>
    <x v="0"/>
  </r>
  <r>
    <x v="0"/>
    <n v="64164"/>
    <x v="1"/>
  </r>
  <r>
    <x v="0"/>
    <n v="69801"/>
    <x v="2"/>
  </r>
  <r>
    <x v="1"/>
    <n v="58448"/>
    <x v="1"/>
  </r>
  <r>
    <x v="1"/>
    <n v="56048"/>
    <x v="2"/>
  </r>
  <r>
    <x v="1"/>
    <n v="1707"/>
    <x v="0"/>
  </r>
  <r>
    <x v="2"/>
    <n v="49549"/>
    <x v="1"/>
  </r>
  <r>
    <x v="2"/>
    <n v="48505"/>
    <x v="2"/>
  </r>
  <r>
    <x v="2"/>
    <n v="1596"/>
    <x v="0"/>
  </r>
  <r>
    <x v="3"/>
    <n v="50913"/>
    <x v="1"/>
  </r>
  <r>
    <x v="3"/>
    <n v="45628"/>
    <x v="2"/>
  </r>
  <r>
    <x v="3"/>
    <n v="1821"/>
    <x v="0"/>
  </r>
  <r>
    <x v="4"/>
    <n v="54093"/>
    <x v="1"/>
  </r>
  <r>
    <x v="4"/>
    <n v="50072"/>
    <x v="2"/>
  </r>
  <r>
    <x v="4"/>
    <n v="1451"/>
    <x v="0"/>
  </r>
  <r>
    <x v="5"/>
    <n v="43099"/>
    <x v="1"/>
  </r>
  <r>
    <x v="5"/>
    <n v="50281"/>
    <x v="2"/>
  </r>
  <r>
    <x v="5"/>
    <n v="1286"/>
    <x v="0"/>
  </r>
  <r>
    <x v="6"/>
    <n v="45484"/>
    <x v="1"/>
  </r>
  <r>
    <x v="6"/>
    <n v="60815"/>
    <x v="2"/>
  </r>
  <r>
    <x v="6"/>
    <n v="1464"/>
    <x v="0"/>
  </r>
  <r>
    <x v="7"/>
    <n v="41248"/>
    <x v="1"/>
  </r>
  <r>
    <x v="7"/>
    <n v="62896"/>
    <x v="2"/>
  </r>
  <r>
    <x v="7"/>
    <n v="1287"/>
    <x v="0"/>
  </r>
  <r>
    <x v="8"/>
    <n v="42532"/>
    <x v="1"/>
  </r>
  <r>
    <x v="8"/>
    <n v="74272"/>
    <x v="2"/>
  </r>
  <r>
    <x v="8"/>
    <n v="1273"/>
    <x v="0"/>
  </r>
  <r>
    <x v="9"/>
    <n v="43129"/>
    <x v="1"/>
  </r>
  <r>
    <x v="9"/>
    <n v="74289"/>
    <x v="2"/>
  </r>
  <r>
    <x v="9"/>
    <n v="1279"/>
    <x v="0"/>
  </r>
  <r>
    <x v="10"/>
    <n v="43075"/>
    <x v="1"/>
  </r>
  <r>
    <x v="10"/>
    <n v="59427"/>
    <x v="2"/>
  </r>
  <r>
    <x v="10"/>
    <n v="1152"/>
    <x v="0"/>
  </r>
  <r>
    <x v="11"/>
    <n v="46704"/>
    <x v="1"/>
  </r>
  <r>
    <x v="11"/>
    <n v="48845"/>
    <x v="2"/>
  </r>
  <r>
    <x v="11"/>
    <n v="1107"/>
    <x v="0"/>
  </r>
  <r>
    <x v="12"/>
    <n v="60968"/>
    <x v="1"/>
  </r>
  <r>
    <x v="12"/>
    <n v="65808"/>
    <x v="2"/>
  </r>
  <r>
    <x v="12"/>
    <n v="1423"/>
    <x v="0"/>
  </r>
  <r>
    <x v="13"/>
    <n v="52621"/>
    <x v="1"/>
  </r>
  <r>
    <x v="13"/>
    <n v="52477"/>
    <x v="2"/>
  </r>
  <r>
    <x v="13"/>
    <n v="1046"/>
    <x v="0"/>
  </r>
  <r>
    <x v="14"/>
    <n v="71070"/>
    <x v="1"/>
  </r>
  <r>
    <x v="14"/>
    <n v="56557"/>
    <x v="2"/>
  </r>
  <r>
    <x v="14"/>
    <n v="1203"/>
    <x v="0"/>
  </r>
  <r>
    <x v="15"/>
    <n v="67164"/>
    <x v="1"/>
  </r>
  <r>
    <x v="15"/>
    <n v="60614"/>
    <x v="2"/>
  </r>
  <r>
    <x v="15"/>
    <n v="1354"/>
    <x v="0"/>
  </r>
  <r>
    <x v="16"/>
    <n v="64185"/>
    <x v="1"/>
  </r>
  <r>
    <x v="16"/>
    <n v="55862"/>
    <x v="2"/>
  </r>
  <r>
    <x v="16"/>
    <n v="1198"/>
    <x v="0"/>
  </r>
  <r>
    <x v="17"/>
    <n v="69464"/>
    <x v="1"/>
  </r>
  <r>
    <x v="17"/>
    <n v="63827"/>
    <x v="2"/>
  </r>
  <r>
    <x v="17"/>
    <n v="1274"/>
    <x v="0"/>
  </r>
  <r>
    <x v="18"/>
    <n v="61490"/>
    <x v="1"/>
  </r>
  <r>
    <x v="18"/>
    <n v="69687"/>
    <x v="2"/>
  </r>
  <r>
    <x v="18"/>
    <n v="1295"/>
    <x v="0"/>
  </r>
  <r>
    <x v="19"/>
    <n v="53816"/>
    <x v="1"/>
  </r>
  <r>
    <x v="19"/>
    <n v="63220"/>
    <x v="2"/>
  </r>
  <r>
    <x v="19"/>
    <n v="1176"/>
    <x v="0"/>
  </r>
  <r>
    <x v="20"/>
    <n v="55366"/>
    <x v="1"/>
  </r>
  <r>
    <x v="20"/>
    <n v="77551"/>
    <x v="2"/>
  </r>
  <r>
    <x v="20"/>
    <n v="1317"/>
    <x v="0"/>
  </r>
  <r>
    <x v="21"/>
    <n v="55888"/>
    <x v="1"/>
  </r>
  <r>
    <x v="21"/>
    <n v="97102"/>
    <x v="2"/>
  </r>
  <r>
    <x v="21"/>
    <n v="1309"/>
    <x v="0"/>
  </r>
  <r>
    <x v="22"/>
    <n v="51812"/>
    <x v="1"/>
  </r>
  <r>
    <x v="22"/>
    <n v="72966"/>
    <x v="2"/>
  </r>
  <r>
    <x v="22"/>
    <n v="1507"/>
    <x v="0"/>
  </r>
  <r>
    <x v="23"/>
    <n v="61078"/>
    <x v="1"/>
  </r>
  <r>
    <x v="23"/>
    <n v="77897"/>
    <x v="2"/>
  </r>
  <r>
    <x v="23"/>
    <n v="1555"/>
    <x v="0"/>
  </r>
  <r>
    <x v="24"/>
    <n v="60449"/>
    <x v="1"/>
  </r>
  <r>
    <x v="24"/>
    <n v="69883"/>
    <x v="2"/>
  </r>
  <r>
    <x v="24"/>
    <n v="1580"/>
    <x v="0"/>
  </r>
  <r>
    <x v="25"/>
    <n v="60598"/>
    <x v="1"/>
  </r>
  <r>
    <x v="25"/>
    <n v="54557"/>
    <x v="2"/>
  </r>
  <r>
    <x v="25"/>
    <n v="1271"/>
    <x v="0"/>
  </r>
  <r>
    <x v="26"/>
    <n v="91402"/>
    <x v="1"/>
  </r>
  <r>
    <x v="26"/>
    <n v="72837"/>
    <x v="2"/>
  </r>
  <r>
    <x v="26"/>
    <n v="1484"/>
    <x v="0"/>
  </r>
  <r>
    <x v="27"/>
    <n v="93377"/>
    <x v="1"/>
  </r>
  <r>
    <x v="27"/>
    <n v="43659"/>
    <x v="2"/>
  </r>
  <r>
    <x v="27"/>
    <n v="1372"/>
    <x v="0"/>
  </r>
  <r>
    <x v="28"/>
    <n v="91357"/>
    <x v="1"/>
  </r>
  <r>
    <x v="28"/>
    <n v="50960"/>
    <x v="2"/>
  </r>
  <r>
    <x v="28"/>
    <n v="1368"/>
    <x v="0"/>
  </r>
  <r>
    <x v="29"/>
    <n v="91752"/>
    <x v="1"/>
  </r>
  <r>
    <x v="29"/>
    <n v="58452"/>
    <x v="2"/>
  </r>
  <r>
    <x v="29"/>
    <n v="1404"/>
    <x v="0"/>
  </r>
  <r>
    <x v="30"/>
    <n v="70617"/>
    <x v="1"/>
  </r>
  <r>
    <x v="30"/>
    <n v="67055"/>
    <x v="2"/>
  </r>
  <r>
    <x v="30"/>
    <n v="1370"/>
    <x v="0"/>
  </r>
  <r>
    <x v="31"/>
    <n v="36040"/>
    <x v="1"/>
  </r>
  <r>
    <x v="31"/>
    <n v="41004"/>
    <x v="2"/>
  </r>
  <r>
    <x v="31"/>
    <n v="427"/>
    <x v="0"/>
  </r>
  <r>
    <x v="32"/>
    <n v="33217"/>
    <x v="1"/>
  </r>
  <r>
    <x v="32"/>
    <n v="47631"/>
    <x v="2"/>
  </r>
  <r>
    <x v="32"/>
    <n v="419"/>
    <x v="0"/>
  </r>
  <r>
    <x v="33"/>
    <n v="29595"/>
    <x v="1"/>
  </r>
  <r>
    <x v="33"/>
    <n v="47720"/>
    <x v="2"/>
  </r>
  <r>
    <x v="33"/>
    <n v="409"/>
    <x v="0"/>
  </r>
  <r>
    <x v="34"/>
    <n v="22753"/>
    <x v="1"/>
  </r>
  <r>
    <x v="34"/>
    <n v="31841"/>
    <x v="2"/>
  </r>
  <r>
    <x v="34"/>
    <n v="177"/>
    <x v="0"/>
  </r>
  <r>
    <x v="35"/>
    <n v="27885"/>
    <x v="1"/>
  </r>
  <r>
    <x v="35"/>
    <n v="28701"/>
    <x v="2"/>
  </r>
  <r>
    <x v="35"/>
    <n v="407"/>
    <x v="0"/>
  </r>
  <r>
    <x v="36"/>
    <n v="28353"/>
    <x v="1"/>
  </r>
  <r>
    <x v="36"/>
    <n v="34511"/>
    <x v="2"/>
  </r>
  <r>
    <x v="36"/>
    <n v="375"/>
    <x v="0"/>
  </r>
  <r>
    <x v="37"/>
    <n v="36364"/>
    <x v="1"/>
  </r>
  <r>
    <x v="37"/>
    <n v="28940"/>
    <x v="2"/>
  </r>
  <r>
    <x v="37"/>
    <n v="397"/>
    <x v="0"/>
  </r>
  <r>
    <x v="38"/>
    <n v="88963"/>
    <x v="1"/>
  </r>
  <r>
    <x v="38"/>
    <n v="24431"/>
    <x v="2"/>
  </r>
  <r>
    <x v="38"/>
    <n v="1250"/>
    <x v="0"/>
  </r>
  <r>
    <x v="39"/>
    <n v="187401"/>
    <x v="1"/>
  </r>
  <r>
    <x v="39"/>
    <n v="27687"/>
    <x v="2"/>
  </r>
  <r>
    <x v="39"/>
    <n v="2318"/>
    <x v="0"/>
  </r>
  <r>
    <x v="40"/>
    <n v="140030"/>
    <x v="1"/>
  </r>
  <r>
    <x v="40"/>
    <n v="24673"/>
    <x v="2"/>
  </r>
  <r>
    <x v="40"/>
    <n v="1785"/>
    <x v="0"/>
  </r>
  <r>
    <x v="41"/>
    <n v="123547"/>
    <x v="1"/>
  </r>
  <r>
    <x v="41"/>
    <n v="24641"/>
    <x v="2"/>
  </r>
  <r>
    <x v="41"/>
    <n v="2588"/>
    <x v="0"/>
  </r>
  <r>
    <x v="42"/>
    <n v="183268"/>
    <x v="1"/>
  </r>
  <r>
    <x v="42"/>
    <n v="41335"/>
    <x v="2"/>
  </r>
  <r>
    <x v="42"/>
    <n v="9453"/>
    <x v="0"/>
  </r>
  <r>
    <x v="43"/>
    <n v="107233"/>
    <x v="1"/>
  </r>
  <r>
    <x v="43"/>
    <n v="32476"/>
    <x v="2"/>
  </r>
  <r>
    <x v="43"/>
    <n v="14498"/>
    <x v="0"/>
  </r>
  <r>
    <x v="44"/>
    <n v="104917"/>
    <x v="1"/>
  </r>
  <r>
    <x v="44"/>
    <n v="42643"/>
    <x v="2"/>
  </r>
  <r>
    <x v="44"/>
    <n v="16086"/>
    <x v="0"/>
  </r>
  <r>
    <x v="45"/>
    <n v="67936"/>
    <x v="1"/>
  </r>
  <r>
    <x v="45"/>
    <n v="41473"/>
    <x v="2"/>
  </r>
  <r>
    <x v="45"/>
    <n v="8996"/>
    <x v="0"/>
  </r>
  <r>
    <x v="46"/>
    <n v="54105"/>
    <x v="1"/>
  </r>
  <r>
    <x v="46"/>
    <n v="37039"/>
    <x v="2"/>
  </r>
  <r>
    <x v="46"/>
    <n v="6341"/>
    <x v="0"/>
  </r>
  <r>
    <x v="47"/>
    <n v="53423"/>
    <x v="1"/>
  </r>
  <r>
    <x v="47"/>
    <n v="32297"/>
    <x v="2"/>
  </r>
  <r>
    <x v="47"/>
    <n v="8103"/>
    <x v="0"/>
  </r>
  <r>
    <x v="48"/>
    <n v="71676"/>
    <x v="1"/>
  </r>
  <r>
    <x v="48"/>
    <n v="42345"/>
    <x v="2"/>
  </r>
  <r>
    <x v="48"/>
    <n v="12795"/>
    <x v="0"/>
  </r>
  <r>
    <x v="49"/>
    <n v="57979"/>
    <x v="1"/>
  </r>
  <r>
    <x v="49"/>
    <n v="29955"/>
    <x v="2"/>
  </r>
  <r>
    <x v="49"/>
    <n v="12696"/>
    <x v="0"/>
  </r>
  <r>
    <x v="50"/>
    <n v="64815"/>
    <x v="1"/>
  </r>
  <r>
    <x v="50"/>
    <n v="27636"/>
    <x v="2"/>
  </r>
  <r>
    <x v="50"/>
    <n v="13514"/>
    <x v="0"/>
  </r>
  <r>
    <x v="51"/>
    <n v="61902"/>
    <x v="1"/>
  </r>
  <r>
    <x v="51"/>
    <n v="30875"/>
    <x v="2"/>
  </r>
  <r>
    <x v="51"/>
    <n v="11773"/>
    <x v="0"/>
  </r>
  <r>
    <x v="52"/>
    <n v="37869"/>
    <x v="1"/>
  </r>
  <r>
    <x v="52"/>
    <n v="23058"/>
    <x v="2"/>
  </r>
  <r>
    <x v="52"/>
    <n v="10346"/>
    <x v="0"/>
  </r>
  <r>
    <x v="53"/>
    <n v="40562"/>
    <x v="1"/>
  </r>
  <r>
    <x v="53"/>
    <n v="30710"/>
    <x v="2"/>
  </r>
  <r>
    <x v="53"/>
    <n v="9171"/>
    <x v="0"/>
  </r>
  <r>
    <x v="54"/>
    <n v="40799"/>
    <x v="1"/>
  </r>
  <r>
    <x v="54"/>
    <n v="38377"/>
    <x v="2"/>
  </r>
  <r>
    <x v="54"/>
    <n v="10433"/>
    <x v="0"/>
  </r>
  <r>
    <x v="55"/>
    <n v="37795"/>
    <x v="1"/>
  </r>
  <r>
    <x v="55"/>
    <n v="36953"/>
    <x v="2"/>
  </r>
  <r>
    <x v="55"/>
    <n v="9017"/>
    <x v="0"/>
  </r>
  <r>
    <x v="56"/>
    <n v="44543"/>
    <x v="1"/>
  </r>
  <r>
    <x v="56"/>
    <n v="32778"/>
    <x v="2"/>
  </r>
  <r>
    <x v="56"/>
    <n v="9218"/>
    <x v="0"/>
  </r>
  <r>
    <x v="57"/>
    <n v="63945"/>
    <x v="1"/>
  </r>
  <r>
    <x v="57"/>
    <n v="25077"/>
    <x v="2"/>
  </r>
  <r>
    <x v="57"/>
    <n v="16012"/>
    <x v="0"/>
  </r>
  <r>
    <x v="58"/>
    <n v="69234"/>
    <x v="1"/>
  </r>
  <r>
    <x v="58"/>
    <n v="21824"/>
    <x v="2"/>
  </r>
  <r>
    <x v="58"/>
    <n v="13956"/>
    <x v="0"/>
  </r>
  <r>
    <x v="59"/>
    <n v="68606"/>
    <x v="1"/>
  </r>
  <r>
    <x v="59"/>
    <n v="19204"/>
    <x v="2"/>
  </r>
  <r>
    <x v="59"/>
    <n v="16014"/>
    <x v="0"/>
  </r>
  <r>
    <x v="60"/>
    <n v="73157"/>
    <x v="1"/>
  </r>
  <r>
    <x v="60"/>
    <n v="17561"/>
    <x v="2"/>
  </r>
  <r>
    <x v="60"/>
    <n v="17737"/>
    <x v="0"/>
  </r>
  <r>
    <x v="61"/>
    <n v="71333"/>
    <x v="1"/>
  </r>
  <r>
    <x v="61"/>
    <n v="21831"/>
    <x v="2"/>
  </r>
  <r>
    <x v="61"/>
    <n v="14937"/>
    <x v="0"/>
  </r>
  <r>
    <x v="62"/>
    <n v="61002"/>
    <x v="1"/>
  </r>
  <r>
    <x v="62"/>
    <n v="22007"/>
    <x v="2"/>
  </r>
  <r>
    <x v="62"/>
    <n v="17490"/>
    <x v="0"/>
  </r>
  <r>
    <x v="63"/>
    <n v="36850"/>
    <x v="1"/>
  </r>
  <r>
    <x v="63"/>
    <n v="16260"/>
    <x v="2"/>
  </r>
  <r>
    <x v="63"/>
    <n v="10517"/>
    <x v="0"/>
  </r>
  <r>
    <x v="64"/>
    <n v="28254"/>
    <x v="1"/>
  </r>
  <r>
    <x v="64"/>
    <n v="15307"/>
    <x v="2"/>
  </r>
  <r>
    <x v="64"/>
    <n v="9118"/>
    <x v="0"/>
  </r>
  <r>
    <x v="65"/>
    <n v="22304"/>
    <x v="1"/>
  </r>
  <r>
    <x v="65"/>
    <n v="18349"/>
    <x v="2"/>
  </r>
  <r>
    <x v="65"/>
    <n v="5828"/>
    <x v="0"/>
  </r>
  <r>
    <x v="66"/>
    <n v="22239"/>
    <x v="1"/>
  </r>
  <r>
    <x v="66"/>
    <n v="23616"/>
    <x v="2"/>
  </r>
  <r>
    <x v="66"/>
    <n v="5870"/>
    <x v="0"/>
  </r>
  <r>
    <x v="67"/>
    <n v="16955"/>
    <x v="1"/>
  </r>
  <r>
    <x v="67"/>
    <n v="19009"/>
    <x v="2"/>
  </r>
  <r>
    <x v="67"/>
    <n v="6101"/>
    <x v="0"/>
  </r>
  <r>
    <x v="68"/>
    <n v="24762"/>
    <x v="1"/>
  </r>
  <r>
    <x v="68"/>
    <n v="25639"/>
    <x v="2"/>
  </r>
  <r>
    <x v="68"/>
    <n v="6179"/>
    <x v="0"/>
  </r>
  <r>
    <x v="69"/>
    <n v="25880"/>
    <x v="1"/>
  </r>
  <r>
    <x v="69"/>
    <n v="27102"/>
    <x v="2"/>
  </r>
  <r>
    <x v="69"/>
    <n v="7308"/>
    <x v="0"/>
  </r>
  <r>
    <x v="70"/>
    <n v="32509"/>
    <x v="1"/>
  </r>
  <r>
    <x v="70"/>
    <n v="20424"/>
    <x v="2"/>
  </r>
  <r>
    <x v="70"/>
    <n v="7216"/>
    <x v="0"/>
  </r>
  <r>
    <x v="71"/>
    <n v="31848"/>
    <x v="1"/>
  </r>
  <r>
    <x v="71"/>
    <n v="15277"/>
    <x v="2"/>
  </r>
  <r>
    <x v="71"/>
    <n v="6751"/>
    <x v="0"/>
  </r>
  <r>
    <x v="72"/>
    <n v="30460"/>
    <x v="1"/>
  </r>
  <r>
    <x v="72"/>
    <n v="7570"/>
    <x v="2"/>
  </r>
  <r>
    <x v="72"/>
    <n v="5539"/>
    <x v="0"/>
  </r>
  <r>
    <x v="73"/>
    <n v="40253"/>
    <x v="1"/>
  </r>
  <r>
    <x v="73"/>
    <n v="16546"/>
    <x v="2"/>
  </r>
  <r>
    <x v="73"/>
    <n v="12378"/>
    <x v="0"/>
  </r>
  <r>
    <x v="74"/>
    <n v="59797"/>
    <x v="1"/>
  </r>
  <r>
    <x v="74"/>
    <n v="20135"/>
    <x v="2"/>
  </r>
  <r>
    <x v="74"/>
    <n v="9871"/>
    <x v="0"/>
  </r>
  <r>
    <x v="75"/>
    <n v="52700"/>
    <x v="1"/>
  </r>
  <r>
    <x v="75"/>
    <n v="14854"/>
    <x v="2"/>
  </r>
  <r>
    <x v="75"/>
    <n v="16508"/>
    <x v="0"/>
  </r>
  <r>
    <x v="76"/>
    <n v="52285"/>
    <x v="1"/>
  </r>
  <r>
    <x v="76"/>
    <n v="22249"/>
    <x v="2"/>
  </r>
  <r>
    <x v="76"/>
    <n v="12108"/>
    <x v="0"/>
  </r>
  <r>
    <x v="77"/>
    <n v="37066"/>
    <x v="1"/>
  </r>
  <r>
    <x v="77"/>
    <n v="16856"/>
    <x v="2"/>
  </r>
  <r>
    <x v="77"/>
    <n v="12394"/>
    <x v="0"/>
  </r>
  <r>
    <x v="78"/>
    <n v="46044"/>
    <x v="1"/>
  </r>
  <r>
    <x v="78"/>
    <n v="37261"/>
    <x v="2"/>
  </r>
  <r>
    <x v="78"/>
    <n v="15626"/>
    <x v="0"/>
  </r>
  <r>
    <x v="79"/>
    <n v="36784"/>
    <x v="1"/>
  </r>
  <r>
    <x v="79"/>
    <n v="26911"/>
    <x v="2"/>
  </r>
  <r>
    <x v="79"/>
    <n v="14877"/>
    <x v="0"/>
  </r>
  <r>
    <x v="80"/>
    <n v="51984"/>
    <x v="1"/>
  </r>
  <r>
    <x v="80"/>
    <n v="37843"/>
    <x v="2"/>
  </r>
  <r>
    <x v="80"/>
    <n v="13702"/>
    <x v="0"/>
  </r>
  <r>
    <x v="81"/>
    <n v="44391"/>
    <x v="1"/>
  </r>
  <r>
    <x v="81"/>
    <n v="23418"/>
    <x v="2"/>
  </r>
  <r>
    <x v="81"/>
    <n v="11344"/>
    <x v="0"/>
  </r>
  <r>
    <x v="82"/>
    <n v="66015"/>
    <x v="1"/>
  </r>
  <r>
    <x v="82"/>
    <n v="34325"/>
    <x v="2"/>
  </r>
  <r>
    <x v="82"/>
    <n v="12699"/>
    <x v="0"/>
  </r>
  <r>
    <x v="83"/>
    <n v="95074"/>
    <x v="1"/>
  </r>
  <r>
    <x v="83"/>
    <n v="46278"/>
    <x v="2"/>
  </r>
  <r>
    <x v="83"/>
    <n v="21038"/>
    <x v="0"/>
  </r>
  <r>
    <x v="84"/>
    <n v="41588"/>
    <x v="1"/>
  </r>
  <r>
    <x v="84"/>
    <n v="16571"/>
    <x v="2"/>
  </r>
  <r>
    <x v="84"/>
    <n v="8801"/>
    <x v="0"/>
  </r>
  <r>
    <x v="85"/>
    <n v="73417"/>
    <x v="1"/>
  </r>
  <r>
    <x v="85"/>
    <n v="25177"/>
    <x v="2"/>
  </r>
  <r>
    <x v="85"/>
    <n v="15956"/>
    <x v="0"/>
  </r>
  <r>
    <x v="86"/>
    <n v="67911"/>
    <x v="1"/>
  </r>
  <r>
    <x v="86"/>
    <n v="25580"/>
    <x v="2"/>
  </r>
  <r>
    <x v="86"/>
    <n v="14922"/>
    <x v="0"/>
  </r>
  <r>
    <x v="87"/>
    <n v="82614"/>
    <x v="1"/>
  </r>
  <r>
    <x v="87"/>
    <n v="28914"/>
    <x v="2"/>
  </r>
  <r>
    <x v="87"/>
    <n v="16099"/>
    <x v="0"/>
  </r>
  <r>
    <x v="88"/>
    <n v="75037"/>
    <x v="1"/>
  </r>
  <r>
    <x v="88"/>
    <n v="35275"/>
    <x v="2"/>
  </r>
  <r>
    <x v="88"/>
    <n v="16803"/>
    <x v="0"/>
  </r>
  <r>
    <x v="89"/>
    <n v="55021"/>
    <x v="1"/>
  </r>
  <r>
    <x v="89"/>
    <n v="34586"/>
    <x v="2"/>
  </r>
  <r>
    <x v="89"/>
    <n v="15227"/>
    <x v="0"/>
  </r>
  <r>
    <x v="90"/>
    <n v="66427"/>
    <x v="1"/>
  </r>
  <r>
    <x v="90"/>
    <n v="44700"/>
    <x v="2"/>
  </r>
  <r>
    <x v="90"/>
    <n v="14816"/>
    <x v="0"/>
  </r>
  <r>
    <x v="91"/>
    <n v="51039"/>
    <x v="1"/>
  </r>
  <r>
    <x v="91"/>
    <n v="39068"/>
    <x v="2"/>
  </r>
  <r>
    <x v="91"/>
    <n v="11331"/>
    <x v="0"/>
  </r>
  <r>
    <x v="92"/>
    <n v="46731"/>
    <x v="1"/>
  </r>
  <r>
    <x v="92"/>
    <n v="47444"/>
    <x v="2"/>
  </r>
  <r>
    <x v="92"/>
    <n v="9920"/>
    <x v="0"/>
  </r>
  <r>
    <x v="93"/>
    <n v="30127"/>
    <x v="1"/>
  </r>
  <r>
    <x v="93"/>
    <n v="35267"/>
    <x v="2"/>
  </r>
  <r>
    <x v="93"/>
    <n v="8504"/>
    <x v="0"/>
  </r>
  <r>
    <x v="94"/>
    <n v="22632"/>
    <x v="1"/>
  </r>
  <r>
    <x v="94"/>
    <n v="33777"/>
    <x v="2"/>
  </r>
  <r>
    <x v="94"/>
    <n v="7408"/>
    <x v="0"/>
  </r>
  <r>
    <x v="95"/>
    <n v="24532"/>
    <x v="1"/>
  </r>
  <r>
    <x v="95"/>
    <n v="40694"/>
    <x v="2"/>
  </r>
  <r>
    <x v="95"/>
    <n v="6199"/>
    <x v="0"/>
  </r>
  <r>
    <x v="96"/>
    <n v="25298"/>
    <x v="1"/>
  </r>
  <r>
    <x v="96"/>
    <n v="40788"/>
    <x v="2"/>
  </r>
  <r>
    <x v="96"/>
    <n v="3859"/>
    <x v="0"/>
  </r>
  <r>
    <x v="97"/>
    <n v="23301"/>
    <x v="1"/>
  </r>
  <r>
    <x v="97"/>
    <n v="32552"/>
    <x v="2"/>
  </r>
  <r>
    <x v="97"/>
    <n v="5345"/>
    <x v="0"/>
  </r>
  <r>
    <x v="98"/>
    <n v="21236"/>
    <x v="1"/>
  </r>
  <r>
    <x v="98"/>
    <n v="32575"/>
    <x v="2"/>
  </r>
  <r>
    <x v="98"/>
    <n v="4712"/>
    <x v="0"/>
  </r>
  <r>
    <x v="99"/>
    <n v="15910"/>
    <x v="1"/>
  </r>
  <r>
    <x v="99"/>
    <n v="25292"/>
    <x v="2"/>
  </r>
  <r>
    <x v="99"/>
    <n v="3157"/>
    <x v="0"/>
  </r>
  <r>
    <x v="100"/>
    <n v="18649"/>
    <x v="1"/>
  </r>
  <r>
    <x v="100"/>
    <n v="33556"/>
    <x v="2"/>
  </r>
  <r>
    <x v="100"/>
    <n v="3338"/>
    <x v="0"/>
  </r>
  <r>
    <x v="101"/>
    <n v="18072"/>
    <x v="1"/>
  </r>
  <r>
    <x v="101"/>
    <n v="36971"/>
    <x v="2"/>
  </r>
  <r>
    <x v="101"/>
    <n v="2957"/>
    <x v="0"/>
  </r>
  <r>
    <x v="102"/>
    <n v="19550"/>
    <x v="1"/>
  </r>
  <r>
    <x v="102"/>
    <n v="44546"/>
    <x v="2"/>
  </r>
  <r>
    <x v="102"/>
    <n v="3084"/>
    <x v="0"/>
  </r>
  <r>
    <x v="103"/>
    <n v="19246"/>
    <x v="1"/>
  </r>
  <r>
    <x v="103"/>
    <n v="47158"/>
    <x v="2"/>
  </r>
  <r>
    <x v="103"/>
    <n v="2342"/>
    <x v="0"/>
  </r>
  <r>
    <x v="104"/>
    <n v="34153"/>
    <x v="1"/>
  </r>
  <r>
    <x v="104"/>
    <n v="58661"/>
    <x v="2"/>
  </r>
  <r>
    <x v="104"/>
    <n v="2219"/>
    <x v="0"/>
  </r>
  <r>
    <x v="105"/>
    <n v="27138"/>
    <x v="1"/>
  </r>
  <r>
    <x v="105"/>
    <n v="53474"/>
    <x v="2"/>
  </r>
  <r>
    <x v="105"/>
    <n v="2631"/>
    <x v="0"/>
  </r>
  <r>
    <x v="106"/>
    <n v="28527"/>
    <x v="1"/>
  </r>
  <r>
    <x v="106"/>
    <n v="52441"/>
    <x v="2"/>
  </r>
  <r>
    <x v="106"/>
    <n v="2568"/>
    <x v="0"/>
  </r>
  <r>
    <x v="107"/>
    <n v="27618"/>
    <x v="1"/>
  </r>
  <r>
    <x v="107"/>
    <n v="48167"/>
    <x v="2"/>
  </r>
  <r>
    <x v="107"/>
    <n v="2198"/>
    <x v="0"/>
  </r>
  <r>
    <x v="108"/>
    <n v="29951"/>
    <x v="1"/>
  </r>
  <r>
    <x v="108"/>
    <n v="37180"/>
    <x v="2"/>
  </r>
  <r>
    <x v="108"/>
    <n v="2266"/>
    <x v="0"/>
  </r>
  <r>
    <x v="109"/>
    <n v="30559"/>
    <x v="1"/>
  </r>
  <r>
    <x v="109"/>
    <n v="37274"/>
    <x v="2"/>
  </r>
  <r>
    <x v="109"/>
    <n v="1926"/>
    <x v="0"/>
  </r>
  <r>
    <x v="110"/>
    <n v="53289"/>
    <x v="1"/>
  </r>
  <r>
    <x v="110"/>
    <n v="41840"/>
    <x v="2"/>
  </r>
  <r>
    <x v="110"/>
    <n v="2211"/>
    <x v="0"/>
  </r>
  <r>
    <x v="111"/>
    <n v="43003"/>
    <x v="1"/>
  </r>
  <r>
    <x v="111"/>
    <n v="29926"/>
    <x v="2"/>
  </r>
  <r>
    <x v="111"/>
    <n v="1947"/>
    <x v="0"/>
  </r>
  <r>
    <x v="112"/>
    <n v="54294"/>
    <x v="1"/>
  </r>
  <r>
    <x v="112"/>
    <n v="40194"/>
    <x v="2"/>
  </r>
  <r>
    <x v="112"/>
    <n v="2099"/>
    <x v="0"/>
  </r>
  <r>
    <x v="113"/>
    <n v="49112"/>
    <x v="1"/>
  </r>
  <r>
    <x v="113"/>
    <n v="45666"/>
    <x v="2"/>
  </r>
  <r>
    <x v="113"/>
    <n v="2013"/>
    <x v="0"/>
  </r>
  <r>
    <x v="114"/>
    <n v="51430"/>
    <x v="1"/>
  </r>
  <r>
    <x v="114"/>
    <n v="53369"/>
    <x v="2"/>
  </r>
  <r>
    <x v="114"/>
    <n v="1859"/>
    <x v="0"/>
  </r>
  <r>
    <x v="115"/>
    <n v="43435"/>
    <x v="1"/>
  </r>
  <r>
    <x v="115"/>
    <n v="58490"/>
    <x v="2"/>
  </r>
  <r>
    <x v="115"/>
    <n v="1686"/>
    <x v="0"/>
  </r>
  <r>
    <x v="116"/>
    <n v="34021"/>
    <x v="1"/>
  </r>
  <r>
    <x v="116"/>
    <n v="50580"/>
    <x v="2"/>
  </r>
  <r>
    <x v="116"/>
    <n v="1399"/>
    <x v="0"/>
  </r>
  <r>
    <x v="117"/>
    <n v="29633"/>
    <x v="1"/>
  </r>
  <r>
    <x v="117"/>
    <n v="62040"/>
    <x v="2"/>
  </r>
  <r>
    <x v="117"/>
    <n v="1669"/>
    <x v="0"/>
  </r>
  <r>
    <x v="118"/>
    <n v="32151"/>
    <x v="1"/>
  </r>
  <r>
    <x v="118"/>
    <n v="56968"/>
    <x v="2"/>
  </r>
  <r>
    <x v="118"/>
    <n v="1726"/>
    <x v="0"/>
  </r>
  <r>
    <x v="119"/>
    <n v="1395"/>
    <x v="0"/>
  </r>
  <r>
    <x v="119"/>
    <n v="45390"/>
    <x v="2"/>
  </r>
  <r>
    <x v="119"/>
    <n v="32016"/>
    <x v="1"/>
  </r>
  <r>
    <x v="120"/>
    <n v="1188"/>
    <x v="0"/>
  </r>
  <r>
    <x v="120"/>
    <n v="41614"/>
    <x v="2"/>
  </r>
  <r>
    <x v="120"/>
    <n v="31162"/>
    <x v="1"/>
  </r>
  <r>
    <x v="121"/>
    <n v="20137"/>
    <x v="1"/>
  </r>
  <r>
    <x v="121"/>
    <n v="722"/>
    <x v="0"/>
  </r>
  <r>
    <x v="121"/>
    <n v="28453"/>
    <x v="2"/>
  </r>
  <r>
    <x v="122"/>
    <m/>
    <x v="3"/>
  </r>
  <r>
    <x v="122"/>
    <m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52">
  <r>
    <x v="0"/>
    <n v="1751"/>
    <x v="0"/>
  </r>
  <r>
    <x v="0"/>
    <n v="226"/>
    <x v="1"/>
  </r>
  <r>
    <x v="1"/>
    <n v="237"/>
    <x v="1"/>
  </r>
  <r>
    <x v="1"/>
    <n v="1713"/>
    <x v="0"/>
  </r>
  <r>
    <x v="2"/>
    <n v="1379"/>
    <x v="0"/>
  </r>
  <r>
    <x v="2"/>
    <n v="165"/>
    <x v="1"/>
  </r>
  <r>
    <x v="3"/>
    <n v="248"/>
    <x v="1"/>
  </r>
  <r>
    <x v="3"/>
    <n v="1406"/>
    <x v="0"/>
  </r>
  <r>
    <x v="4"/>
    <n v="357"/>
    <x v="1"/>
  </r>
  <r>
    <x v="4"/>
    <n v="1954"/>
    <x v="0"/>
  </r>
  <r>
    <x v="5"/>
    <n v="256"/>
    <x v="1"/>
  </r>
  <r>
    <x v="5"/>
    <n v="2080"/>
    <x v="0"/>
  </r>
  <r>
    <x v="6"/>
    <n v="314"/>
    <x v="1"/>
  </r>
  <r>
    <x v="6"/>
    <n v="2676"/>
    <x v="0"/>
  </r>
  <r>
    <x v="7"/>
    <n v="372"/>
    <x v="1"/>
  </r>
  <r>
    <x v="7"/>
    <n v="3211"/>
    <x v="0"/>
  </r>
  <r>
    <x v="8"/>
    <n v="4048"/>
    <x v="0"/>
  </r>
  <r>
    <x v="8"/>
    <n v="617"/>
    <x v="1"/>
  </r>
  <r>
    <x v="9"/>
    <n v="996"/>
    <x v="1"/>
  </r>
  <r>
    <x v="9"/>
    <n v="7481"/>
    <x v="0"/>
  </r>
  <r>
    <x v="10"/>
    <n v="15991"/>
    <x v="0"/>
  </r>
  <r>
    <x v="10"/>
    <n v="2199"/>
    <x v="1"/>
  </r>
  <r>
    <x v="11"/>
    <n v="9660"/>
    <x v="1"/>
  </r>
  <r>
    <x v="11"/>
    <n v="58394"/>
    <x v="0"/>
  </r>
  <r>
    <x v="12"/>
    <n v="96347"/>
    <x v="0"/>
  </r>
  <r>
    <x v="12"/>
    <n v="14686"/>
    <x v="1"/>
  </r>
  <r>
    <x v="13"/>
    <n v="93070"/>
    <x v="0"/>
  </r>
  <r>
    <x v="13"/>
    <n v="13545"/>
    <x v="1"/>
  </r>
  <r>
    <x v="14"/>
    <n v="77021"/>
    <x v="0"/>
  </r>
  <r>
    <x v="14"/>
    <n v="12671"/>
    <x v="1"/>
  </r>
  <r>
    <x v="15"/>
    <n v="86488"/>
    <x v="0"/>
  </r>
  <r>
    <x v="15"/>
    <n v="13588"/>
    <x v="1"/>
  </r>
  <r>
    <x v="16"/>
    <n v="99743"/>
    <x v="0"/>
  </r>
  <r>
    <x v="16"/>
    <n v="13902"/>
    <x v="1"/>
  </r>
  <r>
    <x v="17"/>
    <n v="12297"/>
    <x v="1"/>
  </r>
  <r>
    <x v="17"/>
    <n v="94688"/>
    <x v="0"/>
  </r>
  <r>
    <x v="18"/>
    <n v="102712"/>
    <x v="0"/>
  </r>
  <r>
    <x v="18"/>
    <n v="11912"/>
    <x v="1"/>
  </r>
  <r>
    <x v="19"/>
    <n v="111389"/>
    <x v="0"/>
  </r>
  <r>
    <x v="19"/>
    <n v="11212"/>
    <x v="1"/>
  </r>
  <r>
    <x v="20"/>
    <n v="101464"/>
    <x v="0"/>
  </r>
  <r>
    <x v="20"/>
    <n v="10662"/>
    <x v="1"/>
  </r>
  <r>
    <x v="21"/>
    <n v="102383"/>
    <x v="0"/>
  </r>
  <r>
    <x v="21"/>
    <n v="11537"/>
    <x v="1"/>
  </r>
  <r>
    <x v="22"/>
    <n v="12948"/>
    <x v="1"/>
  </r>
  <r>
    <x v="22"/>
    <n v="96093"/>
    <x v="0"/>
  </r>
  <r>
    <x v="23"/>
    <n v="107332"/>
    <x v="0"/>
  </r>
  <r>
    <x v="23"/>
    <n v="17880"/>
    <x v="1"/>
  </r>
  <r>
    <x v="24"/>
    <n v="17232"/>
    <x v="1"/>
  </r>
  <r>
    <x v="24"/>
    <n v="98456"/>
    <x v="0"/>
  </r>
  <r>
    <x v="25"/>
    <n v="21209"/>
    <x v="1"/>
  </r>
  <r>
    <x v="25"/>
    <n v="99305"/>
    <x v="0"/>
  </r>
  <r>
    <x v="26"/>
    <n v="86895"/>
    <x v="0"/>
  </r>
  <r>
    <x v="26"/>
    <n v="20923"/>
    <x v="1"/>
  </r>
  <r>
    <x v="27"/>
    <n v="18017"/>
    <x v="1"/>
  </r>
  <r>
    <x v="27"/>
    <n v="93294"/>
    <x v="0"/>
  </r>
  <r>
    <x v="28"/>
    <n v="118081"/>
    <x v="0"/>
  </r>
  <r>
    <x v="28"/>
    <n v="22875"/>
    <x v="1"/>
  </r>
  <r>
    <x v="29"/>
    <n v="122699"/>
    <x v="0"/>
  </r>
  <r>
    <x v="29"/>
    <n v="24801"/>
    <x v="1"/>
  </r>
  <r>
    <x v="30"/>
    <n v="21810"/>
    <x v="1"/>
  </r>
  <r>
    <x v="30"/>
    <n v="125488"/>
    <x v="0"/>
  </r>
  <r>
    <x v="31"/>
    <n v="118350"/>
    <x v="0"/>
  </r>
  <r>
    <x v="31"/>
    <n v="17435"/>
    <x v="1"/>
  </r>
  <r>
    <x v="32"/>
    <n v="113663"/>
    <x v="0"/>
  </r>
  <r>
    <x v="32"/>
    <n v="15467"/>
    <x v="1"/>
  </r>
  <r>
    <x v="33"/>
    <n v="110255"/>
    <x v="0"/>
  </r>
  <r>
    <x v="33"/>
    <n v="15255"/>
    <x v="1"/>
  </r>
  <r>
    <x v="34"/>
    <n v="99633"/>
    <x v="0"/>
  </r>
  <r>
    <x v="34"/>
    <n v="18097"/>
    <x v="1"/>
  </r>
  <r>
    <x v="35"/>
    <n v="101090"/>
    <x v="0"/>
  </r>
  <r>
    <x v="35"/>
    <n v="21973"/>
    <x v="1"/>
  </r>
  <r>
    <x v="36"/>
    <n v="88196"/>
    <x v="0"/>
  </r>
  <r>
    <x v="36"/>
    <n v="20897"/>
    <x v="1"/>
  </r>
  <r>
    <x v="37"/>
    <n v="30555"/>
    <x v="1"/>
  </r>
  <r>
    <x v="37"/>
    <n v="95942"/>
    <x v="0"/>
  </r>
  <r>
    <x v="38"/>
    <n v="78249"/>
    <x v="0"/>
  </r>
  <r>
    <x v="38"/>
    <n v="34268"/>
    <x v="1"/>
  </r>
  <r>
    <x v="39"/>
    <n v="60058"/>
    <x v="1"/>
  </r>
  <r>
    <x v="39"/>
    <n v="99187"/>
    <x v="0"/>
  </r>
  <r>
    <x v="40"/>
    <n v="102401"/>
    <x v="0"/>
  </r>
  <r>
    <x v="40"/>
    <n v="41596"/>
    <x v="1"/>
  </r>
  <r>
    <x v="41"/>
    <n v="38213"/>
    <x v="1"/>
  </r>
  <r>
    <x v="41"/>
    <n v="98365"/>
    <x v="0"/>
  </r>
  <r>
    <x v="42"/>
    <n v="81925"/>
    <x v="0"/>
  </r>
  <r>
    <x v="42"/>
    <n v="23471"/>
    <x v="1"/>
  </r>
  <r>
    <x v="43"/>
    <n v="80739"/>
    <x v="0"/>
  </r>
  <r>
    <x v="43"/>
    <n v="17448"/>
    <x v="1"/>
  </r>
  <r>
    <x v="44"/>
    <n v="11582"/>
    <x v="1"/>
  </r>
  <r>
    <x v="44"/>
    <n v="67217"/>
    <x v="0"/>
  </r>
  <r>
    <x v="45"/>
    <n v="45117"/>
    <x v="0"/>
  </r>
  <r>
    <x v="45"/>
    <n v="7202"/>
    <x v="1"/>
  </r>
  <r>
    <x v="46"/>
    <n v="10585"/>
    <x v="1"/>
  </r>
  <r>
    <x v="46"/>
    <n v="50694"/>
    <x v="0"/>
  </r>
  <r>
    <x v="47"/>
    <n v="15821"/>
    <x v="1"/>
  </r>
  <r>
    <x v="47"/>
    <n v="52103"/>
    <x v="0"/>
  </r>
  <r>
    <x v="48"/>
    <n v="32448"/>
    <x v="0"/>
  </r>
  <r>
    <x v="48"/>
    <n v="7542"/>
    <x v="1"/>
  </r>
  <r>
    <x v="49"/>
    <n v="32323"/>
    <x v="1"/>
  </r>
  <r>
    <x v="49"/>
    <n v="52470"/>
    <x v="0"/>
  </r>
  <r>
    <x v="50"/>
    <n v="58125"/>
    <x v="0"/>
  </r>
  <r>
    <x v="50"/>
    <n v="81505"/>
    <x v="1"/>
  </r>
  <r>
    <x v="51"/>
    <n v="72314"/>
    <x v="0"/>
  </r>
  <r>
    <x v="51"/>
    <n v="104826"/>
    <x v="1"/>
  </r>
  <r>
    <x v="52"/>
    <n v="87478"/>
    <x v="0"/>
  </r>
  <r>
    <x v="52"/>
    <n v="108692"/>
    <x v="1"/>
  </r>
  <r>
    <x v="53"/>
    <n v="10383"/>
    <x v="2"/>
  </r>
  <r>
    <x v="53"/>
    <n v="94312"/>
    <x v="3"/>
  </r>
  <r>
    <x v="53"/>
    <n v="80976"/>
    <x v="0"/>
  </r>
  <r>
    <x v="54"/>
    <n v="82570"/>
    <x v="0"/>
  </r>
  <r>
    <x v="54"/>
    <n v="90531"/>
    <x v="3"/>
  </r>
  <r>
    <x v="54"/>
    <n v="16311"/>
    <x v="2"/>
  </r>
  <r>
    <x v="55"/>
    <n v="89410"/>
    <x v="0"/>
  </r>
  <r>
    <x v="55"/>
    <n v="71783"/>
    <x v="3"/>
  </r>
  <r>
    <x v="55"/>
    <n v="25480"/>
    <x v="2"/>
  </r>
  <r>
    <x v="56"/>
    <n v="22620"/>
    <x v="2"/>
  </r>
  <r>
    <x v="56"/>
    <n v="45076"/>
    <x v="3"/>
  </r>
  <r>
    <x v="56"/>
    <n v="83867"/>
    <x v="0"/>
  </r>
  <r>
    <x v="57"/>
    <n v="16406"/>
    <x v="2"/>
  </r>
  <r>
    <x v="57"/>
    <n v="24616"/>
    <x v="3"/>
  </r>
  <r>
    <x v="57"/>
    <n v="62931"/>
    <x v="0"/>
  </r>
  <r>
    <x v="58"/>
    <n v="13051"/>
    <x v="2"/>
  </r>
  <r>
    <x v="58"/>
    <n v="20958"/>
    <x v="3"/>
  </r>
  <r>
    <x v="58"/>
    <n v="58846"/>
    <x v="0"/>
  </r>
  <r>
    <x v="59"/>
    <n v="62802"/>
    <x v="0"/>
  </r>
  <r>
    <x v="59"/>
    <n v="26484"/>
    <x v="3"/>
  </r>
  <r>
    <x v="59"/>
    <n v="18179"/>
    <x v="2"/>
  </r>
  <r>
    <x v="60"/>
    <n v="60390"/>
    <x v="0"/>
  </r>
  <r>
    <x v="60"/>
    <n v="23590"/>
    <x v="2"/>
  </r>
  <r>
    <x v="60"/>
    <n v="27562"/>
    <x v="3"/>
  </r>
  <r>
    <x v="61"/>
    <n v="29806"/>
    <x v="3"/>
  </r>
  <r>
    <x v="61"/>
    <n v="54738"/>
    <x v="0"/>
  </r>
  <r>
    <x v="61"/>
    <n v="26564"/>
    <x v="2"/>
  </r>
  <r>
    <x v="62"/>
    <n v="24648"/>
    <x v="2"/>
  </r>
  <r>
    <x v="62"/>
    <n v="25134"/>
    <x v="3"/>
  </r>
  <r>
    <x v="62"/>
    <n v="43730"/>
    <x v="0"/>
  </r>
  <r>
    <x v="63"/>
    <n v="42612"/>
    <x v="0"/>
  </r>
  <r>
    <x v="63"/>
    <n v="17440"/>
    <x v="2"/>
  </r>
  <r>
    <x v="63"/>
    <n v="17800"/>
    <x v="3"/>
  </r>
  <r>
    <x v="64"/>
    <n v="21045"/>
    <x v="2"/>
  </r>
  <r>
    <x v="64"/>
    <n v="16829"/>
    <x v="3"/>
  </r>
  <r>
    <x v="64"/>
    <n v="46375"/>
    <x v="0"/>
  </r>
  <r>
    <x v="65"/>
    <n v="49599"/>
    <x v="0"/>
  </r>
  <r>
    <x v="65"/>
    <n v="19445"/>
    <x v="2"/>
  </r>
  <r>
    <x v="65"/>
    <n v="14699"/>
    <x v="3"/>
  </r>
  <r>
    <x v="66"/>
    <n v="15205"/>
    <x v="2"/>
  </r>
  <r>
    <x v="66"/>
    <n v="11907"/>
    <x v="3"/>
  </r>
  <r>
    <x v="66"/>
    <n v="51493"/>
    <x v="0"/>
  </r>
  <r>
    <x v="67"/>
    <n v="55048"/>
    <x v="0"/>
  </r>
  <r>
    <x v="67"/>
    <n v="21345"/>
    <x v="2"/>
  </r>
  <r>
    <x v="67"/>
    <n v="16456"/>
    <x v="3"/>
  </r>
  <r>
    <x v="68"/>
    <n v="28168"/>
    <x v="2"/>
  </r>
  <r>
    <x v="68"/>
    <n v="22322"/>
    <x v="3"/>
  </r>
  <r>
    <x v="68"/>
    <n v="40328"/>
    <x v="0"/>
  </r>
  <r>
    <x v="69"/>
    <n v="33340"/>
    <x v="2"/>
  </r>
  <r>
    <x v="69"/>
    <n v="30002"/>
    <x v="3"/>
  </r>
  <r>
    <x v="69"/>
    <n v="41549"/>
    <x v="0"/>
  </r>
  <r>
    <x v="70"/>
    <n v="37450"/>
    <x v="0"/>
  </r>
  <r>
    <x v="70"/>
    <n v="30869"/>
    <x v="3"/>
  </r>
  <r>
    <x v="70"/>
    <n v="38106"/>
    <x v="2"/>
  </r>
  <r>
    <x v="71"/>
    <n v="38964"/>
    <x v="0"/>
  </r>
  <r>
    <x v="71"/>
    <n v="43237"/>
    <x v="2"/>
  </r>
  <r>
    <x v="71"/>
    <n v="34888"/>
    <x v="3"/>
  </r>
  <r>
    <x v="72"/>
    <n v="33215"/>
    <x v="3"/>
  </r>
  <r>
    <x v="72"/>
    <n v="36931"/>
    <x v="0"/>
  </r>
  <r>
    <x v="72"/>
    <n v="44477"/>
    <x v="2"/>
  </r>
  <r>
    <x v="73"/>
    <n v="37322"/>
    <x v="2"/>
  </r>
  <r>
    <x v="73"/>
    <n v="30768"/>
    <x v="3"/>
  </r>
  <r>
    <x v="73"/>
    <n v="41383"/>
    <x v="0"/>
  </r>
  <r>
    <x v="74"/>
    <n v="32289"/>
    <x v="2"/>
  </r>
  <r>
    <x v="74"/>
    <n v="20081"/>
    <x v="3"/>
  </r>
  <r>
    <x v="74"/>
    <n v="32412"/>
    <x v="0"/>
  </r>
  <r>
    <x v="75"/>
    <n v="22609"/>
    <x v="0"/>
  </r>
  <r>
    <x v="75"/>
    <n v="10793"/>
    <x v="3"/>
  </r>
  <r>
    <x v="75"/>
    <n v="21224"/>
    <x v="2"/>
  </r>
  <r>
    <x v="76"/>
    <n v="29809"/>
    <x v="0"/>
  </r>
  <r>
    <x v="76"/>
    <n v="14491"/>
    <x v="2"/>
  </r>
  <r>
    <x v="76"/>
    <n v="9553"/>
    <x v="3"/>
  </r>
  <r>
    <x v="77"/>
    <n v="7592"/>
    <x v="3"/>
  </r>
  <r>
    <x v="77"/>
    <n v="30453"/>
    <x v="0"/>
  </r>
  <r>
    <x v="77"/>
    <n v="13261"/>
    <x v="2"/>
  </r>
  <r>
    <x v="78"/>
    <n v="11117"/>
    <x v="2"/>
  </r>
  <r>
    <x v="78"/>
    <n v="6380"/>
    <x v="3"/>
  </r>
  <r>
    <x v="78"/>
    <n v="31433"/>
    <x v="0"/>
  </r>
  <r>
    <x v="79"/>
    <n v="12492"/>
    <x v="2"/>
  </r>
  <r>
    <x v="79"/>
    <n v="8952"/>
    <x v="3"/>
  </r>
  <r>
    <x v="79"/>
    <n v="41640"/>
    <x v="0"/>
  </r>
  <r>
    <x v="80"/>
    <n v="37088"/>
    <x v="0"/>
  </r>
  <r>
    <x v="80"/>
    <n v="14123"/>
    <x v="2"/>
  </r>
  <r>
    <x v="80"/>
    <n v="9875"/>
    <x v="3"/>
  </r>
  <r>
    <x v="81"/>
    <n v="14084"/>
    <x v="2"/>
  </r>
  <r>
    <x v="81"/>
    <n v="11433"/>
    <x v="3"/>
  </r>
  <r>
    <x v="81"/>
    <n v="36313"/>
    <x v="0"/>
  </r>
  <r>
    <x v="82"/>
    <n v="32247"/>
    <x v="0"/>
  </r>
  <r>
    <x v="82"/>
    <n v="22206"/>
    <x v="3"/>
  </r>
  <r>
    <x v="82"/>
    <n v="17551"/>
    <x v="2"/>
  </r>
  <r>
    <x v="83"/>
    <n v="24462"/>
    <x v="0"/>
  </r>
  <r>
    <x v="83"/>
    <n v="21822"/>
    <x v="3"/>
  </r>
  <r>
    <x v="83"/>
    <n v="20154"/>
    <x v="2"/>
  </r>
  <r>
    <x v="84"/>
    <n v="25527"/>
    <x v="0"/>
  </r>
  <r>
    <x v="84"/>
    <n v="22762"/>
    <x v="3"/>
  </r>
  <r>
    <x v="84"/>
    <n v="21857"/>
    <x v="2"/>
  </r>
  <r>
    <x v="85"/>
    <n v="30765"/>
    <x v="0"/>
  </r>
  <r>
    <x v="85"/>
    <n v="25465"/>
    <x v="3"/>
  </r>
  <r>
    <x v="85"/>
    <n v="18923"/>
    <x v="2"/>
  </r>
  <r>
    <x v="86"/>
    <n v="21029"/>
    <x v="0"/>
  </r>
  <r>
    <x v="86"/>
    <n v="22392"/>
    <x v="3"/>
  </r>
  <r>
    <x v="86"/>
    <n v="20650"/>
    <x v="2"/>
  </r>
  <r>
    <x v="87"/>
    <n v="20238"/>
    <x v="0"/>
  </r>
  <r>
    <x v="87"/>
    <n v="22169"/>
    <x v="3"/>
  </r>
  <r>
    <x v="87"/>
    <n v="23750"/>
    <x v="2"/>
  </r>
  <r>
    <x v="88"/>
    <n v="22147"/>
    <x v="2"/>
  </r>
  <r>
    <x v="88"/>
    <n v="24408"/>
    <x v="0"/>
  </r>
  <r>
    <x v="88"/>
    <n v="21904"/>
    <x v="3"/>
  </r>
  <r>
    <x v="89"/>
    <n v="18591"/>
    <x v="3"/>
  </r>
  <r>
    <x v="89"/>
    <n v="32500"/>
    <x v="0"/>
  </r>
  <r>
    <x v="89"/>
    <n v="20132"/>
    <x v="2"/>
  </r>
  <r>
    <x v="90"/>
    <n v="40914"/>
    <x v="0"/>
  </r>
  <r>
    <x v="90"/>
    <n v="20169"/>
    <x v="3"/>
  </r>
  <r>
    <x v="90"/>
    <n v="20818"/>
    <x v="2"/>
  </r>
  <r>
    <x v="91"/>
    <n v="40188"/>
    <x v="0"/>
  </r>
  <r>
    <x v="91"/>
    <n v="20467"/>
    <x v="3"/>
  </r>
  <r>
    <x v="91"/>
    <n v="21157"/>
    <x v="2"/>
  </r>
  <r>
    <x v="92"/>
    <n v="43003"/>
    <x v="0"/>
  </r>
  <r>
    <x v="92"/>
    <n v="25359"/>
    <x v="3"/>
  </r>
  <r>
    <x v="92"/>
    <n v="23362"/>
    <x v="2"/>
  </r>
  <r>
    <x v="93"/>
    <n v="47014"/>
    <x v="0"/>
  </r>
  <r>
    <x v="93"/>
    <n v="33904"/>
    <x v="3"/>
  </r>
  <r>
    <x v="93"/>
    <n v="24936"/>
    <x v="2"/>
  </r>
  <r>
    <x v="94"/>
    <n v="49817"/>
    <x v="0"/>
  </r>
  <r>
    <x v="94"/>
    <n v="40037"/>
    <x v="3"/>
  </r>
  <r>
    <x v="94"/>
    <n v="26328"/>
    <x v="2"/>
  </r>
  <r>
    <x v="95"/>
    <n v="49997"/>
    <x v="0"/>
  </r>
  <r>
    <x v="95"/>
    <n v="40485"/>
    <x v="3"/>
  </r>
  <r>
    <x v="95"/>
    <n v="29752"/>
    <x v="2"/>
  </r>
  <r>
    <x v="96"/>
    <n v="39735"/>
    <x v="0"/>
  </r>
  <r>
    <x v="96"/>
    <n v="36497"/>
    <x v="3"/>
  </r>
  <r>
    <x v="96"/>
    <n v="26820"/>
    <x v="2"/>
  </r>
  <r>
    <x v="97"/>
    <n v="44263"/>
    <x v="0"/>
  </r>
  <r>
    <x v="97"/>
    <n v="41281"/>
    <x v="3"/>
  </r>
  <r>
    <x v="97"/>
    <n v="27439"/>
    <x v="2"/>
  </r>
  <r>
    <x v="98"/>
    <n v="42586"/>
    <x v="0"/>
  </r>
  <r>
    <x v="98"/>
    <n v="45862"/>
    <x v="3"/>
  </r>
  <r>
    <x v="98"/>
    <n v="29625"/>
    <x v="2"/>
  </r>
  <r>
    <x v="99"/>
    <n v="46377"/>
    <x v="0"/>
  </r>
  <r>
    <x v="99"/>
    <n v="40421"/>
    <x v="3"/>
  </r>
  <r>
    <x v="99"/>
    <n v="29886"/>
    <x v="2"/>
  </r>
  <r>
    <x v="100"/>
    <n v="47960"/>
    <x v="0"/>
  </r>
  <r>
    <x v="100"/>
    <n v="30711"/>
    <x v="3"/>
  </r>
  <r>
    <x v="100"/>
    <n v="30220"/>
    <x v="2"/>
  </r>
  <r>
    <x v="101"/>
    <n v="48520"/>
    <x v="0"/>
  </r>
  <r>
    <x v="101"/>
    <n v="26806"/>
    <x v="3"/>
  </r>
  <r>
    <x v="101"/>
    <n v="28244"/>
    <x v="2"/>
  </r>
  <r>
    <x v="102"/>
    <n v="62247"/>
    <x v="0"/>
  </r>
  <r>
    <x v="102"/>
    <n v="32722"/>
    <x v="3"/>
  </r>
  <r>
    <x v="102"/>
    <n v="26787"/>
    <x v="2"/>
  </r>
  <r>
    <x v="103"/>
    <n v="60521"/>
    <x v="0"/>
  </r>
  <r>
    <x v="103"/>
    <n v="23013"/>
    <x v="2"/>
  </r>
  <r>
    <x v="103"/>
    <n v="27485"/>
    <x v="3"/>
  </r>
  <r>
    <x v="104"/>
    <n v="19112"/>
    <x v="3"/>
  </r>
  <r>
    <x v="104"/>
    <n v="56082"/>
    <x v="0"/>
  </r>
  <r>
    <x v="104"/>
    <n v="20541"/>
    <x v="2"/>
  </r>
  <r>
    <x v="105"/>
    <n v="11604"/>
    <x v="3"/>
  </r>
  <r>
    <x v="105"/>
    <n v="15993"/>
    <x v="2"/>
  </r>
  <r>
    <x v="105"/>
    <n v="49157"/>
    <x v="0"/>
  </r>
  <r>
    <x v="106"/>
    <n v="12082"/>
    <x v="2"/>
  </r>
  <r>
    <x v="106"/>
    <n v="7900"/>
    <x v="3"/>
  </r>
  <r>
    <x v="106"/>
    <n v="41646"/>
    <x v="0"/>
  </r>
  <r>
    <x v="107"/>
    <n v="45669"/>
    <x v="0"/>
  </r>
  <r>
    <x v="107"/>
    <n v="10922"/>
    <x v="2"/>
  </r>
  <r>
    <x v="107"/>
    <n v="8033"/>
    <x v="3"/>
  </r>
  <r>
    <x v="108"/>
    <n v="9751"/>
    <x v="2"/>
  </r>
  <r>
    <x v="108"/>
    <n v="9674"/>
    <x v="3"/>
  </r>
  <r>
    <x v="108"/>
    <n v="45740"/>
    <x v="0"/>
  </r>
  <r>
    <x v="109"/>
    <n v="9770"/>
    <x v="3"/>
  </r>
  <r>
    <x v="109"/>
    <n v="48083"/>
    <x v="0"/>
  </r>
  <r>
    <x v="109"/>
    <n v="9671"/>
    <x v="2"/>
  </r>
  <r>
    <x v="110"/>
    <n v="6588"/>
    <x v="3"/>
  </r>
  <r>
    <x v="110"/>
    <n v="32180"/>
    <x v="0"/>
  </r>
  <r>
    <x v="110"/>
    <n v="8095"/>
    <x v="2"/>
  </r>
  <r>
    <x v="111"/>
    <n v="3315"/>
    <x v="2"/>
  </r>
  <r>
    <x v="111"/>
    <n v="9473"/>
    <x v="3"/>
  </r>
  <r>
    <x v="111"/>
    <n v="34462"/>
    <x v="0"/>
  </r>
  <r>
    <x v="112"/>
    <n v="3393"/>
    <x v="2"/>
  </r>
  <r>
    <x v="112"/>
    <n v="11593"/>
    <x v="3"/>
  </r>
  <r>
    <x v="112"/>
    <n v="46337"/>
    <x v="0"/>
  </r>
  <r>
    <x v="113"/>
    <n v="11234"/>
    <x v="3"/>
  </r>
  <r>
    <x v="113"/>
    <n v="3248"/>
    <x v="2"/>
  </r>
  <r>
    <x v="113"/>
    <n v="49505"/>
    <x v="0"/>
  </r>
  <r>
    <x v="114"/>
    <n v="2784"/>
    <x v="2"/>
  </r>
  <r>
    <x v="114"/>
    <n v="10540"/>
    <x v="3"/>
  </r>
  <r>
    <x v="114"/>
    <n v="55296"/>
    <x v="0"/>
  </r>
  <r>
    <x v="115"/>
    <n v="65987"/>
    <x v="0"/>
  </r>
  <r>
    <x v="115"/>
    <n v="2417"/>
    <x v="2"/>
  </r>
  <r>
    <x v="115"/>
    <n v="13459"/>
    <x v="3"/>
  </r>
  <r>
    <x v="116"/>
    <n v="2312"/>
    <x v="2"/>
  </r>
  <r>
    <x v="116"/>
    <n v="14181"/>
    <x v="3"/>
  </r>
  <r>
    <x v="116"/>
    <n v="67292"/>
    <x v="0"/>
  </r>
  <r>
    <x v="117"/>
    <n v="2380"/>
    <x v="2"/>
  </r>
  <r>
    <x v="117"/>
    <n v="14351"/>
    <x v="3"/>
  </r>
  <r>
    <x v="117"/>
    <n v="63700"/>
    <x v="0"/>
  </r>
  <r>
    <x v="118"/>
    <n v="15344"/>
    <x v="3"/>
  </r>
  <r>
    <x v="118"/>
    <n v="2381"/>
    <x v="2"/>
  </r>
  <r>
    <x v="118"/>
    <n v="59685"/>
    <x v="0"/>
  </r>
  <r>
    <x v="119"/>
    <n v="2277"/>
    <x v="2"/>
  </r>
  <r>
    <x v="119"/>
    <n v="15891"/>
    <x v="3"/>
  </r>
  <r>
    <x v="119"/>
    <n v="54341"/>
    <x v="0"/>
  </r>
  <r>
    <x v="120"/>
    <n v="47249"/>
    <x v="0"/>
  </r>
  <r>
    <x v="120"/>
    <n v="1975"/>
    <x v="2"/>
  </r>
  <r>
    <x v="120"/>
    <n v="19500"/>
    <x v="3"/>
  </r>
  <r>
    <x v="121"/>
    <n v="2128"/>
    <x v="2"/>
  </r>
  <r>
    <x v="121"/>
    <n v="18810"/>
    <x v="3"/>
  </r>
  <r>
    <x v="121"/>
    <n v="50077"/>
    <x v="0"/>
  </r>
  <r>
    <x v="122"/>
    <n v="22277"/>
    <x v="3"/>
  </r>
  <r>
    <x v="122"/>
    <n v="1852"/>
    <x v="2"/>
  </r>
  <r>
    <x v="122"/>
    <n v="39430"/>
    <x v="0"/>
  </r>
  <r>
    <x v="123"/>
    <n v="1910"/>
    <x v="2"/>
  </r>
  <r>
    <x v="123"/>
    <n v="33106"/>
    <x v="3"/>
  </r>
  <r>
    <x v="123"/>
    <n v="45765"/>
    <x v="0"/>
  </r>
  <r>
    <x v="124"/>
    <n v="63287"/>
    <x v="0"/>
  </r>
  <r>
    <x v="124"/>
    <n v="2169"/>
    <x v="2"/>
  </r>
  <r>
    <x v="124"/>
    <n v="37447"/>
    <x v="3"/>
  </r>
  <r>
    <x v="125"/>
    <n v="2004"/>
    <x v="2"/>
  </r>
  <r>
    <x v="125"/>
    <n v="28536"/>
    <x v="3"/>
  </r>
  <r>
    <x v="125"/>
    <n v="66830"/>
    <x v="0"/>
  </r>
  <r>
    <x v="126"/>
    <n v="1721"/>
    <x v="2"/>
  </r>
  <r>
    <x v="126"/>
    <n v="24520"/>
    <x v="3"/>
  </r>
  <r>
    <x v="126"/>
    <n v="70152"/>
    <x v="0"/>
  </r>
  <r>
    <x v="127"/>
    <n v="1641"/>
    <x v="2"/>
  </r>
  <r>
    <x v="127"/>
    <n v="19762"/>
    <x v="3"/>
  </r>
  <r>
    <x v="127"/>
    <n v="73089"/>
    <x v="0"/>
  </r>
  <r>
    <x v="128"/>
    <n v="1471"/>
    <x v="2"/>
  </r>
  <r>
    <x v="128"/>
    <n v="15711"/>
    <x v="3"/>
  </r>
  <r>
    <x v="128"/>
    <n v="71662"/>
    <x v="0"/>
  </r>
  <r>
    <x v="129"/>
    <n v="69102"/>
    <x v="0"/>
  </r>
  <r>
    <x v="129"/>
    <n v="1498"/>
    <x v="2"/>
  </r>
  <r>
    <x v="129"/>
    <n v="15047"/>
    <x v="3"/>
  </r>
  <r>
    <x v="130"/>
    <n v="16140"/>
    <x v="3"/>
  </r>
  <r>
    <x v="130"/>
    <n v="1452"/>
    <x v="2"/>
  </r>
  <r>
    <x v="130"/>
    <n v="65190"/>
    <x v="0"/>
  </r>
  <r>
    <x v="131"/>
    <n v="1357"/>
    <x v="2"/>
  </r>
  <r>
    <x v="131"/>
    <n v="17122"/>
    <x v="3"/>
  </r>
  <r>
    <x v="131"/>
    <n v="61618"/>
    <x v="0"/>
  </r>
  <r>
    <x v="132"/>
    <n v="43151"/>
    <x v="0"/>
  </r>
  <r>
    <x v="132"/>
    <n v="961"/>
    <x v="2"/>
  </r>
  <r>
    <x v="132"/>
    <n v="13678"/>
    <x v="3"/>
  </r>
  <r>
    <x v="133"/>
    <n v="434"/>
    <x v="2"/>
  </r>
  <r>
    <x v="133"/>
    <n v="5279"/>
    <x v="3"/>
  </r>
  <r>
    <x v="133"/>
    <n v="21694"/>
    <x v="0"/>
  </r>
  <r>
    <x v="134"/>
    <n v="1"/>
    <x v="2"/>
  </r>
  <r>
    <x v="134"/>
    <n v="15"/>
    <x v="3"/>
  </r>
  <r>
    <x v="134"/>
    <n v="26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368">
  <r>
    <x v="0"/>
    <n v="19296"/>
    <x v="0"/>
  </r>
  <r>
    <x v="0"/>
    <n v="18274"/>
    <x v="1"/>
  </r>
  <r>
    <x v="1"/>
    <n v="17818"/>
    <x v="1"/>
  </r>
  <r>
    <x v="1"/>
    <n v="19367"/>
    <x v="0"/>
  </r>
  <r>
    <x v="2"/>
    <n v="16217"/>
    <x v="0"/>
  </r>
  <r>
    <x v="2"/>
    <n v="14430"/>
    <x v="1"/>
  </r>
  <r>
    <x v="3"/>
    <n v="16447"/>
    <x v="1"/>
  </r>
  <r>
    <x v="3"/>
    <n v="18282"/>
    <x v="0"/>
  </r>
  <r>
    <x v="4"/>
    <n v="22945"/>
    <x v="0"/>
  </r>
  <r>
    <x v="4"/>
    <n v="21208"/>
    <x v="1"/>
  </r>
  <r>
    <x v="5"/>
    <n v="20814"/>
    <x v="1"/>
  </r>
  <r>
    <x v="5"/>
    <n v="17249"/>
    <x v="0"/>
  </r>
  <r>
    <x v="6"/>
    <n v="25422"/>
    <x v="1"/>
  </r>
  <r>
    <x v="6"/>
    <n v="20889"/>
    <x v="0"/>
  </r>
  <r>
    <x v="7"/>
    <n v="32384"/>
    <x v="1"/>
  </r>
  <r>
    <x v="7"/>
    <n v="27493"/>
    <x v="0"/>
  </r>
  <r>
    <x v="8"/>
    <n v="31231"/>
    <x v="0"/>
  </r>
  <r>
    <x v="8"/>
    <n v="29845"/>
    <x v="1"/>
  </r>
  <r>
    <x v="9"/>
    <n v="29919"/>
    <x v="1"/>
  </r>
  <r>
    <x v="9"/>
    <n v="30344"/>
    <x v="0"/>
  </r>
  <r>
    <x v="10"/>
    <n v="27266"/>
    <x v="0"/>
  </r>
  <r>
    <x v="10"/>
    <n v="25968"/>
    <x v="1"/>
  </r>
  <r>
    <x v="11"/>
    <n v="23032"/>
    <x v="1"/>
  </r>
  <r>
    <x v="11"/>
    <n v="26896"/>
    <x v="0"/>
  </r>
  <r>
    <x v="12"/>
    <n v="19087"/>
    <x v="1"/>
  </r>
  <r>
    <x v="12"/>
    <n v="20216"/>
    <x v="0"/>
  </r>
  <r>
    <x v="13"/>
    <n v="17037"/>
    <x v="1"/>
  </r>
  <r>
    <x v="13"/>
    <n v="16824"/>
    <x v="0"/>
  </r>
  <r>
    <x v="14"/>
    <n v="13255"/>
    <x v="1"/>
  </r>
  <r>
    <x v="14"/>
    <n v="14656"/>
    <x v="0"/>
  </r>
  <r>
    <x v="15"/>
    <n v="15658"/>
    <x v="1"/>
  </r>
  <r>
    <x v="15"/>
    <n v="16622"/>
    <x v="0"/>
  </r>
  <r>
    <x v="16"/>
    <n v="20502"/>
    <x v="1"/>
  </r>
  <r>
    <x v="16"/>
    <n v="19203"/>
    <x v="0"/>
  </r>
  <r>
    <x v="17"/>
    <n v="19385"/>
    <x v="1"/>
  </r>
  <r>
    <x v="17"/>
    <n v="16151"/>
    <x v="0"/>
  </r>
  <r>
    <x v="18"/>
    <n v="21324"/>
    <x v="1"/>
  </r>
  <r>
    <x v="18"/>
    <n v="15699"/>
    <x v="0"/>
  </r>
  <r>
    <x v="19"/>
    <n v="21062"/>
    <x v="1"/>
  </r>
  <r>
    <x v="19"/>
    <n v="13990"/>
    <x v="0"/>
  </r>
  <r>
    <x v="20"/>
    <n v="18244"/>
    <x v="1"/>
  </r>
  <r>
    <x v="20"/>
    <n v="12747"/>
    <x v="0"/>
  </r>
  <r>
    <x v="21"/>
    <n v="15647"/>
    <x v="0"/>
  </r>
  <r>
    <x v="21"/>
    <n v="21523"/>
    <x v="1"/>
  </r>
  <r>
    <x v="22"/>
    <n v="20834"/>
    <x v="1"/>
  </r>
  <r>
    <x v="22"/>
    <n v="16622"/>
    <x v="0"/>
  </r>
  <r>
    <x v="23"/>
    <n v="20654"/>
    <x v="0"/>
  </r>
  <r>
    <x v="23"/>
    <n v="21144"/>
    <x v="1"/>
  </r>
  <r>
    <x v="24"/>
    <n v="20779"/>
    <x v="1"/>
  </r>
  <r>
    <x v="24"/>
    <n v="19393"/>
    <x v="0"/>
  </r>
  <r>
    <x v="25"/>
    <n v="21525"/>
    <x v="1"/>
  </r>
  <r>
    <x v="25"/>
    <n v="22776"/>
    <x v="0"/>
  </r>
  <r>
    <x v="26"/>
    <n v="22740"/>
    <x v="0"/>
  </r>
  <r>
    <x v="26"/>
    <n v="18020"/>
    <x v="1"/>
  </r>
  <r>
    <x v="27"/>
    <n v="20586"/>
    <x v="0"/>
  </r>
  <r>
    <x v="27"/>
    <n v="18869"/>
    <x v="1"/>
  </r>
  <r>
    <x v="28"/>
    <n v="25028"/>
    <x v="0"/>
  </r>
  <r>
    <x v="28"/>
    <n v="25321"/>
    <x v="1"/>
  </r>
  <r>
    <x v="29"/>
    <n v="26551"/>
    <x v="0"/>
  </r>
  <r>
    <x v="29"/>
    <n v="27815"/>
    <x v="1"/>
  </r>
  <r>
    <x v="30"/>
    <n v="32290"/>
    <x v="1"/>
  </r>
  <r>
    <x v="30"/>
    <n v="26375"/>
    <x v="0"/>
  </r>
  <r>
    <x v="31"/>
    <n v="21015"/>
    <x v="0"/>
  </r>
  <r>
    <x v="31"/>
    <n v="29663"/>
    <x v="1"/>
  </r>
  <r>
    <x v="32"/>
    <n v="24698"/>
    <x v="1"/>
  </r>
  <r>
    <x v="32"/>
    <n v="16987"/>
    <x v="0"/>
  </r>
  <r>
    <x v="33"/>
    <n v="24976"/>
    <x v="1"/>
  </r>
  <r>
    <x v="33"/>
    <n v="18729"/>
    <x v="0"/>
  </r>
  <r>
    <x v="34"/>
    <n v="20447"/>
    <x v="0"/>
  </r>
  <r>
    <x v="34"/>
    <n v="22959"/>
    <x v="1"/>
  </r>
  <r>
    <x v="35"/>
    <n v="25043"/>
    <x v="1"/>
  </r>
  <r>
    <x v="35"/>
    <n v="25996"/>
    <x v="0"/>
  </r>
  <r>
    <x v="36"/>
    <n v="25319"/>
    <x v="0"/>
  </r>
  <r>
    <x v="36"/>
    <n v="24510"/>
    <x v="1"/>
  </r>
  <r>
    <x v="37"/>
    <n v="27711"/>
    <x v="0"/>
  </r>
  <r>
    <x v="37"/>
    <n v="23884"/>
    <x v="1"/>
  </r>
  <r>
    <x v="38"/>
    <n v="20975"/>
    <x v="1"/>
  </r>
  <r>
    <x v="38"/>
    <n v="31314"/>
    <x v="0"/>
  </r>
  <r>
    <x v="39"/>
    <n v="22787"/>
    <x v="1"/>
  </r>
  <r>
    <x v="39"/>
    <n v="42764"/>
    <x v="0"/>
  </r>
  <r>
    <x v="40"/>
    <n v="21383"/>
    <x v="1"/>
  </r>
  <r>
    <x v="40"/>
    <n v="31567"/>
    <x v="0"/>
  </r>
  <r>
    <x v="41"/>
    <n v="29505"/>
    <x v="0"/>
  </r>
  <r>
    <x v="41"/>
    <n v="22525"/>
    <x v="1"/>
  </r>
  <r>
    <x v="42"/>
    <n v="23075"/>
    <x v="1"/>
  </r>
  <r>
    <x v="42"/>
    <n v="22067"/>
    <x v="0"/>
  </r>
  <r>
    <x v="43"/>
    <n v="15491"/>
    <x v="0"/>
  </r>
  <r>
    <x v="43"/>
    <n v="19612"/>
    <x v="1"/>
  </r>
  <r>
    <x v="44"/>
    <n v="10494"/>
    <x v="0"/>
  </r>
  <r>
    <x v="44"/>
    <n v="15980"/>
    <x v="1"/>
  </r>
  <r>
    <x v="45"/>
    <n v="8915"/>
    <x v="0"/>
  </r>
  <r>
    <x v="45"/>
    <n v="14635"/>
    <x v="1"/>
  </r>
  <r>
    <x v="46"/>
    <n v="14115"/>
    <x v="1"/>
  </r>
  <r>
    <x v="46"/>
    <n v="9826"/>
    <x v="0"/>
  </r>
  <r>
    <x v="47"/>
    <n v="15394"/>
    <x v="1"/>
  </r>
  <r>
    <x v="47"/>
    <n v="12743"/>
    <x v="0"/>
  </r>
  <r>
    <x v="48"/>
    <n v="9484"/>
    <x v="0"/>
  </r>
  <r>
    <x v="48"/>
    <n v="11771"/>
    <x v="1"/>
  </r>
  <r>
    <x v="49"/>
    <n v="15596"/>
    <x v="1"/>
  </r>
  <r>
    <x v="49"/>
    <n v="20177"/>
    <x v="0"/>
  </r>
  <r>
    <x v="50"/>
    <n v="66165"/>
    <x v="0"/>
  </r>
  <r>
    <x v="50"/>
    <n v="17183"/>
    <x v="1"/>
  </r>
  <r>
    <x v="51"/>
    <n v="81476"/>
    <x v="0"/>
  </r>
  <r>
    <x v="51"/>
    <n v="19205"/>
    <x v="1"/>
  </r>
  <r>
    <x v="52"/>
    <n v="84588"/>
    <x v="0"/>
  </r>
  <r>
    <x v="52"/>
    <n v="22244"/>
    <x v="1"/>
  </r>
  <r>
    <x v="53"/>
    <n v="81756"/>
    <x v="2"/>
  </r>
  <r>
    <x v="53"/>
    <n v="27796"/>
    <x v="1"/>
  </r>
  <r>
    <x v="53"/>
    <n v="22119"/>
    <x v="3"/>
  </r>
  <r>
    <x v="54"/>
    <n v="98694"/>
    <x v="2"/>
  </r>
  <r>
    <x v="54"/>
    <n v="35162"/>
    <x v="1"/>
  </r>
  <r>
    <x v="54"/>
    <n v="39349"/>
    <x v="3"/>
  </r>
  <r>
    <x v="55"/>
    <n v="79985"/>
    <x v="2"/>
  </r>
  <r>
    <x v="55"/>
    <n v="41471"/>
    <x v="3"/>
  </r>
  <r>
    <x v="55"/>
    <n v="33907"/>
    <x v="1"/>
  </r>
  <r>
    <x v="56"/>
    <n v="25673"/>
    <x v="1"/>
  </r>
  <r>
    <x v="56"/>
    <n v="49944"/>
    <x v="2"/>
  </r>
  <r>
    <x v="56"/>
    <n v="30038"/>
    <x v="3"/>
  </r>
  <r>
    <x v="57"/>
    <n v="25546"/>
    <x v="1"/>
  </r>
  <r>
    <x v="57"/>
    <n v="21784"/>
    <x v="3"/>
  </r>
  <r>
    <x v="57"/>
    <n v="32936"/>
    <x v="2"/>
  </r>
  <r>
    <x v="58"/>
    <n v="24426"/>
    <x v="1"/>
  </r>
  <r>
    <x v="58"/>
    <n v="25969"/>
    <x v="2"/>
  </r>
  <r>
    <x v="58"/>
    <n v="18281"/>
    <x v="3"/>
  </r>
  <r>
    <x v="59"/>
    <n v="20048"/>
    <x v="3"/>
  </r>
  <r>
    <x v="59"/>
    <n v="26861"/>
    <x v="1"/>
  </r>
  <r>
    <x v="59"/>
    <n v="26137"/>
    <x v="2"/>
  </r>
  <r>
    <x v="60"/>
    <n v="27335"/>
    <x v="2"/>
  </r>
  <r>
    <x v="60"/>
    <n v="22598"/>
    <x v="3"/>
  </r>
  <r>
    <x v="60"/>
    <n v="27023"/>
    <x v="1"/>
  </r>
  <r>
    <x v="61"/>
    <n v="31066"/>
    <x v="2"/>
  </r>
  <r>
    <x v="61"/>
    <n v="26006"/>
    <x v="3"/>
  </r>
  <r>
    <x v="61"/>
    <n v="24131"/>
    <x v="1"/>
  </r>
  <r>
    <x v="62"/>
    <n v="15542"/>
    <x v="1"/>
  </r>
  <r>
    <x v="62"/>
    <n v="24778"/>
    <x v="3"/>
  </r>
  <r>
    <x v="62"/>
    <n v="24996"/>
    <x v="2"/>
  </r>
  <r>
    <x v="63"/>
    <n v="15025"/>
    <x v="1"/>
  </r>
  <r>
    <x v="63"/>
    <n v="16955"/>
    <x v="2"/>
  </r>
  <r>
    <x v="63"/>
    <n v="19537"/>
    <x v="3"/>
  </r>
  <r>
    <x v="64"/>
    <n v="23581"/>
    <x v="3"/>
  </r>
  <r>
    <x v="64"/>
    <n v="24751"/>
    <x v="1"/>
  </r>
  <r>
    <x v="64"/>
    <n v="23261"/>
    <x v="2"/>
  </r>
  <r>
    <x v="65"/>
    <n v="19774"/>
    <x v="2"/>
  </r>
  <r>
    <x v="65"/>
    <n v="21651"/>
    <x v="3"/>
  </r>
  <r>
    <x v="65"/>
    <n v="26297"/>
    <x v="1"/>
  </r>
  <r>
    <x v="66"/>
    <n v="16373"/>
    <x v="2"/>
  </r>
  <r>
    <x v="66"/>
    <n v="17093"/>
    <x v="3"/>
  </r>
  <r>
    <x v="66"/>
    <n v="29344"/>
    <x v="1"/>
  </r>
  <r>
    <x v="67"/>
    <n v="36104"/>
    <x v="1"/>
  </r>
  <r>
    <x v="67"/>
    <n v="19377"/>
    <x v="3"/>
  </r>
  <r>
    <x v="67"/>
    <n v="22123"/>
    <x v="2"/>
  </r>
  <r>
    <x v="68"/>
    <n v="28611"/>
    <x v="1"/>
  </r>
  <r>
    <x v="68"/>
    <n v="34966"/>
    <x v="2"/>
  </r>
  <r>
    <x v="68"/>
    <n v="25614"/>
    <x v="3"/>
  </r>
  <r>
    <x v="69"/>
    <n v="35899"/>
    <x v="3"/>
  </r>
  <r>
    <x v="69"/>
    <n v="34726"/>
    <x v="1"/>
  </r>
  <r>
    <x v="69"/>
    <n v="54825"/>
    <x v="2"/>
  </r>
  <r>
    <x v="70"/>
    <n v="65313"/>
    <x v="2"/>
  </r>
  <r>
    <x v="70"/>
    <n v="39955"/>
    <x v="3"/>
  </r>
  <r>
    <x v="70"/>
    <n v="34796"/>
    <x v="1"/>
  </r>
  <r>
    <x v="71"/>
    <n v="32088"/>
    <x v="1"/>
  </r>
  <r>
    <x v="71"/>
    <n v="43745"/>
    <x v="3"/>
  </r>
  <r>
    <x v="71"/>
    <n v="68437"/>
    <x v="2"/>
  </r>
  <r>
    <x v="72"/>
    <n v="31798"/>
    <x v="1"/>
  </r>
  <r>
    <x v="72"/>
    <n v="44688"/>
    <x v="3"/>
  </r>
  <r>
    <x v="72"/>
    <n v="71391"/>
    <x v="2"/>
  </r>
  <r>
    <x v="73"/>
    <n v="61672"/>
    <x v="2"/>
  </r>
  <r>
    <x v="73"/>
    <n v="43163"/>
    <x v="3"/>
  </r>
  <r>
    <x v="73"/>
    <n v="32165"/>
    <x v="1"/>
  </r>
  <r>
    <x v="74"/>
    <n v="39380"/>
    <x v="2"/>
  </r>
  <r>
    <x v="74"/>
    <n v="37615"/>
    <x v="3"/>
  </r>
  <r>
    <x v="74"/>
    <n v="20587"/>
    <x v="1"/>
  </r>
  <r>
    <x v="75"/>
    <n v="28893"/>
    <x v="2"/>
  </r>
  <r>
    <x v="75"/>
    <n v="30023"/>
    <x v="3"/>
  </r>
  <r>
    <x v="75"/>
    <n v="22676"/>
    <x v="1"/>
  </r>
  <r>
    <x v="76"/>
    <n v="27054"/>
    <x v="1"/>
  </r>
  <r>
    <x v="76"/>
    <n v="30663"/>
    <x v="3"/>
  </r>
  <r>
    <x v="76"/>
    <n v="23356"/>
    <x v="2"/>
  </r>
  <r>
    <x v="77"/>
    <n v="26124"/>
    <x v="1"/>
  </r>
  <r>
    <x v="77"/>
    <n v="16989"/>
    <x v="2"/>
  </r>
  <r>
    <x v="77"/>
    <n v="26665"/>
    <x v="3"/>
  </r>
  <r>
    <x v="78"/>
    <n v="24085"/>
    <x v="3"/>
  </r>
  <r>
    <x v="78"/>
    <n v="30974"/>
    <x v="1"/>
  </r>
  <r>
    <x v="78"/>
    <n v="15387"/>
    <x v="2"/>
  </r>
  <r>
    <x v="79"/>
    <n v="16908"/>
    <x v="2"/>
  </r>
  <r>
    <x v="79"/>
    <n v="26981"/>
    <x v="3"/>
  </r>
  <r>
    <x v="79"/>
    <n v="35877"/>
    <x v="1"/>
  </r>
  <r>
    <x v="80"/>
    <n v="18583"/>
    <x v="2"/>
  </r>
  <r>
    <x v="80"/>
    <n v="34579"/>
    <x v="1"/>
  </r>
  <r>
    <x v="80"/>
    <n v="26476"/>
    <x v="3"/>
  </r>
  <r>
    <x v="81"/>
    <n v="40512"/>
    <x v="1"/>
  </r>
  <r>
    <x v="81"/>
    <n v="26683"/>
    <x v="3"/>
  </r>
  <r>
    <x v="81"/>
    <n v="25002"/>
    <x v="2"/>
  </r>
  <r>
    <x v="82"/>
    <n v="39519"/>
    <x v="1"/>
  </r>
  <r>
    <x v="82"/>
    <n v="40035"/>
    <x v="2"/>
  </r>
  <r>
    <x v="82"/>
    <n v="28920"/>
    <x v="3"/>
  </r>
  <r>
    <x v="83"/>
    <n v="35167"/>
    <x v="3"/>
  </r>
  <r>
    <x v="83"/>
    <n v="45073"/>
    <x v="1"/>
  </r>
  <r>
    <x v="83"/>
    <n v="62449"/>
    <x v="2"/>
  </r>
  <r>
    <x v="84"/>
    <n v="69339"/>
    <x v="2"/>
  </r>
  <r>
    <x v="84"/>
    <n v="36302"/>
    <x v="3"/>
  </r>
  <r>
    <x v="84"/>
    <n v="43789"/>
    <x v="1"/>
  </r>
  <r>
    <x v="85"/>
    <n v="68368"/>
    <x v="2"/>
  </r>
  <r>
    <x v="85"/>
    <n v="37421"/>
    <x v="3"/>
  </r>
  <r>
    <x v="85"/>
    <n v="45234"/>
    <x v="1"/>
  </r>
  <r>
    <x v="86"/>
    <n v="37294"/>
    <x v="1"/>
  </r>
  <r>
    <x v="86"/>
    <n v="41993"/>
    <x v="3"/>
  </r>
  <r>
    <x v="86"/>
    <n v="74896"/>
    <x v="2"/>
  </r>
  <r>
    <x v="87"/>
    <n v="43130"/>
    <x v="1"/>
  </r>
  <r>
    <x v="87"/>
    <n v="87727"/>
    <x v="2"/>
  </r>
  <r>
    <x v="87"/>
    <n v="46599"/>
    <x v="3"/>
  </r>
  <r>
    <x v="88"/>
    <n v="44701"/>
    <x v="3"/>
  </r>
  <r>
    <x v="88"/>
    <n v="83635"/>
    <x v="2"/>
  </r>
  <r>
    <x v="88"/>
    <n v="56078"/>
    <x v="1"/>
  </r>
  <r>
    <x v="89"/>
    <n v="66120"/>
    <x v="2"/>
  </r>
  <r>
    <x v="89"/>
    <n v="41557"/>
    <x v="3"/>
  </r>
  <r>
    <x v="89"/>
    <n v="54558"/>
    <x v="1"/>
  </r>
  <r>
    <x v="90"/>
    <n v="63132"/>
    <x v="1"/>
  </r>
  <r>
    <x v="90"/>
    <n v="58704"/>
    <x v="2"/>
  </r>
  <r>
    <x v="90"/>
    <n v="42169"/>
    <x v="3"/>
  </r>
  <r>
    <x v="91"/>
    <n v="68002"/>
    <x v="2"/>
  </r>
  <r>
    <x v="91"/>
    <n v="42658"/>
    <x v="3"/>
  </r>
  <r>
    <x v="91"/>
    <n v="71358"/>
    <x v="1"/>
  </r>
  <r>
    <x v="92"/>
    <n v="60637"/>
    <x v="3"/>
  </r>
  <r>
    <x v="92"/>
    <n v="62940"/>
    <x v="2"/>
  </r>
  <r>
    <x v="92"/>
    <n v="64773"/>
    <x v="1"/>
  </r>
  <r>
    <x v="93"/>
    <n v="77943"/>
    <x v="2"/>
  </r>
  <r>
    <x v="93"/>
    <n v="67250"/>
    <x v="3"/>
  </r>
  <r>
    <x v="93"/>
    <n v="66759"/>
    <x v="1"/>
  </r>
  <r>
    <x v="94"/>
    <n v="54797"/>
    <x v="1"/>
  </r>
  <r>
    <x v="94"/>
    <n v="67527"/>
    <x v="2"/>
  </r>
  <r>
    <x v="94"/>
    <n v="63599"/>
    <x v="3"/>
  </r>
  <r>
    <x v="95"/>
    <n v="83263"/>
    <x v="2"/>
  </r>
  <r>
    <x v="95"/>
    <n v="74296"/>
    <x v="3"/>
  </r>
  <r>
    <x v="95"/>
    <n v="58892"/>
    <x v="1"/>
  </r>
  <r>
    <x v="96"/>
    <n v="58734"/>
    <x v="1"/>
  </r>
  <r>
    <x v="96"/>
    <n v="84096"/>
    <x v="2"/>
  </r>
  <r>
    <x v="96"/>
    <n v="70012"/>
    <x v="3"/>
  </r>
  <r>
    <x v="97"/>
    <n v="83542"/>
    <x v="2"/>
  </r>
  <r>
    <x v="97"/>
    <n v="71858"/>
    <x v="3"/>
  </r>
  <r>
    <x v="97"/>
    <n v="56759"/>
    <x v="1"/>
  </r>
  <r>
    <x v="98"/>
    <n v="42223"/>
    <x v="1"/>
  </r>
  <r>
    <x v="98"/>
    <n v="73084"/>
    <x v="3"/>
  </r>
  <r>
    <x v="98"/>
    <n v="80177"/>
    <x v="2"/>
  </r>
  <r>
    <x v="99"/>
    <n v="39632"/>
    <x v="1"/>
  </r>
  <r>
    <x v="99"/>
    <n v="64077"/>
    <x v="3"/>
  </r>
  <r>
    <x v="99"/>
    <n v="62542"/>
    <x v="2"/>
  </r>
  <r>
    <x v="100"/>
    <n v="60513"/>
    <x v="1"/>
  </r>
  <r>
    <x v="100"/>
    <n v="66704"/>
    <x v="3"/>
  </r>
  <r>
    <x v="100"/>
    <n v="70534"/>
    <x v="2"/>
  </r>
  <r>
    <x v="101"/>
    <n v="70508"/>
    <x v="1"/>
  </r>
  <r>
    <x v="101"/>
    <n v="64185"/>
    <x v="3"/>
  </r>
  <r>
    <x v="101"/>
    <n v="65961"/>
    <x v="2"/>
  </r>
  <r>
    <x v="102"/>
    <n v="80327"/>
    <x v="1"/>
  </r>
  <r>
    <x v="102"/>
    <n v="62288"/>
    <x v="3"/>
  </r>
  <r>
    <x v="102"/>
    <n v="61838"/>
    <x v="2"/>
  </r>
  <r>
    <x v="103"/>
    <n v="86838"/>
    <x v="1"/>
  </r>
  <r>
    <x v="103"/>
    <n v="57439"/>
    <x v="3"/>
  </r>
  <r>
    <x v="103"/>
    <n v="54706"/>
    <x v="2"/>
  </r>
  <r>
    <x v="104"/>
    <n v="91301"/>
    <x v="1"/>
  </r>
  <r>
    <x v="104"/>
    <n v="49678"/>
    <x v="3"/>
  </r>
  <r>
    <x v="104"/>
    <n v="43768"/>
    <x v="2"/>
  </r>
  <r>
    <x v="105"/>
    <n v="91705"/>
    <x v="1"/>
  </r>
  <r>
    <x v="105"/>
    <n v="40554"/>
    <x v="3"/>
  </r>
  <r>
    <x v="105"/>
    <n v="30822"/>
    <x v="2"/>
  </r>
  <r>
    <x v="106"/>
    <n v="77750"/>
    <x v="1"/>
  </r>
  <r>
    <x v="106"/>
    <n v="33744"/>
    <x v="3"/>
  </r>
  <r>
    <x v="106"/>
    <n v="21446"/>
    <x v="2"/>
  </r>
  <r>
    <x v="107"/>
    <n v="71683"/>
    <x v="1"/>
  </r>
  <r>
    <x v="107"/>
    <n v="32773"/>
    <x v="3"/>
  </r>
  <r>
    <x v="107"/>
    <n v="19444"/>
    <x v="2"/>
  </r>
  <r>
    <x v="108"/>
    <n v="55718"/>
    <x v="1"/>
  </r>
  <r>
    <x v="108"/>
    <n v="28222"/>
    <x v="3"/>
  </r>
  <r>
    <x v="108"/>
    <n v="18437"/>
    <x v="2"/>
  </r>
  <r>
    <x v="109"/>
    <n v="56034"/>
    <x v="1"/>
  </r>
  <r>
    <x v="109"/>
    <n v="26633"/>
    <x v="3"/>
  </r>
  <r>
    <x v="109"/>
    <n v="17008"/>
    <x v="2"/>
  </r>
  <r>
    <x v="110"/>
    <n v="39691"/>
    <x v="1"/>
  </r>
  <r>
    <x v="110"/>
    <n v="22506"/>
    <x v="3"/>
  </r>
  <r>
    <x v="110"/>
    <n v="13934"/>
    <x v="2"/>
  </r>
  <r>
    <x v="111"/>
    <n v="40882"/>
    <x v="1"/>
  </r>
  <r>
    <x v="111"/>
    <n v="19121"/>
    <x v="3"/>
  </r>
  <r>
    <x v="111"/>
    <n v="12746"/>
    <x v="2"/>
  </r>
  <r>
    <x v="112"/>
    <n v="52579"/>
    <x v="1"/>
  </r>
  <r>
    <x v="112"/>
    <n v="20629"/>
    <x v="3"/>
  </r>
  <r>
    <x v="112"/>
    <n v="14488"/>
    <x v="2"/>
  </r>
  <r>
    <x v="113"/>
    <n v="60064"/>
    <x v="1"/>
  </r>
  <r>
    <x v="113"/>
    <n v="19641"/>
    <x v="3"/>
  </r>
  <r>
    <x v="113"/>
    <n v="14305"/>
    <x v="2"/>
  </r>
  <r>
    <x v="114"/>
    <n v="71732"/>
    <x v="1"/>
  </r>
  <r>
    <x v="114"/>
    <n v="19650"/>
    <x v="3"/>
  </r>
  <r>
    <x v="114"/>
    <n v="15182"/>
    <x v="2"/>
  </r>
  <r>
    <x v="115"/>
    <n v="78272"/>
    <x v="1"/>
  </r>
  <r>
    <x v="115"/>
    <n v="21026"/>
    <x v="3"/>
  </r>
  <r>
    <x v="115"/>
    <n v="17576"/>
    <x v="2"/>
  </r>
  <r>
    <x v="116"/>
    <n v="76943"/>
    <x v="1"/>
  </r>
  <r>
    <x v="116"/>
    <n v="22613"/>
    <x v="3"/>
  </r>
  <r>
    <x v="116"/>
    <n v="18183"/>
    <x v="2"/>
  </r>
  <r>
    <x v="117"/>
    <n v="72571"/>
    <x v="1"/>
  </r>
  <r>
    <x v="117"/>
    <n v="3822"/>
    <x v="3"/>
  </r>
  <r>
    <x v="117"/>
    <n v="39009"/>
    <x v="2"/>
  </r>
  <r>
    <x v="118"/>
    <n v="67442"/>
    <x v="1"/>
  </r>
  <r>
    <x v="118"/>
    <n v="3734"/>
    <x v="3"/>
  </r>
  <r>
    <x v="118"/>
    <n v="41903"/>
    <x v="2"/>
  </r>
  <r>
    <x v="119"/>
    <n v="70617"/>
    <x v="1"/>
  </r>
  <r>
    <x v="119"/>
    <n v="3478"/>
    <x v="3"/>
  </r>
  <r>
    <x v="119"/>
    <n v="43011"/>
    <x v="2"/>
  </r>
  <r>
    <x v="120"/>
    <n v="57379"/>
    <x v="1"/>
  </r>
  <r>
    <x v="120"/>
    <n v="2955"/>
    <x v="3"/>
  </r>
  <r>
    <x v="120"/>
    <n v="46727"/>
    <x v="2"/>
  </r>
  <r>
    <x v="121"/>
    <n v="65620"/>
    <x v="1"/>
  </r>
  <r>
    <x v="121"/>
    <n v="3183"/>
    <x v="3"/>
  </r>
  <r>
    <x v="121"/>
    <n v="54114"/>
    <x v="2"/>
  </r>
  <r>
    <x v="122"/>
    <n v="50538"/>
    <x v="2"/>
  </r>
  <r>
    <x v="122"/>
    <n v="45536"/>
    <x v="1"/>
  </r>
  <r>
    <x v="122"/>
    <n v="2758"/>
    <x v="3"/>
  </r>
  <r>
    <x v="123"/>
    <n v="47059"/>
    <x v="1"/>
  </r>
  <r>
    <x v="123"/>
    <n v="2890"/>
    <x v="3"/>
  </r>
  <r>
    <x v="123"/>
    <n v="70674"/>
    <x v="2"/>
  </r>
  <r>
    <x v="124"/>
    <n v="64171"/>
    <x v="1"/>
  </r>
  <r>
    <x v="124"/>
    <n v="3285"/>
    <x v="3"/>
  </r>
  <r>
    <x v="124"/>
    <n v="78177"/>
    <x v="2"/>
  </r>
  <r>
    <x v="125"/>
    <n v="67676"/>
    <x v="1"/>
  </r>
  <r>
    <x v="125"/>
    <n v="2905"/>
    <x v="3"/>
  </r>
  <r>
    <x v="125"/>
    <n v="60562"/>
    <x v="2"/>
  </r>
  <r>
    <x v="126"/>
    <n v="78212"/>
    <x v="1"/>
  </r>
  <r>
    <x v="126"/>
    <n v="2527"/>
    <x v="3"/>
  </r>
  <r>
    <x v="126"/>
    <n v="56416"/>
    <x v="2"/>
  </r>
  <r>
    <x v="127"/>
    <n v="93543"/>
    <x v="1"/>
  </r>
  <r>
    <x v="127"/>
    <n v="2529"/>
    <x v="3"/>
  </r>
  <r>
    <x v="127"/>
    <n v="55180"/>
    <x v="2"/>
  </r>
  <r>
    <x v="128"/>
    <n v="87144"/>
    <x v="1"/>
  </r>
  <r>
    <x v="128"/>
    <n v="2316"/>
    <x v="3"/>
  </r>
  <r>
    <x v="128"/>
    <n v="47513"/>
    <x v="2"/>
  </r>
  <r>
    <x v="129"/>
    <n v="78995"/>
    <x v="1"/>
  </r>
  <r>
    <x v="129"/>
    <n v="2363"/>
    <x v="3"/>
  </r>
  <r>
    <x v="129"/>
    <n v="44660"/>
    <x v="2"/>
  </r>
  <r>
    <x v="130"/>
    <n v="2226"/>
    <x v="3"/>
  </r>
  <r>
    <x v="130"/>
    <n v="46143"/>
    <x v="2"/>
  </r>
  <r>
    <x v="130"/>
    <n v="74401"/>
    <x v="1"/>
  </r>
  <r>
    <x v="131"/>
    <n v="46372"/>
    <x v="2"/>
  </r>
  <r>
    <x v="131"/>
    <n v="2112"/>
    <x v="3"/>
  </r>
  <r>
    <x v="131"/>
    <n v="66295"/>
    <x v="1"/>
  </r>
  <r>
    <x v="132"/>
    <n v="45494"/>
    <x v="1"/>
  </r>
  <r>
    <x v="132"/>
    <n v="35833"/>
    <x v="2"/>
  </r>
  <r>
    <x v="132"/>
    <n v="1626"/>
    <x v="3"/>
  </r>
  <r>
    <x v="133"/>
    <n v="17971"/>
    <x v="2"/>
  </r>
  <r>
    <x v="133"/>
    <n v="1089"/>
    <x v="3"/>
  </r>
  <r>
    <x v="133"/>
    <n v="23227"/>
    <x v="1"/>
  </r>
  <r>
    <x v="134"/>
    <n v="204"/>
    <x v="2"/>
  </r>
  <r>
    <x v="134"/>
    <n v="12"/>
    <x v="3"/>
  </r>
  <r>
    <x v="134"/>
    <n v="67"/>
    <x v="1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328">
  <r>
    <x v="0"/>
    <n v="865"/>
    <x v="0"/>
  </r>
  <r>
    <x v="0"/>
    <n v="23"/>
    <x v="1"/>
  </r>
  <r>
    <x v="1"/>
    <n v="37"/>
    <x v="1"/>
  </r>
  <r>
    <x v="1"/>
    <n v="843"/>
    <x v="0"/>
  </r>
  <r>
    <x v="2"/>
    <n v="643"/>
    <x v="0"/>
  </r>
  <r>
    <x v="2"/>
    <n v="24"/>
    <x v="1"/>
  </r>
  <r>
    <x v="3"/>
    <n v="34"/>
    <x v="1"/>
  </r>
  <r>
    <x v="3"/>
    <n v="600"/>
    <x v="0"/>
  </r>
  <r>
    <x v="4"/>
    <n v="713"/>
    <x v="0"/>
  </r>
  <r>
    <x v="4"/>
    <n v="29"/>
    <x v="1"/>
  </r>
  <r>
    <x v="5"/>
    <n v="28"/>
    <x v="1"/>
  </r>
  <r>
    <x v="5"/>
    <n v="794"/>
    <x v="0"/>
  </r>
  <r>
    <x v="6"/>
    <n v="999"/>
    <x v="0"/>
  </r>
  <r>
    <x v="6"/>
    <n v="59"/>
    <x v="1"/>
  </r>
  <r>
    <x v="7"/>
    <n v="54"/>
    <x v="1"/>
  </r>
  <r>
    <x v="7"/>
    <n v="1154"/>
    <x v="0"/>
  </r>
  <r>
    <x v="8"/>
    <n v="1240"/>
    <x v="0"/>
  </r>
  <r>
    <x v="8"/>
    <n v="96"/>
    <x v="1"/>
  </r>
  <r>
    <x v="9"/>
    <n v="133"/>
    <x v="1"/>
  </r>
  <r>
    <x v="9"/>
    <n v="1903"/>
    <x v="0"/>
  </r>
  <r>
    <x v="10"/>
    <n v="3071"/>
    <x v="0"/>
  </r>
  <r>
    <x v="10"/>
    <n v="283"/>
    <x v="1"/>
  </r>
  <r>
    <x v="11"/>
    <n v="1405"/>
    <x v="1"/>
  </r>
  <r>
    <x v="11"/>
    <n v="9731"/>
    <x v="0"/>
  </r>
  <r>
    <x v="12"/>
    <n v="2091"/>
    <x v="1"/>
  </r>
  <r>
    <x v="12"/>
    <n v="16090"/>
    <x v="0"/>
  </r>
  <r>
    <x v="13"/>
    <n v="2103"/>
    <x v="1"/>
  </r>
  <r>
    <x v="13"/>
    <n v="15564"/>
    <x v="0"/>
  </r>
  <r>
    <x v="14"/>
    <n v="12989"/>
    <x v="0"/>
  </r>
  <r>
    <x v="14"/>
    <n v="1894"/>
    <x v="1"/>
  </r>
  <r>
    <x v="15"/>
    <n v="2001"/>
    <x v="1"/>
  </r>
  <r>
    <x v="15"/>
    <n v="14136"/>
    <x v="0"/>
  </r>
  <r>
    <x v="16"/>
    <n v="16975"/>
    <x v="0"/>
  </r>
  <r>
    <x v="16"/>
    <n v="1975"/>
    <x v="1"/>
  </r>
  <r>
    <x v="17"/>
    <n v="17293"/>
    <x v="0"/>
  </r>
  <r>
    <x v="17"/>
    <n v="1850"/>
    <x v="1"/>
  </r>
  <r>
    <x v="18"/>
    <n v="18802"/>
    <x v="0"/>
  </r>
  <r>
    <x v="18"/>
    <n v="1828"/>
    <x v="1"/>
  </r>
  <r>
    <x v="19"/>
    <n v="21409"/>
    <x v="0"/>
  </r>
  <r>
    <x v="19"/>
    <n v="1874"/>
    <x v="1"/>
  </r>
  <r>
    <x v="20"/>
    <n v="19941"/>
    <x v="0"/>
  </r>
  <r>
    <x v="20"/>
    <n v="1690"/>
    <x v="1"/>
  </r>
  <r>
    <x v="21"/>
    <n v="20670"/>
    <x v="0"/>
  </r>
  <r>
    <x v="21"/>
    <n v="1896"/>
    <x v="1"/>
  </r>
  <r>
    <x v="22"/>
    <n v="19165"/>
    <x v="0"/>
  </r>
  <r>
    <x v="22"/>
    <n v="2054"/>
    <x v="1"/>
  </r>
  <r>
    <x v="23"/>
    <n v="2787"/>
    <x v="1"/>
  </r>
  <r>
    <x v="23"/>
    <n v="19930"/>
    <x v="0"/>
  </r>
  <r>
    <x v="24"/>
    <n v="2575"/>
    <x v="1"/>
  </r>
  <r>
    <x v="24"/>
    <n v="18549"/>
    <x v="0"/>
  </r>
  <r>
    <x v="25"/>
    <n v="18576"/>
    <x v="0"/>
  </r>
  <r>
    <x v="25"/>
    <n v="2928"/>
    <x v="1"/>
  </r>
  <r>
    <x v="26"/>
    <n v="3041"/>
    <x v="1"/>
  </r>
  <r>
    <x v="26"/>
    <n v="16836"/>
    <x v="0"/>
  </r>
  <r>
    <x v="27"/>
    <n v="19589"/>
    <x v="0"/>
  </r>
  <r>
    <x v="27"/>
    <n v="2844"/>
    <x v="1"/>
  </r>
  <r>
    <x v="28"/>
    <n v="27055"/>
    <x v="0"/>
  </r>
  <r>
    <x v="28"/>
    <n v="3865"/>
    <x v="1"/>
  </r>
  <r>
    <x v="29"/>
    <n v="4487"/>
    <x v="1"/>
  </r>
  <r>
    <x v="29"/>
    <n v="30328"/>
    <x v="0"/>
  </r>
  <r>
    <x v="30"/>
    <n v="4388"/>
    <x v="1"/>
  </r>
  <r>
    <x v="30"/>
    <n v="35720"/>
    <x v="0"/>
  </r>
  <r>
    <x v="31"/>
    <n v="37873"/>
    <x v="0"/>
  </r>
  <r>
    <x v="31"/>
    <n v="3914"/>
    <x v="1"/>
  </r>
  <r>
    <x v="32"/>
    <n v="38162"/>
    <x v="0"/>
  </r>
  <r>
    <x v="32"/>
    <n v="3751"/>
    <x v="1"/>
  </r>
  <r>
    <x v="33"/>
    <n v="39546"/>
    <x v="0"/>
  </r>
  <r>
    <x v="33"/>
    <n v="3891"/>
    <x v="1"/>
  </r>
  <r>
    <x v="34"/>
    <n v="36595"/>
    <x v="0"/>
  </r>
  <r>
    <x v="34"/>
    <n v="4935"/>
    <x v="1"/>
  </r>
  <r>
    <x v="35"/>
    <n v="36030"/>
    <x v="0"/>
  </r>
  <r>
    <x v="35"/>
    <n v="6058"/>
    <x v="1"/>
  </r>
  <r>
    <x v="36"/>
    <n v="31842"/>
    <x v="0"/>
  </r>
  <r>
    <x v="36"/>
    <n v="5457"/>
    <x v="1"/>
  </r>
  <r>
    <x v="37"/>
    <n v="30920"/>
    <x v="0"/>
  </r>
  <r>
    <x v="37"/>
    <n v="6994"/>
    <x v="1"/>
  </r>
  <r>
    <x v="38"/>
    <n v="7122"/>
    <x v="1"/>
  </r>
  <r>
    <x v="38"/>
    <n v="23878"/>
    <x v="0"/>
  </r>
  <r>
    <x v="39"/>
    <n v="26414"/>
    <x v="0"/>
  </r>
  <r>
    <x v="39"/>
    <n v="10711"/>
    <x v="1"/>
  </r>
  <r>
    <x v="40"/>
    <n v="27528"/>
    <x v="0"/>
  </r>
  <r>
    <x v="40"/>
    <n v="7954"/>
    <x v="1"/>
  </r>
  <r>
    <x v="41"/>
    <n v="6216"/>
    <x v="1"/>
  </r>
  <r>
    <x v="41"/>
    <n v="22886"/>
    <x v="0"/>
  </r>
  <r>
    <x v="42"/>
    <n v="19843"/>
    <x v="0"/>
  </r>
  <r>
    <x v="42"/>
    <n v="3812"/>
    <x v="1"/>
  </r>
  <r>
    <x v="43"/>
    <n v="20321"/>
    <x v="0"/>
  </r>
  <r>
    <x v="43"/>
    <n v="3008"/>
    <x v="1"/>
  </r>
  <r>
    <x v="44"/>
    <n v="15950"/>
    <x v="0"/>
  </r>
  <r>
    <x v="44"/>
    <n v="1917"/>
    <x v="1"/>
  </r>
  <r>
    <x v="45"/>
    <n v="1181"/>
    <x v="1"/>
  </r>
  <r>
    <x v="45"/>
    <n v="10778"/>
    <x v="0"/>
  </r>
  <r>
    <x v="46"/>
    <n v="1415"/>
    <x v="1"/>
  </r>
  <r>
    <x v="46"/>
    <n v="10864"/>
    <x v="0"/>
  </r>
  <r>
    <x v="47"/>
    <n v="1908"/>
    <x v="1"/>
  </r>
  <r>
    <x v="47"/>
    <n v="9981"/>
    <x v="0"/>
  </r>
  <r>
    <x v="48"/>
    <n v="1021"/>
    <x v="1"/>
  </r>
  <r>
    <x v="48"/>
    <n v="6638"/>
    <x v="0"/>
  </r>
  <r>
    <x v="49"/>
    <n v="2875"/>
    <x v="1"/>
  </r>
  <r>
    <x v="49"/>
    <n v="8795"/>
    <x v="0"/>
  </r>
  <r>
    <x v="50"/>
    <n v="6757"/>
    <x v="1"/>
  </r>
  <r>
    <x v="50"/>
    <n v="5491"/>
    <x v="0"/>
  </r>
  <r>
    <x v="51"/>
    <n v="7889"/>
    <x v="1"/>
  </r>
  <r>
    <x v="51"/>
    <n v="6205"/>
    <x v="0"/>
  </r>
  <r>
    <x v="52"/>
    <n v="7801"/>
    <x v="1"/>
  </r>
  <r>
    <x v="52"/>
    <n v="8110"/>
    <x v="0"/>
  </r>
  <r>
    <x v="53"/>
    <n v="5386"/>
    <x v="2"/>
  </r>
  <r>
    <x v="53"/>
    <n v="3673"/>
    <x v="3"/>
  </r>
  <r>
    <x v="53"/>
    <n v="7390"/>
    <x v="0"/>
  </r>
  <r>
    <x v="54"/>
    <n v="9247"/>
    <x v="3"/>
  </r>
  <r>
    <x v="54"/>
    <n v="7562"/>
    <x v="0"/>
  </r>
  <r>
    <x v="54"/>
    <n v="4679"/>
    <x v="2"/>
  </r>
  <r>
    <x v="55"/>
    <n v="8903"/>
    <x v="0"/>
  </r>
  <r>
    <x v="55"/>
    <n v="15370"/>
    <x v="3"/>
  </r>
  <r>
    <x v="55"/>
    <n v="4362"/>
    <x v="2"/>
  </r>
  <r>
    <x v="56"/>
    <n v="2911"/>
    <x v="2"/>
  </r>
  <r>
    <x v="56"/>
    <n v="9675"/>
    <x v="0"/>
  </r>
  <r>
    <x v="56"/>
    <n v="14029"/>
    <x v="3"/>
  </r>
  <r>
    <x v="57"/>
    <n v="7833"/>
    <x v="0"/>
  </r>
  <r>
    <x v="57"/>
    <n v="9135"/>
    <x v="3"/>
  </r>
  <r>
    <x v="57"/>
    <n v="1784"/>
    <x v="2"/>
  </r>
  <r>
    <x v="58"/>
    <n v="6784"/>
    <x v="3"/>
  </r>
  <r>
    <x v="58"/>
    <n v="1392"/>
    <x v="2"/>
  </r>
  <r>
    <x v="58"/>
    <n v="7262"/>
    <x v="0"/>
  </r>
  <r>
    <x v="59"/>
    <n v="8893"/>
    <x v="3"/>
  </r>
  <r>
    <x v="59"/>
    <n v="1726"/>
    <x v="2"/>
  </r>
  <r>
    <x v="59"/>
    <n v="7497"/>
    <x v="0"/>
  </r>
  <r>
    <x v="60"/>
    <n v="7168"/>
    <x v="0"/>
  </r>
  <r>
    <x v="60"/>
    <n v="11371"/>
    <x v="3"/>
  </r>
  <r>
    <x v="60"/>
    <n v="1977"/>
    <x v="2"/>
  </r>
  <r>
    <x v="61"/>
    <n v="4904"/>
    <x v="0"/>
  </r>
  <r>
    <x v="61"/>
    <n v="13463"/>
    <x v="3"/>
  </r>
  <r>
    <x v="61"/>
    <n v="2012"/>
    <x v="2"/>
  </r>
  <r>
    <x v="62"/>
    <n v="3313"/>
    <x v="0"/>
  </r>
  <r>
    <x v="62"/>
    <n v="12639"/>
    <x v="3"/>
  </r>
  <r>
    <x v="62"/>
    <n v="1756"/>
    <x v="2"/>
  </r>
  <r>
    <x v="63"/>
    <n v="1256"/>
    <x v="2"/>
  </r>
  <r>
    <x v="63"/>
    <n v="9607"/>
    <x v="3"/>
  </r>
  <r>
    <x v="63"/>
    <n v="3693"/>
    <x v="0"/>
  </r>
  <r>
    <x v="64"/>
    <n v="1320"/>
    <x v="2"/>
  </r>
  <r>
    <x v="64"/>
    <n v="11233"/>
    <x v="3"/>
  </r>
  <r>
    <x v="64"/>
    <n v="5123"/>
    <x v="0"/>
  </r>
  <r>
    <x v="65"/>
    <n v="1219"/>
    <x v="2"/>
  </r>
  <r>
    <x v="65"/>
    <n v="10354"/>
    <x v="3"/>
  </r>
  <r>
    <x v="65"/>
    <n v="6269"/>
    <x v="0"/>
  </r>
  <r>
    <x v="66"/>
    <n v="949"/>
    <x v="2"/>
  </r>
  <r>
    <x v="66"/>
    <n v="7969"/>
    <x v="3"/>
  </r>
  <r>
    <x v="66"/>
    <n v="7063"/>
    <x v="0"/>
  </r>
  <r>
    <x v="67"/>
    <n v="1437"/>
    <x v="2"/>
  </r>
  <r>
    <x v="67"/>
    <n v="10240"/>
    <x v="3"/>
  </r>
  <r>
    <x v="67"/>
    <n v="7491"/>
    <x v="0"/>
  </r>
  <r>
    <x v="68"/>
    <n v="2008"/>
    <x v="2"/>
  </r>
  <r>
    <x v="68"/>
    <n v="12706"/>
    <x v="3"/>
  </r>
  <r>
    <x v="68"/>
    <n v="4257"/>
    <x v="0"/>
  </r>
  <r>
    <x v="69"/>
    <n v="2663"/>
    <x v="2"/>
  </r>
  <r>
    <x v="69"/>
    <n v="14514"/>
    <x v="3"/>
  </r>
  <r>
    <x v="69"/>
    <n v="4110"/>
    <x v="0"/>
  </r>
  <r>
    <x v="70"/>
    <n v="3000"/>
    <x v="2"/>
  </r>
  <r>
    <x v="70"/>
    <n v="15385"/>
    <x v="3"/>
  </r>
  <r>
    <x v="70"/>
    <n v="3892"/>
    <x v="0"/>
  </r>
  <r>
    <x v="71"/>
    <n v="3447"/>
    <x v="2"/>
  </r>
  <r>
    <x v="71"/>
    <n v="17435"/>
    <x v="3"/>
  </r>
  <r>
    <x v="71"/>
    <n v="4036"/>
    <x v="0"/>
  </r>
  <r>
    <x v="72"/>
    <n v="3193"/>
    <x v="2"/>
  </r>
  <r>
    <x v="72"/>
    <n v="18832"/>
    <x v="3"/>
  </r>
  <r>
    <x v="72"/>
    <n v="4009"/>
    <x v="0"/>
  </r>
  <r>
    <x v="73"/>
    <n v="3402"/>
    <x v="2"/>
  </r>
  <r>
    <x v="73"/>
    <n v="17593"/>
    <x v="3"/>
  </r>
  <r>
    <x v="73"/>
    <n v="4613"/>
    <x v="0"/>
  </r>
  <r>
    <x v="74"/>
    <n v="2240"/>
    <x v="2"/>
  </r>
  <r>
    <x v="74"/>
    <n v="15376"/>
    <x v="3"/>
  </r>
  <r>
    <x v="74"/>
    <n v="3036"/>
    <x v="0"/>
  </r>
  <r>
    <x v="75"/>
    <n v="999"/>
    <x v="2"/>
  </r>
  <r>
    <x v="75"/>
    <n v="10725"/>
    <x v="3"/>
  </r>
  <r>
    <x v="75"/>
    <n v="2082"/>
    <x v="0"/>
  </r>
  <r>
    <x v="76"/>
    <n v="1071"/>
    <x v="2"/>
  </r>
  <r>
    <x v="76"/>
    <n v="7425"/>
    <x v="3"/>
  </r>
  <r>
    <x v="76"/>
    <n v="3594"/>
    <x v="0"/>
  </r>
  <r>
    <x v="77"/>
    <n v="906"/>
    <x v="2"/>
  </r>
  <r>
    <x v="77"/>
    <n v="6431"/>
    <x v="3"/>
  </r>
  <r>
    <x v="77"/>
    <n v="4503"/>
    <x v="0"/>
  </r>
  <r>
    <x v="78"/>
    <n v="877"/>
    <x v="2"/>
  </r>
  <r>
    <x v="78"/>
    <n v="5596"/>
    <x v="3"/>
  </r>
  <r>
    <x v="78"/>
    <n v="5638"/>
    <x v="0"/>
  </r>
  <r>
    <x v="79"/>
    <n v="1094"/>
    <x v="2"/>
  </r>
  <r>
    <x v="79"/>
    <n v="6287"/>
    <x v="3"/>
  </r>
  <r>
    <x v="79"/>
    <n v="7760"/>
    <x v="0"/>
  </r>
  <r>
    <x v="80"/>
    <n v="1234"/>
    <x v="2"/>
  </r>
  <r>
    <x v="80"/>
    <n v="6722"/>
    <x v="3"/>
  </r>
  <r>
    <x v="80"/>
    <n v="7102"/>
    <x v="0"/>
  </r>
  <r>
    <x v="81"/>
    <n v="1403"/>
    <x v="2"/>
  </r>
  <r>
    <x v="81"/>
    <n v="6917"/>
    <x v="3"/>
  </r>
  <r>
    <x v="81"/>
    <n v="7201"/>
    <x v="0"/>
  </r>
  <r>
    <x v="82"/>
    <n v="2060"/>
    <x v="2"/>
  </r>
  <r>
    <x v="82"/>
    <n v="8052"/>
    <x v="3"/>
  </r>
  <r>
    <x v="82"/>
    <n v="6033"/>
    <x v="0"/>
  </r>
  <r>
    <x v="83"/>
    <n v="2144"/>
    <x v="2"/>
  </r>
  <r>
    <x v="83"/>
    <n v="9402"/>
    <x v="3"/>
  </r>
  <r>
    <x v="83"/>
    <n v="4254"/>
    <x v="0"/>
  </r>
  <r>
    <x v="84"/>
    <n v="2387"/>
    <x v="2"/>
  </r>
  <r>
    <x v="84"/>
    <n v="9964"/>
    <x v="3"/>
  </r>
  <r>
    <x v="84"/>
    <n v="4698"/>
    <x v="0"/>
  </r>
  <r>
    <x v="85"/>
    <n v="2593"/>
    <x v="2"/>
  </r>
  <r>
    <x v="85"/>
    <n v="9237"/>
    <x v="3"/>
  </r>
  <r>
    <x v="85"/>
    <n v="5414"/>
    <x v="0"/>
  </r>
  <r>
    <x v="86"/>
    <n v="11247"/>
    <x v="3"/>
  </r>
  <r>
    <x v="86"/>
    <n v="2164"/>
    <x v="2"/>
  </r>
  <r>
    <x v="86"/>
    <n v="3241"/>
    <x v="0"/>
  </r>
  <r>
    <x v="87"/>
    <n v="3375"/>
    <x v="0"/>
  </r>
  <r>
    <x v="87"/>
    <n v="14409"/>
    <x v="3"/>
  </r>
  <r>
    <x v="87"/>
    <n v="2253"/>
    <x v="2"/>
  </r>
  <r>
    <x v="88"/>
    <n v="4588"/>
    <x v="0"/>
  </r>
  <r>
    <x v="88"/>
    <n v="13389"/>
    <x v="3"/>
  </r>
  <r>
    <x v="88"/>
    <n v="2438"/>
    <x v="2"/>
  </r>
  <r>
    <x v="89"/>
    <n v="7595"/>
    <x v="0"/>
  </r>
  <r>
    <x v="89"/>
    <n v="12542"/>
    <x v="3"/>
  </r>
  <r>
    <x v="89"/>
    <n v="2289"/>
    <x v="2"/>
  </r>
  <r>
    <x v="90"/>
    <n v="1944"/>
    <x v="2"/>
  </r>
  <r>
    <x v="90"/>
    <n v="9142"/>
    <x v="0"/>
  </r>
  <r>
    <x v="90"/>
    <n v="13383"/>
    <x v="3"/>
  </r>
  <r>
    <x v="91"/>
    <n v="13357"/>
    <x v="3"/>
  </r>
  <r>
    <x v="91"/>
    <n v="2105"/>
    <x v="2"/>
  </r>
  <r>
    <x v="91"/>
    <n v="10878"/>
    <x v="0"/>
  </r>
  <r>
    <x v="92"/>
    <n v="13492"/>
    <x v="3"/>
  </r>
  <r>
    <x v="92"/>
    <n v="3217"/>
    <x v="2"/>
  </r>
  <r>
    <x v="92"/>
    <n v="11393"/>
    <x v="0"/>
  </r>
  <r>
    <x v="93"/>
    <n v="11163"/>
    <x v="0"/>
  </r>
  <r>
    <x v="93"/>
    <n v="14252"/>
    <x v="3"/>
  </r>
  <r>
    <x v="93"/>
    <n v="4594"/>
    <x v="2"/>
  </r>
  <r>
    <x v="94"/>
    <n v="10851"/>
    <x v="0"/>
  </r>
  <r>
    <x v="94"/>
    <n v="13492"/>
    <x v="3"/>
  </r>
  <r>
    <x v="94"/>
    <n v="5406"/>
    <x v="2"/>
  </r>
  <r>
    <x v="95"/>
    <n v="10880"/>
    <x v="0"/>
  </r>
  <r>
    <x v="95"/>
    <n v="16216"/>
    <x v="3"/>
  </r>
  <r>
    <x v="95"/>
    <n v="5688"/>
    <x v="2"/>
  </r>
  <r>
    <x v="96"/>
    <n v="14266"/>
    <x v="3"/>
  </r>
  <r>
    <x v="96"/>
    <n v="5623"/>
    <x v="2"/>
  </r>
  <r>
    <x v="96"/>
    <n v="9018"/>
    <x v="0"/>
  </r>
  <r>
    <x v="97"/>
    <n v="6895"/>
    <x v="2"/>
  </r>
  <r>
    <x v="97"/>
    <n v="14429"/>
    <x v="3"/>
  </r>
  <r>
    <x v="97"/>
    <n v="9650"/>
    <x v="0"/>
  </r>
  <r>
    <x v="98"/>
    <n v="7264"/>
    <x v="2"/>
  </r>
  <r>
    <x v="98"/>
    <n v="15534"/>
    <x v="3"/>
  </r>
  <r>
    <x v="98"/>
    <n v="8479"/>
    <x v="0"/>
  </r>
  <r>
    <x v="99"/>
    <n v="6110"/>
    <x v="2"/>
  </r>
  <r>
    <x v="99"/>
    <n v="15566"/>
    <x v="3"/>
  </r>
  <r>
    <x v="99"/>
    <n v="10146"/>
    <x v="0"/>
  </r>
  <r>
    <x v="100"/>
    <n v="5217"/>
    <x v="2"/>
  </r>
  <r>
    <x v="100"/>
    <n v="15856"/>
    <x v="3"/>
  </r>
  <r>
    <x v="100"/>
    <n v="11269"/>
    <x v="0"/>
  </r>
  <r>
    <x v="101"/>
    <n v="5029"/>
    <x v="2"/>
  </r>
  <r>
    <x v="101"/>
    <n v="14917"/>
    <x v="3"/>
  </r>
  <r>
    <x v="101"/>
    <n v="12429"/>
    <x v="0"/>
  </r>
  <r>
    <x v="102"/>
    <n v="5406"/>
    <x v="2"/>
  </r>
  <r>
    <x v="102"/>
    <n v="13693"/>
    <x v="3"/>
  </r>
  <r>
    <x v="102"/>
    <n v="16843"/>
    <x v="0"/>
  </r>
  <r>
    <x v="103"/>
    <n v="11861"/>
    <x v="3"/>
  </r>
  <r>
    <x v="103"/>
    <n v="4256"/>
    <x v="2"/>
  </r>
  <r>
    <x v="103"/>
    <n v="16724"/>
    <x v="0"/>
  </r>
  <r>
    <x v="104"/>
    <n v="16145"/>
    <x v="0"/>
  </r>
  <r>
    <x v="104"/>
    <n v="10905"/>
    <x v="3"/>
  </r>
  <r>
    <x v="104"/>
    <n v="3337"/>
    <x v="2"/>
  </r>
  <r>
    <x v="105"/>
    <n v="8808"/>
    <x v="3"/>
  </r>
  <r>
    <x v="105"/>
    <n v="14864"/>
    <x v="0"/>
  </r>
  <r>
    <x v="105"/>
    <n v="1914"/>
    <x v="2"/>
  </r>
  <r>
    <x v="106"/>
    <n v="12990"/>
    <x v="0"/>
  </r>
  <r>
    <x v="106"/>
    <n v="6521"/>
    <x v="3"/>
  </r>
  <r>
    <x v="106"/>
    <n v="1306"/>
    <x v="2"/>
  </r>
  <r>
    <x v="107"/>
    <n v="1361"/>
    <x v="2"/>
  </r>
  <r>
    <x v="107"/>
    <n v="13820"/>
    <x v="0"/>
  </r>
  <r>
    <x v="107"/>
    <n v="5615"/>
    <x v="3"/>
  </r>
  <r>
    <x v="108"/>
    <n v="13950"/>
    <x v="0"/>
  </r>
  <r>
    <x v="108"/>
    <n v="4989"/>
    <x v="3"/>
  </r>
  <r>
    <x v="108"/>
    <n v="1759"/>
    <x v="2"/>
  </r>
  <r>
    <x v="109"/>
    <n v="4958"/>
    <x v="3"/>
  </r>
  <r>
    <x v="109"/>
    <n v="1860"/>
    <x v="2"/>
  </r>
  <r>
    <x v="109"/>
    <n v="14928"/>
    <x v="0"/>
  </r>
  <r>
    <x v="110"/>
    <n v="1160"/>
    <x v="2"/>
  </r>
  <r>
    <x v="110"/>
    <n v="4086"/>
    <x v="3"/>
  </r>
  <r>
    <x v="110"/>
    <n v="9742"/>
    <x v="0"/>
  </r>
  <r>
    <x v="111"/>
    <n v="11240"/>
    <x v="0"/>
  </r>
  <r>
    <x v="111"/>
    <n v="4556"/>
    <x v="4"/>
  </r>
  <r>
    <x v="112"/>
    <n v="5179"/>
    <x v="4"/>
  </r>
  <r>
    <x v="112"/>
    <n v="15803"/>
    <x v="0"/>
  </r>
  <r>
    <x v="113"/>
    <n v="4876"/>
    <x v="4"/>
  </r>
  <r>
    <x v="113"/>
    <n v="17744"/>
    <x v="0"/>
  </r>
  <r>
    <x v="114"/>
    <n v="4405"/>
    <x v="4"/>
  </r>
  <r>
    <x v="114"/>
    <n v="20546"/>
    <x v="0"/>
  </r>
  <r>
    <x v="115"/>
    <n v="24796"/>
    <x v="0"/>
  </r>
  <r>
    <x v="115"/>
    <n v="4762"/>
    <x v="4"/>
  </r>
  <r>
    <x v="116"/>
    <n v="4636"/>
    <x v="4"/>
  </r>
  <r>
    <x v="116"/>
    <n v="24555"/>
    <x v="0"/>
  </r>
  <r>
    <x v="117"/>
    <n v="22824"/>
    <x v="0"/>
  </r>
  <r>
    <x v="117"/>
    <n v="4896"/>
    <x v="4"/>
  </r>
  <r>
    <x v="118"/>
    <n v="20843"/>
    <x v="0"/>
  </r>
  <r>
    <x v="118"/>
    <n v="5167"/>
    <x v="4"/>
  </r>
  <r>
    <x v="119"/>
    <n v="5510"/>
    <x v="4"/>
  </r>
  <r>
    <x v="119"/>
    <n v="18453"/>
    <x v="0"/>
  </r>
  <r>
    <x v="120"/>
    <n v="15691"/>
    <x v="0"/>
  </r>
  <r>
    <x v="120"/>
    <n v="6131"/>
    <x v="4"/>
  </r>
  <r>
    <x v="121"/>
    <n v="16560"/>
    <x v="0"/>
  </r>
  <r>
    <x v="121"/>
    <n v="5534"/>
    <x v="4"/>
  </r>
  <r>
    <x v="122"/>
    <n v="6525"/>
    <x v="4"/>
  </r>
  <r>
    <x v="122"/>
    <n v="12222"/>
    <x v="0"/>
  </r>
  <r>
    <x v="123"/>
    <n v="13587"/>
    <x v="0"/>
  </r>
  <r>
    <x v="123"/>
    <n v="8494"/>
    <x v="4"/>
  </r>
  <r>
    <x v="124"/>
    <n v="19832"/>
    <x v="0"/>
  </r>
  <r>
    <x v="124"/>
    <n v="10156"/>
    <x v="4"/>
  </r>
  <r>
    <x v="125"/>
    <n v="7438"/>
    <x v="4"/>
  </r>
  <r>
    <x v="125"/>
    <n v="21996"/>
    <x v="0"/>
  </r>
  <r>
    <x v="126"/>
    <n v="24508"/>
    <x v="0"/>
  </r>
  <r>
    <x v="126"/>
    <n v="6336"/>
    <x v="4"/>
  </r>
  <r>
    <x v="127"/>
    <n v="26291"/>
    <x v="0"/>
  </r>
  <r>
    <x v="127"/>
    <n v="5471"/>
    <x v="4"/>
  </r>
  <r>
    <x v="128"/>
    <n v="25913"/>
    <x v="0"/>
  </r>
  <r>
    <x v="128"/>
    <n v="4271"/>
    <x v="4"/>
  </r>
  <r>
    <x v="129"/>
    <n v="4490"/>
    <x v="4"/>
  </r>
  <r>
    <x v="129"/>
    <n v="25040"/>
    <x v="0"/>
  </r>
  <r>
    <x v="130"/>
    <n v="22900"/>
    <x v="0"/>
  </r>
  <r>
    <x v="130"/>
    <n v="4669"/>
    <x v="4"/>
  </r>
  <r>
    <x v="131"/>
    <n v="5078"/>
    <x v="4"/>
  </r>
  <r>
    <x v="131"/>
    <n v="21217"/>
    <x v="0"/>
  </r>
  <r>
    <x v="132"/>
    <n v="15768"/>
    <x v="0"/>
  </r>
  <r>
    <x v="132"/>
    <n v="4413"/>
    <x v="4"/>
  </r>
  <r>
    <x v="133"/>
    <n v="2702"/>
    <x v="4"/>
  </r>
  <r>
    <x v="133"/>
    <n v="10510"/>
    <x v="0"/>
  </r>
  <r>
    <x v="134"/>
    <n v="191"/>
    <x v="4"/>
  </r>
  <r>
    <x v="134"/>
    <n v="422"/>
    <x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405">
  <r>
    <x v="0"/>
    <n v="826"/>
    <x v="0"/>
  </r>
  <r>
    <x v="0"/>
    <n v="44"/>
    <x v="1"/>
  </r>
  <r>
    <x v="0"/>
    <n v="18"/>
    <x v="2"/>
  </r>
  <r>
    <x v="1"/>
    <n v="49"/>
    <x v="1"/>
  </r>
  <r>
    <x v="1"/>
    <n v="813"/>
    <x v="0"/>
  </r>
  <r>
    <x v="1"/>
    <n v="18"/>
    <x v="2"/>
  </r>
  <r>
    <x v="2"/>
    <n v="23"/>
    <x v="2"/>
  </r>
  <r>
    <x v="2"/>
    <n v="30"/>
    <x v="1"/>
  </r>
  <r>
    <x v="2"/>
    <n v="614"/>
    <x v="0"/>
  </r>
  <r>
    <x v="3"/>
    <n v="35"/>
    <x v="1"/>
  </r>
  <r>
    <x v="3"/>
    <n v="571"/>
    <x v="0"/>
  </r>
  <r>
    <x v="3"/>
    <n v="28"/>
    <x v="2"/>
  </r>
  <r>
    <x v="4"/>
    <n v="19"/>
    <x v="2"/>
  </r>
  <r>
    <x v="4"/>
    <n v="695"/>
    <x v="0"/>
  </r>
  <r>
    <x v="4"/>
    <n v="28"/>
    <x v="1"/>
  </r>
  <r>
    <x v="5"/>
    <n v="39"/>
    <x v="2"/>
  </r>
  <r>
    <x v="5"/>
    <n v="767"/>
    <x v="0"/>
  </r>
  <r>
    <x v="5"/>
    <n v="16"/>
    <x v="1"/>
  </r>
  <r>
    <x v="6"/>
    <n v="70"/>
    <x v="2"/>
  </r>
  <r>
    <x v="6"/>
    <n v="949"/>
    <x v="0"/>
  </r>
  <r>
    <x v="6"/>
    <n v="39"/>
    <x v="1"/>
  </r>
  <r>
    <x v="7"/>
    <n v="67"/>
    <x v="2"/>
  </r>
  <r>
    <x v="7"/>
    <n v="1084"/>
    <x v="0"/>
  </r>
  <r>
    <x v="7"/>
    <n v="57"/>
    <x v="1"/>
  </r>
  <r>
    <x v="8"/>
    <n v="117"/>
    <x v="2"/>
  </r>
  <r>
    <x v="8"/>
    <n v="1170"/>
    <x v="0"/>
  </r>
  <r>
    <x v="8"/>
    <n v="49"/>
    <x v="1"/>
  </r>
  <r>
    <x v="9"/>
    <n v="175"/>
    <x v="2"/>
  </r>
  <r>
    <x v="9"/>
    <n v="1749"/>
    <x v="0"/>
  </r>
  <r>
    <x v="9"/>
    <n v="112"/>
    <x v="1"/>
  </r>
  <r>
    <x v="10"/>
    <n v="472"/>
    <x v="2"/>
  </r>
  <r>
    <x v="10"/>
    <n v="2639"/>
    <x v="0"/>
  </r>
  <r>
    <x v="10"/>
    <n v="243"/>
    <x v="1"/>
  </r>
  <r>
    <x v="11"/>
    <n v="2499"/>
    <x v="2"/>
  </r>
  <r>
    <x v="11"/>
    <n v="7648"/>
    <x v="0"/>
  </r>
  <r>
    <x v="11"/>
    <n v="989"/>
    <x v="1"/>
  </r>
  <r>
    <x v="12"/>
    <n v="3870"/>
    <x v="2"/>
  </r>
  <r>
    <x v="12"/>
    <n v="12623"/>
    <x v="0"/>
  </r>
  <r>
    <x v="12"/>
    <n v="1688"/>
    <x v="1"/>
  </r>
  <r>
    <x v="13"/>
    <n v="3571"/>
    <x v="2"/>
  </r>
  <r>
    <x v="13"/>
    <n v="12445"/>
    <x v="0"/>
  </r>
  <r>
    <x v="13"/>
    <n v="1651"/>
    <x v="1"/>
  </r>
  <r>
    <x v="14"/>
    <n v="3438"/>
    <x v="2"/>
  </r>
  <r>
    <x v="14"/>
    <n v="9990"/>
    <x v="0"/>
  </r>
  <r>
    <x v="14"/>
    <n v="1455"/>
    <x v="1"/>
  </r>
  <r>
    <x v="15"/>
    <n v="3701"/>
    <x v="2"/>
  </r>
  <r>
    <x v="15"/>
    <n v="10989"/>
    <x v="0"/>
  </r>
  <r>
    <x v="15"/>
    <n v="1447"/>
    <x v="1"/>
  </r>
  <r>
    <x v="16"/>
    <n v="3937"/>
    <x v="2"/>
  </r>
  <r>
    <x v="16"/>
    <n v="13613"/>
    <x v="0"/>
  </r>
  <r>
    <x v="16"/>
    <n v="1400"/>
    <x v="1"/>
  </r>
  <r>
    <x v="17"/>
    <n v="3374"/>
    <x v="2"/>
  </r>
  <r>
    <x v="17"/>
    <n v="14380"/>
    <x v="0"/>
  </r>
  <r>
    <x v="17"/>
    <n v="1389"/>
    <x v="1"/>
  </r>
  <r>
    <x v="18"/>
    <n v="3240"/>
    <x v="2"/>
  </r>
  <r>
    <x v="18"/>
    <n v="15985"/>
    <x v="0"/>
  </r>
  <r>
    <x v="18"/>
    <n v="1405"/>
    <x v="1"/>
  </r>
  <r>
    <x v="19"/>
    <n v="3287"/>
    <x v="2"/>
  </r>
  <r>
    <x v="19"/>
    <n v="18666"/>
    <x v="0"/>
  </r>
  <r>
    <x v="19"/>
    <n v="1330"/>
    <x v="1"/>
  </r>
  <r>
    <x v="20"/>
    <n v="2937"/>
    <x v="2"/>
  </r>
  <r>
    <x v="20"/>
    <n v="17479"/>
    <x v="0"/>
  </r>
  <r>
    <x v="20"/>
    <n v="1215"/>
    <x v="1"/>
  </r>
  <r>
    <x v="21"/>
    <n v="3389"/>
    <x v="2"/>
  </r>
  <r>
    <x v="21"/>
    <n v="17925"/>
    <x v="0"/>
  </r>
  <r>
    <x v="21"/>
    <n v="1252"/>
    <x v="1"/>
  </r>
  <r>
    <x v="22"/>
    <n v="3816"/>
    <x v="2"/>
  </r>
  <r>
    <x v="22"/>
    <n v="16236"/>
    <x v="0"/>
  </r>
  <r>
    <x v="22"/>
    <n v="1167"/>
    <x v="1"/>
  </r>
  <r>
    <x v="23"/>
    <n v="5024"/>
    <x v="2"/>
  </r>
  <r>
    <x v="23"/>
    <n v="16315"/>
    <x v="0"/>
  </r>
  <r>
    <x v="23"/>
    <n v="1378"/>
    <x v="1"/>
  </r>
  <r>
    <x v="24"/>
    <n v="4648"/>
    <x v="2"/>
  </r>
  <r>
    <x v="24"/>
    <n v="15263"/>
    <x v="0"/>
  </r>
  <r>
    <x v="24"/>
    <n v="1213"/>
    <x v="1"/>
  </r>
  <r>
    <x v="25"/>
    <n v="5299"/>
    <x v="2"/>
  </r>
  <r>
    <x v="25"/>
    <n v="15003"/>
    <x v="0"/>
  </r>
  <r>
    <x v="25"/>
    <n v="1202"/>
    <x v="1"/>
  </r>
  <r>
    <x v="26"/>
    <n v="5360"/>
    <x v="2"/>
  </r>
  <r>
    <x v="26"/>
    <n v="13356"/>
    <x v="0"/>
  </r>
  <r>
    <x v="26"/>
    <n v="1161"/>
    <x v="1"/>
  </r>
  <r>
    <x v="27"/>
    <n v="4921"/>
    <x v="2"/>
  </r>
  <r>
    <x v="27"/>
    <n v="16457"/>
    <x v="0"/>
  </r>
  <r>
    <x v="27"/>
    <n v="1055"/>
    <x v="1"/>
  </r>
  <r>
    <x v="28"/>
    <n v="6718"/>
    <x v="2"/>
  </r>
  <r>
    <x v="28"/>
    <n v="22883"/>
    <x v="0"/>
  </r>
  <r>
    <x v="28"/>
    <n v="1319"/>
    <x v="1"/>
  </r>
  <r>
    <x v="29"/>
    <n v="7851"/>
    <x v="2"/>
  </r>
  <r>
    <x v="29"/>
    <n v="25651"/>
    <x v="0"/>
  </r>
  <r>
    <x v="29"/>
    <n v="1313"/>
    <x v="1"/>
  </r>
  <r>
    <x v="30"/>
    <n v="7479"/>
    <x v="2"/>
  </r>
  <r>
    <x v="30"/>
    <n v="31265"/>
    <x v="0"/>
  </r>
  <r>
    <x v="30"/>
    <n v="1364"/>
    <x v="1"/>
  </r>
  <r>
    <x v="31"/>
    <n v="6834"/>
    <x v="2"/>
  </r>
  <r>
    <x v="31"/>
    <n v="33697"/>
    <x v="0"/>
  </r>
  <r>
    <x v="31"/>
    <n v="1256"/>
    <x v="1"/>
  </r>
  <r>
    <x v="32"/>
    <n v="6406"/>
    <x v="2"/>
  </r>
  <r>
    <x v="32"/>
    <n v="34158"/>
    <x v="0"/>
  </r>
  <r>
    <x v="32"/>
    <n v="1349"/>
    <x v="1"/>
  </r>
  <r>
    <x v="33"/>
    <n v="6229"/>
    <x v="2"/>
  </r>
  <r>
    <x v="33"/>
    <n v="35897"/>
    <x v="0"/>
  </r>
  <r>
    <x v="33"/>
    <n v="1311"/>
    <x v="1"/>
  </r>
  <r>
    <x v="34"/>
    <n v="7907"/>
    <x v="2"/>
  </r>
  <r>
    <x v="34"/>
    <n v="32190"/>
    <x v="0"/>
  </r>
  <r>
    <x v="34"/>
    <n v="1433"/>
    <x v="1"/>
  </r>
  <r>
    <x v="35"/>
    <n v="9803"/>
    <x v="2"/>
  </r>
  <r>
    <x v="35"/>
    <n v="30756"/>
    <x v="0"/>
  </r>
  <r>
    <x v="35"/>
    <n v="1529"/>
    <x v="1"/>
  </r>
  <r>
    <x v="36"/>
    <n v="8381"/>
    <x v="2"/>
  </r>
  <r>
    <x v="36"/>
    <n v="27756"/>
    <x v="0"/>
  </r>
  <r>
    <x v="36"/>
    <n v="1162"/>
    <x v="1"/>
  </r>
  <r>
    <x v="37"/>
    <n v="10423"/>
    <x v="2"/>
  </r>
  <r>
    <x v="37"/>
    <n v="26108"/>
    <x v="0"/>
  </r>
  <r>
    <x v="37"/>
    <n v="1383"/>
    <x v="1"/>
  </r>
  <r>
    <x v="38"/>
    <n v="9972"/>
    <x v="2"/>
  </r>
  <r>
    <x v="38"/>
    <n v="19872"/>
    <x v="0"/>
  </r>
  <r>
    <x v="38"/>
    <n v="1156"/>
    <x v="1"/>
  </r>
  <r>
    <x v="39"/>
    <n v="14626"/>
    <x v="2"/>
  </r>
  <r>
    <x v="39"/>
    <n v="20971"/>
    <x v="0"/>
  </r>
  <r>
    <x v="39"/>
    <n v="1528"/>
    <x v="1"/>
  </r>
  <r>
    <x v="40"/>
    <n v="11177"/>
    <x v="2"/>
  </r>
  <r>
    <x v="40"/>
    <n v="22979"/>
    <x v="0"/>
  </r>
  <r>
    <x v="40"/>
    <n v="1326"/>
    <x v="1"/>
  </r>
  <r>
    <x v="41"/>
    <n v="8565"/>
    <x v="2"/>
  </r>
  <r>
    <x v="41"/>
    <n v="19421"/>
    <x v="0"/>
  </r>
  <r>
    <x v="41"/>
    <n v="1116"/>
    <x v="1"/>
  </r>
  <r>
    <x v="42"/>
    <n v="5138"/>
    <x v="2"/>
  </r>
  <r>
    <x v="42"/>
    <n v="17820"/>
    <x v="0"/>
  </r>
  <r>
    <x v="42"/>
    <n v="697"/>
    <x v="1"/>
  </r>
  <r>
    <x v="43"/>
    <n v="3974"/>
    <x v="2"/>
  </r>
  <r>
    <x v="43"/>
    <n v="18820"/>
    <x v="0"/>
  </r>
  <r>
    <x v="43"/>
    <n v="535"/>
    <x v="1"/>
  </r>
  <r>
    <x v="44"/>
    <n v="2381"/>
    <x v="2"/>
  </r>
  <r>
    <x v="44"/>
    <n v="15153"/>
    <x v="0"/>
  </r>
  <r>
    <x v="44"/>
    <n v="333"/>
    <x v="1"/>
  </r>
  <r>
    <x v="45"/>
    <n v="1448"/>
    <x v="2"/>
  </r>
  <r>
    <x v="45"/>
    <n v="10285"/>
    <x v="0"/>
  </r>
  <r>
    <x v="45"/>
    <n v="226"/>
    <x v="1"/>
  </r>
  <r>
    <x v="46"/>
    <n v="278"/>
    <x v="1"/>
  </r>
  <r>
    <x v="46"/>
    <n v="10453"/>
    <x v="0"/>
  </r>
  <r>
    <x v="46"/>
    <n v="1548"/>
    <x v="2"/>
  </r>
  <r>
    <x v="47"/>
    <n v="438"/>
    <x v="1"/>
  </r>
  <r>
    <x v="47"/>
    <n v="9552"/>
    <x v="0"/>
  </r>
  <r>
    <x v="47"/>
    <n v="1899"/>
    <x v="2"/>
  </r>
  <r>
    <x v="48"/>
    <n v="1028"/>
    <x v="2"/>
  </r>
  <r>
    <x v="48"/>
    <n v="194"/>
    <x v="1"/>
  </r>
  <r>
    <x v="48"/>
    <n v="6437"/>
    <x v="0"/>
  </r>
  <r>
    <x v="49"/>
    <n v="8464"/>
    <x v="0"/>
  </r>
  <r>
    <x v="49"/>
    <n v="2486"/>
    <x v="2"/>
  </r>
  <r>
    <x v="49"/>
    <n v="720"/>
    <x v="1"/>
  </r>
  <r>
    <x v="50"/>
    <n v="4994"/>
    <x v="0"/>
  </r>
  <r>
    <x v="50"/>
    <n v="5487"/>
    <x v="2"/>
  </r>
  <r>
    <x v="50"/>
    <n v="1767"/>
    <x v="1"/>
  </r>
  <r>
    <x v="51"/>
    <n v="1958"/>
    <x v="1"/>
  </r>
  <r>
    <x v="51"/>
    <n v="5617"/>
    <x v="0"/>
  </r>
  <r>
    <x v="51"/>
    <n v="6519"/>
    <x v="2"/>
  </r>
  <r>
    <x v="52"/>
    <n v="1844"/>
    <x v="1"/>
  </r>
  <r>
    <x v="52"/>
    <n v="7665"/>
    <x v="0"/>
  </r>
  <r>
    <x v="52"/>
    <n v="6402"/>
    <x v="2"/>
  </r>
  <r>
    <x v="53"/>
    <n v="4272"/>
    <x v="1"/>
  </r>
  <r>
    <x v="53"/>
    <n v="7108"/>
    <x v="0"/>
  </r>
  <r>
    <x v="53"/>
    <n v="5069"/>
    <x v="2"/>
  </r>
  <r>
    <x v="54"/>
    <n v="4602"/>
    <x v="2"/>
  </r>
  <r>
    <x v="54"/>
    <n v="7329"/>
    <x v="0"/>
  </r>
  <r>
    <x v="54"/>
    <n v="9557"/>
    <x v="1"/>
  </r>
  <r>
    <x v="55"/>
    <n v="4060"/>
    <x v="2"/>
  </r>
  <r>
    <x v="55"/>
    <n v="8765"/>
    <x v="0"/>
  </r>
  <r>
    <x v="55"/>
    <n v="15810"/>
    <x v="1"/>
  </r>
  <r>
    <x v="56"/>
    <n v="2574"/>
    <x v="2"/>
  </r>
  <r>
    <x v="56"/>
    <n v="9547"/>
    <x v="0"/>
  </r>
  <r>
    <x v="56"/>
    <n v="14494"/>
    <x v="1"/>
  </r>
  <r>
    <x v="57"/>
    <n v="1603"/>
    <x v="2"/>
  </r>
  <r>
    <x v="57"/>
    <n v="7753"/>
    <x v="0"/>
  </r>
  <r>
    <x v="57"/>
    <n v="9396"/>
    <x v="1"/>
  </r>
  <r>
    <x v="58"/>
    <n v="1209"/>
    <x v="2"/>
  </r>
  <r>
    <x v="58"/>
    <n v="7215"/>
    <x v="0"/>
  </r>
  <r>
    <x v="58"/>
    <n v="7014"/>
    <x v="1"/>
  </r>
  <r>
    <x v="59"/>
    <n v="1474"/>
    <x v="2"/>
  </r>
  <r>
    <x v="59"/>
    <n v="7453"/>
    <x v="0"/>
  </r>
  <r>
    <x v="59"/>
    <n v="9189"/>
    <x v="1"/>
  </r>
  <r>
    <x v="60"/>
    <n v="1689"/>
    <x v="2"/>
  </r>
  <r>
    <x v="60"/>
    <n v="7105"/>
    <x v="0"/>
  </r>
  <r>
    <x v="60"/>
    <n v="11722"/>
    <x v="1"/>
  </r>
  <r>
    <x v="61"/>
    <n v="1788"/>
    <x v="2"/>
  </r>
  <r>
    <x v="61"/>
    <n v="4854"/>
    <x v="0"/>
  </r>
  <r>
    <x v="61"/>
    <n v="13737"/>
    <x v="1"/>
  </r>
  <r>
    <x v="62"/>
    <n v="1743"/>
    <x v="2"/>
  </r>
  <r>
    <x v="62"/>
    <n v="3289"/>
    <x v="0"/>
  </r>
  <r>
    <x v="62"/>
    <n v="12676"/>
    <x v="1"/>
  </r>
  <r>
    <x v="63"/>
    <n v="9563"/>
    <x v="1"/>
  </r>
  <r>
    <x v="63"/>
    <n v="1306"/>
    <x v="2"/>
  </r>
  <r>
    <x v="63"/>
    <n v="3687"/>
    <x v="0"/>
  </r>
  <r>
    <x v="64"/>
    <n v="1316"/>
    <x v="2"/>
  </r>
  <r>
    <x v="64"/>
    <n v="5116"/>
    <x v="0"/>
  </r>
  <r>
    <x v="64"/>
    <n v="11244"/>
    <x v="1"/>
  </r>
  <r>
    <x v="65"/>
    <n v="1218"/>
    <x v="2"/>
  </r>
  <r>
    <x v="65"/>
    <n v="6264"/>
    <x v="0"/>
  </r>
  <r>
    <x v="65"/>
    <n v="10360"/>
    <x v="1"/>
  </r>
  <r>
    <x v="66"/>
    <n v="979"/>
    <x v="2"/>
  </r>
  <r>
    <x v="66"/>
    <n v="7058"/>
    <x v="0"/>
  </r>
  <r>
    <x v="66"/>
    <n v="7944"/>
    <x v="1"/>
  </r>
  <r>
    <x v="67"/>
    <n v="1511"/>
    <x v="2"/>
  </r>
  <r>
    <x v="67"/>
    <n v="7486"/>
    <x v="0"/>
  </r>
  <r>
    <x v="67"/>
    <n v="10171"/>
    <x v="1"/>
  </r>
  <r>
    <x v="68"/>
    <n v="2107"/>
    <x v="2"/>
  </r>
  <r>
    <x v="68"/>
    <n v="4256"/>
    <x v="0"/>
  </r>
  <r>
    <x v="68"/>
    <n v="12608"/>
    <x v="1"/>
  </r>
  <r>
    <x v="69"/>
    <n v="2974"/>
    <x v="2"/>
  </r>
  <r>
    <x v="69"/>
    <n v="4108"/>
    <x v="0"/>
  </r>
  <r>
    <x v="69"/>
    <n v="14205"/>
    <x v="1"/>
  </r>
  <r>
    <x v="70"/>
    <n v="3341"/>
    <x v="2"/>
  </r>
  <r>
    <x v="70"/>
    <n v="3891"/>
    <x v="0"/>
  </r>
  <r>
    <x v="70"/>
    <n v="15045"/>
    <x v="1"/>
  </r>
  <r>
    <x v="71"/>
    <n v="17054"/>
    <x v="1"/>
  </r>
  <r>
    <x v="71"/>
    <n v="3829"/>
    <x v="2"/>
  </r>
  <r>
    <x v="71"/>
    <n v="4035"/>
    <x v="0"/>
  </r>
  <r>
    <x v="72"/>
    <n v="3529"/>
    <x v="2"/>
  </r>
  <r>
    <x v="72"/>
    <n v="4003"/>
    <x v="0"/>
  </r>
  <r>
    <x v="72"/>
    <n v="18502"/>
    <x v="1"/>
  </r>
  <r>
    <x v="73"/>
    <n v="3603"/>
    <x v="2"/>
  </r>
  <r>
    <x v="73"/>
    <n v="4609"/>
    <x v="0"/>
  </r>
  <r>
    <x v="73"/>
    <n v="17396"/>
    <x v="1"/>
  </r>
  <r>
    <x v="74"/>
    <n v="2404"/>
    <x v="2"/>
  </r>
  <r>
    <x v="74"/>
    <n v="3035"/>
    <x v="0"/>
  </r>
  <r>
    <x v="74"/>
    <n v="15213"/>
    <x v="1"/>
  </r>
  <r>
    <x v="75"/>
    <n v="1132"/>
    <x v="2"/>
  </r>
  <r>
    <x v="75"/>
    <n v="2081"/>
    <x v="0"/>
  </r>
  <r>
    <x v="75"/>
    <n v="10593"/>
    <x v="1"/>
  </r>
  <r>
    <x v="76"/>
    <n v="1076"/>
    <x v="2"/>
  </r>
  <r>
    <x v="76"/>
    <n v="3594"/>
    <x v="0"/>
  </r>
  <r>
    <x v="76"/>
    <n v="7420"/>
    <x v="1"/>
  </r>
  <r>
    <x v="77"/>
    <n v="962"/>
    <x v="2"/>
  </r>
  <r>
    <x v="77"/>
    <n v="4502"/>
    <x v="0"/>
  </r>
  <r>
    <x v="77"/>
    <n v="6376"/>
    <x v="1"/>
  </r>
  <r>
    <x v="78"/>
    <n v="949"/>
    <x v="2"/>
  </r>
  <r>
    <x v="78"/>
    <n v="5638"/>
    <x v="0"/>
  </r>
  <r>
    <x v="78"/>
    <n v="5524"/>
    <x v="1"/>
  </r>
  <r>
    <x v="79"/>
    <n v="1218"/>
    <x v="2"/>
  </r>
  <r>
    <x v="79"/>
    <n v="7760"/>
    <x v="0"/>
  </r>
  <r>
    <x v="79"/>
    <n v="6163"/>
    <x v="1"/>
  </r>
  <r>
    <x v="80"/>
    <n v="1351"/>
    <x v="2"/>
  </r>
  <r>
    <x v="80"/>
    <n v="7099"/>
    <x v="0"/>
  </r>
  <r>
    <x v="80"/>
    <n v="6608"/>
    <x v="1"/>
  </r>
  <r>
    <x v="81"/>
    <n v="1507"/>
    <x v="2"/>
  </r>
  <r>
    <x v="81"/>
    <n v="7200"/>
    <x v="0"/>
  </r>
  <r>
    <x v="81"/>
    <n v="6814"/>
    <x v="1"/>
  </r>
  <r>
    <x v="82"/>
    <n v="2221"/>
    <x v="2"/>
  </r>
  <r>
    <x v="82"/>
    <n v="6027"/>
    <x v="0"/>
  </r>
  <r>
    <x v="82"/>
    <n v="7897"/>
    <x v="1"/>
  </r>
  <r>
    <x v="83"/>
    <n v="2309"/>
    <x v="2"/>
  </r>
  <r>
    <x v="83"/>
    <n v="4246"/>
    <x v="0"/>
  </r>
  <r>
    <x v="83"/>
    <n v="9245"/>
    <x v="1"/>
  </r>
  <r>
    <x v="84"/>
    <n v="2524"/>
    <x v="2"/>
  </r>
  <r>
    <x v="84"/>
    <n v="4694"/>
    <x v="0"/>
  </r>
  <r>
    <x v="84"/>
    <n v="9831"/>
    <x v="1"/>
  </r>
  <r>
    <x v="85"/>
    <n v="2754"/>
    <x v="2"/>
  </r>
  <r>
    <x v="85"/>
    <n v="5408"/>
    <x v="0"/>
  </r>
  <r>
    <x v="85"/>
    <n v="9082"/>
    <x v="1"/>
  </r>
  <r>
    <x v="86"/>
    <n v="2417"/>
    <x v="2"/>
  </r>
  <r>
    <x v="86"/>
    <n v="3234"/>
    <x v="0"/>
  </r>
  <r>
    <x v="86"/>
    <n v="11001"/>
    <x v="1"/>
  </r>
  <r>
    <x v="87"/>
    <n v="2589"/>
    <x v="2"/>
  </r>
  <r>
    <x v="87"/>
    <n v="3368"/>
    <x v="0"/>
  </r>
  <r>
    <x v="87"/>
    <n v="14080"/>
    <x v="1"/>
  </r>
  <r>
    <x v="88"/>
    <n v="2638"/>
    <x v="2"/>
  </r>
  <r>
    <x v="88"/>
    <n v="4588"/>
    <x v="0"/>
  </r>
  <r>
    <x v="88"/>
    <n v="13189"/>
    <x v="1"/>
  </r>
  <r>
    <x v="89"/>
    <n v="2459"/>
    <x v="2"/>
  </r>
  <r>
    <x v="89"/>
    <n v="7585"/>
    <x v="0"/>
  </r>
  <r>
    <x v="89"/>
    <n v="12382"/>
    <x v="1"/>
  </r>
  <r>
    <x v="90"/>
    <n v="2154"/>
    <x v="2"/>
  </r>
  <r>
    <x v="90"/>
    <n v="9137"/>
    <x v="0"/>
  </r>
  <r>
    <x v="90"/>
    <n v="13178"/>
    <x v="1"/>
  </r>
  <r>
    <x v="91"/>
    <n v="2384"/>
    <x v="2"/>
  </r>
  <r>
    <x v="91"/>
    <n v="10864"/>
    <x v="0"/>
  </r>
  <r>
    <x v="91"/>
    <n v="13092"/>
    <x v="1"/>
  </r>
  <r>
    <x v="92"/>
    <n v="3481"/>
    <x v="2"/>
  </r>
  <r>
    <x v="92"/>
    <n v="11375"/>
    <x v="0"/>
  </r>
  <r>
    <x v="92"/>
    <n v="13246"/>
    <x v="1"/>
  </r>
  <r>
    <x v="93"/>
    <n v="4791"/>
    <x v="2"/>
  </r>
  <r>
    <x v="93"/>
    <n v="11150"/>
    <x v="0"/>
  </r>
  <r>
    <x v="93"/>
    <n v="14068"/>
    <x v="1"/>
  </r>
  <r>
    <x v="94"/>
    <n v="5586"/>
    <x v="2"/>
  </r>
  <r>
    <x v="94"/>
    <n v="10847"/>
    <x v="0"/>
  </r>
  <r>
    <x v="94"/>
    <n v="13316"/>
    <x v="1"/>
  </r>
  <r>
    <x v="95"/>
    <n v="5969"/>
    <x v="2"/>
  </r>
  <r>
    <x v="95"/>
    <n v="10879"/>
    <x v="0"/>
  </r>
  <r>
    <x v="95"/>
    <n v="15936"/>
    <x v="1"/>
  </r>
  <r>
    <x v="96"/>
    <n v="5934"/>
    <x v="2"/>
  </r>
  <r>
    <x v="96"/>
    <n v="9018"/>
    <x v="0"/>
  </r>
  <r>
    <x v="96"/>
    <n v="13955"/>
    <x v="1"/>
  </r>
  <r>
    <x v="97"/>
    <n v="7206"/>
    <x v="2"/>
  </r>
  <r>
    <x v="97"/>
    <n v="9650"/>
    <x v="0"/>
  </r>
  <r>
    <x v="97"/>
    <n v="14118"/>
    <x v="1"/>
  </r>
  <r>
    <x v="98"/>
    <n v="7626"/>
    <x v="2"/>
  </r>
  <r>
    <x v="98"/>
    <n v="8478"/>
    <x v="0"/>
  </r>
  <r>
    <x v="98"/>
    <n v="15173"/>
    <x v="1"/>
  </r>
  <r>
    <x v="99"/>
    <n v="6418"/>
    <x v="2"/>
  </r>
  <r>
    <x v="99"/>
    <n v="10146"/>
    <x v="0"/>
  </r>
  <r>
    <x v="99"/>
    <n v="15258"/>
    <x v="1"/>
  </r>
  <r>
    <x v="100"/>
    <n v="5534"/>
    <x v="2"/>
  </r>
  <r>
    <x v="100"/>
    <n v="11269"/>
    <x v="0"/>
  </r>
  <r>
    <x v="100"/>
    <n v="15539"/>
    <x v="1"/>
  </r>
  <r>
    <x v="101"/>
    <n v="5356"/>
    <x v="2"/>
  </r>
  <r>
    <x v="101"/>
    <n v="12428"/>
    <x v="0"/>
  </r>
  <r>
    <x v="101"/>
    <n v="14591"/>
    <x v="1"/>
  </r>
  <r>
    <x v="102"/>
    <n v="5791"/>
    <x v="2"/>
  </r>
  <r>
    <x v="102"/>
    <n v="16843"/>
    <x v="0"/>
  </r>
  <r>
    <x v="102"/>
    <n v="13308"/>
    <x v="1"/>
  </r>
  <r>
    <x v="103"/>
    <n v="4606"/>
    <x v="2"/>
  </r>
  <r>
    <x v="103"/>
    <n v="16724"/>
    <x v="0"/>
  </r>
  <r>
    <x v="103"/>
    <n v="11511"/>
    <x v="1"/>
  </r>
  <r>
    <x v="104"/>
    <n v="3654"/>
    <x v="2"/>
  </r>
  <r>
    <x v="104"/>
    <n v="16144"/>
    <x v="0"/>
  </r>
  <r>
    <x v="104"/>
    <n v="10589"/>
    <x v="1"/>
  </r>
  <r>
    <x v="105"/>
    <n v="2235"/>
    <x v="2"/>
  </r>
  <r>
    <x v="105"/>
    <n v="14862"/>
    <x v="0"/>
  </r>
  <r>
    <x v="105"/>
    <n v="8489"/>
    <x v="1"/>
  </r>
  <r>
    <x v="106"/>
    <n v="1563"/>
    <x v="2"/>
  </r>
  <r>
    <x v="106"/>
    <n v="12990"/>
    <x v="0"/>
  </r>
  <r>
    <x v="106"/>
    <n v="6264"/>
    <x v="1"/>
  </r>
  <r>
    <x v="107"/>
    <n v="1555"/>
    <x v="2"/>
  </r>
  <r>
    <x v="107"/>
    <n v="13820"/>
    <x v="0"/>
  </r>
  <r>
    <x v="107"/>
    <n v="5421"/>
    <x v="1"/>
  </r>
  <r>
    <x v="108"/>
    <n v="1995"/>
    <x v="2"/>
  </r>
  <r>
    <x v="108"/>
    <n v="13950"/>
    <x v="0"/>
  </r>
  <r>
    <x v="108"/>
    <n v="4753"/>
    <x v="1"/>
  </r>
  <r>
    <x v="109"/>
    <n v="2007"/>
    <x v="2"/>
  </r>
  <r>
    <x v="109"/>
    <n v="14928"/>
    <x v="0"/>
  </r>
  <r>
    <x v="109"/>
    <n v="4811"/>
    <x v="1"/>
  </r>
  <r>
    <x v="110"/>
    <n v="1281"/>
    <x v="2"/>
  </r>
  <r>
    <x v="110"/>
    <n v="9741"/>
    <x v="0"/>
  </r>
  <r>
    <x v="110"/>
    <n v="3966"/>
    <x v="1"/>
  </r>
  <r>
    <x v="111"/>
    <n v="1243"/>
    <x v="2"/>
  </r>
  <r>
    <x v="111"/>
    <n v="11238"/>
    <x v="0"/>
  </r>
  <r>
    <x v="111"/>
    <n v="3315"/>
    <x v="1"/>
  </r>
  <r>
    <x v="112"/>
    <n v="1792"/>
    <x v="2"/>
  </r>
  <r>
    <x v="112"/>
    <n v="15797"/>
    <x v="0"/>
  </r>
  <r>
    <x v="112"/>
    <n v="3393"/>
    <x v="1"/>
  </r>
  <r>
    <x v="113"/>
    <n v="1635"/>
    <x v="2"/>
  </r>
  <r>
    <x v="113"/>
    <n v="3249"/>
    <x v="1"/>
  </r>
  <r>
    <x v="113"/>
    <n v="17736"/>
    <x v="0"/>
  </r>
  <r>
    <x v="114"/>
    <n v="2784"/>
    <x v="1"/>
  </r>
  <r>
    <x v="114"/>
    <n v="20538"/>
    <x v="0"/>
  </r>
  <r>
    <x v="114"/>
    <n v="1629"/>
    <x v="2"/>
  </r>
  <r>
    <x v="115"/>
    <n v="2366"/>
    <x v="2"/>
  </r>
  <r>
    <x v="115"/>
    <n v="24775"/>
    <x v="0"/>
  </r>
  <r>
    <x v="115"/>
    <n v="2417"/>
    <x v="1"/>
  </r>
  <r>
    <x v="116"/>
    <n v="2338"/>
    <x v="2"/>
  </r>
  <r>
    <x v="116"/>
    <n v="24541"/>
    <x v="0"/>
  </r>
  <r>
    <x v="116"/>
    <n v="2312"/>
    <x v="1"/>
  </r>
  <r>
    <x v="117"/>
    <n v="2529"/>
    <x v="2"/>
  </r>
  <r>
    <x v="117"/>
    <n v="22811"/>
    <x v="0"/>
  </r>
  <r>
    <x v="117"/>
    <n v="2380"/>
    <x v="1"/>
  </r>
  <r>
    <x v="118"/>
    <n v="2802"/>
    <x v="2"/>
  </r>
  <r>
    <x v="118"/>
    <n v="20827"/>
    <x v="0"/>
  </r>
  <r>
    <x v="118"/>
    <n v="2381"/>
    <x v="1"/>
  </r>
  <r>
    <x v="119"/>
    <n v="3260"/>
    <x v="2"/>
  </r>
  <r>
    <x v="119"/>
    <n v="18426"/>
    <x v="0"/>
  </r>
  <r>
    <x v="119"/>
    <n v="2277"/>
    <x v="1"/>
  </r>
  <r>
    <x v="120"/>
    <n v="4185"/>
    <x v="2"/>
  </r>
  <r>
    <x v="120"/>
    <n v="15661"/>
    <x v="0"/>
  </r>
  <r>
    <x v="120"/>
    <n v="1976"/>
    <x v="1"/>
  </r>
  <r>
    <x v="121"/>
    <n v="3467"/>
    <x v="2"/>
  </r>
  <r>
    <x v="121"/>
    <n v="16499"/>
    <x v="0"/>
  </r>
  <r>
    <x v="121"/>
    <n v="2128"/>
    <x v="1"/>
  </r>
  <r>
    <x v="122"/>
    <n v="4717"/>
    <x v="2"/>
  </r>
  <r>
    <x v="122"/>
    <n v="12178"/>
    <x v="0"/>
  </r>
  <r>
    <x v="122"/>
    <n v="1852"/>
    <x v="1"/>
  </r>
  <r>
    <x v="123"/>
    <n v="6639"/>
    <x v="2"/>
  </r>
  <r>
    <x v="123"/>
    <n v="13532"/>
    <x v="0"/>
  </r>
  <r>
    <x v="123"/>
    <n v="1910"/>
    <x v="1"/>
  </r>
  <r>
    <x v="124"/>
    <n v="8044"/>
    <x v="2"/>
  </r>
  <r>
    <x v="124"/>
    <n v="19773"/>
    <x v="0"/>
  </r>
  <r>
    <x v="124"/>
    <n v="2171"/>
    <x v="1"/>
  </r>
  <r>
    <x v="125"/>
    <n v="5488"/>
    <x v="2"/>
  </r>
  <r>
    <x v="125"/>
    <n v="21942"/>
    <x v="0"/>
  </r>
  <r>
    <x v="125"/>
    <n v="2004"/>
    <x v="1"/>
  </r>
  <r>
    <x v="126"/>
    <n v="4691"/>
    <x v="2"/>
  </r>
  <r>
    <x v="126"/>
    <n v="24432"/>
    <x v="0"/>
  </r>
  <r>
    <x v="126"/>
    <n v="1721"/>
    <x v="1"/>
  </r>
  <r>
    <x v="127"/>
    <n v="3900"/>
    <x v="2"/>
  </r>
  <r>
    <x v="127"/>
    <n v="26221"/>
    <x v="0"/>
  </r>
  <r>
    <x v="127"/>
    <n v="1641"/>
    <x v="1"/>
  </r>
  <r>
    <x v="128"/>
    <n v="2862"/>
    <x v="2"/>
  </r>
  <r>
    <x v="128"/>
    <n v="25851"/>
    <x v="0"/>
  </r>
  <r>
    <x v="128"/>
    <n v="1471"/>
    <x v="1"/>
  </r>
  <r>
    <x v="129"/>
    <n v="3081"/>
    <x v="2"/>
  </r>
  <r>
    <x v="129"/>
    <n v="24951"/>
    <x v="0"/>
  </r>
  <r>
    <x v="129"/>
    <n v="1498"/>
    <x v="1"/>
  </r>
  <r>
    <x v="130"/>
    <n v="22821"/>
    <x v="0"/>
  </r>
  <r>
    <x v="130"/>
    <n v="1459"/>
    <x v="1"/>
  </r>
  <r>
    <x v="130"/>
    <n v="3289"/>
    <x v="2"/>
  </r>
  <r>
    <x v="131"/>
    <n v="1372"/>
    <x v="1"/>
  </r>
  <r>
    <x v="131"/>
    <n v="21108"/>
    <x v="0"/>
  </r>
  <r>
    <x v="131"/>
    <n v="3815"/>
    <x v="2"/>
  </r>
  <r>
    <x v="132"/>
    <n v="3452"/>
    <x v="2"/>
  </r>
  <r>
    <x v="132"/>
    <n v="1041"/>
    <x v="1"/>
  </r>
  <r>
    <x v="132"/>
    <n v="15688"/>
    <x v="0"/>
  </r>
  <r>
    <x v="133"/>
    <n v="780"/>
    <x v="1"/>
  </r>
  <r>
    <x v="133"/>
    <n v="10453"/>
    <x v="0"/>
  </r>
  <r>
    <x v="133"/>
    <n v="1979"/>
    <x v="2"/>
  </r>
  <r>
    <x v="134"/>
    <n v="77"/>
    <x v="1"/>
  </r>
  <r>
    <x v="134"/>
    <n v="422"/>
    <x v="0"/>
  </r>
  <r>
    <x v="134"/>
    <n v="114"/>
    <x v="2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329">
  <r>
    <x v="0"/>
    <n v="1751"/>
    <x v="0"/>
  </r>
  <r>
    <x v="0"/>
    <n v="226"/>
    <x v="1"/>
  </r>
  <r>
    <x v="1"/>
    <n v="237"/>
    <x v="1"/>
  </r>
  <r>
    <x v="1"/>
    <n v="1713"/>
    <x v="0"/>
  </r>
  <r>
    <x v="2"/>
    <n v="1379"/>
    <x v="0"/>
  </r>
  <r>
    <x v="2"/>
    <n v="165"/>
    <x v="1"/>
  </r>
  <r>
    <x v="3"/>
    <n v="248"/>
    <x v="1"/>
  </r>
  <r>
    <x v="3"/>
    <n v="1407"/>
    <x v="0"/>
  </r>
  <r>
    <x v="4"/>
    <n v="357"/>
    <x v="1"/>
  </r>
  <r>
    <x v="4"/>
    <n v="1954"/>
    <x v="0"/>
  </r>
  <r>
    <x v="5"/>
    <n v="256"/>
    <x v="1"/>
  </r>
  <r>
    <x v="5"/>
    <n v="2080"/>
    <x v="0"/>
  </r>
  <r>
    <x v="6"/>
    <n v="2676"/>
    <x v="0"/>
  </r>
  <r>
    <x v="6"/>
    <n v="314"/>
    <x v="1"/>
  </r>
  <r>
    <x v="7"/>
    <n v="373"/>
    <x v="1"/>
  </r>
  <r>
    <x v="7"/>
    <n v="3213"/>
    <x v="0"/>
  </r>
  <r>
    <x v="8"/>
    <n v="4049"/>
    <x v="0"/>
  </r>
  <r>
    <x v="8"/>
    <n v="618"/>
    <x v="1"/>
  </r>
  <r>
    <x v="9"/>
    <n v="7482"/>
    <x v="0"/>
  </r>
  <r>
    <x v="9"/>
    <n v="996"/>
    <x v="1"/>
  </r>
  <r>
    <x v="10"/>
    <n v="15992"/>
    <x v="0"/>
  </r>
  <r>
    <x v="10"/>
    <n v="2199"/>
    <x v="1"/>
  </r>
  <r>
    <x v="11"/>
    <n v="58394"/>
    <x v="0"/>
  </r>
  <r>
    <x v="11"/>
    <n v="9660"/>
    <x v="1"/>
  </r>
  <r>
    <x v="12"/>
    <n v="14686"/>
    <x v="1"/>
  </r>
  <r>
    <x v="12"/>
    <n v="96347"/>
    <x v="0"/>
  </r>
  <r>
    <x v="13"/>
    <n v="93070"/>
    <x v="0"/>
  </r>
  <r>
    <x v="13"/>
    <n v="13545"/>
    <x v="1"/>
  </r>
  <r>
    <x v="14"/>
    <n v="12672"/>
    <x v="1"/>
  </r>
  <r>
    <x v="14"/>
    <n v="77021"/>
    <x v="0"/>
  </r>
  <r>
    <x v="15"/>
    <n v="86488"/>
    <x v="0"/>
  </r>
  <r>
    <x v="15"/>
    <n v="13588"/>
    <x v="1"/>
  </r>
  <r>
    <x v="16"/>
    <n v="13902"/>
    <x v="1"/>
  </r>
  <r>
    <x v="16"/>
    <n v="99743"/>
    <x v="0"/>
  </r>
  <r>
    <x v="17"/>
    <n v="12297"/>
    <x v="1"/>
  </r>
  <r>
    <x v="17"/>
    <n v="94688"/>
    <x v="0"/>
  </r>
  <r>
    <x v="18"/>
    <n v="102712"/>
    <x v="0"/>
  </r>
  <r>
    <x v="18"/>
    <n v="11912"/>
    <x v="1"/>
  </r>
  <r>
    <x v="19"/>
    <n v="111391"/>
    <x v="0"/>
  </r>
  <r>
    <x v="19"/>
    <n v="11212"/>
    <x v="1"/>
  </r>
  <r>
    <x v="20"/>
    <n v="101466"/>
    <x v="0"/>
  </r>
  <r>
    <x v="20"/>
    <n v="10662"/>
    <x v="1"/>
  </r>
  <r>
    <x v="21"/>
    <n v="11537"/>
    <x v="1"/>
  </r>
  <r>
    <x v="21"/>
    <n v="102383"/>
    <x v="0"/>
  </r>
  <r>
    <x v="22"/>
    <n v="12948"/>
    <x v="1"/>
  </r>
  <r>
    <x v="22"/>
    <n v="96093"/>
    <x v="0"/>
  </r>
  <r>
    <x v="23"/>
    <n v="17880"/>
    <x v="1"/>
  </r>
  <r>
    <x v="23"/>
    <n v="107333"/>
    <x v="0"/>
  </r>
  <r>
    <x v="24"/>
    <n v="98456"/>
    <x v="0"/>
  </r>
  <r>
    <x v="24"/>
    <n v="17232"/>
    <x v="1"/>
  </r>
  <r>
    <x v="25"/>
    <n v="21209"/>
    <x v="1"/>
  </r>
  <r>
    <x v="25"/>
    <n v="99305"/>
    <x v="0"/>
  </r>
  <r>
    <x v="26"/>
    <n v="86895"/>
    <x v="0"/>
  </r>
  <r>
    <x v="26"/>
    <n v="20923"/>
    <x v="1"/>
  </r>
  <r>
    <x v="27"/>
    <n v="93294"/>
    <x v="0"/>
  </r>
  <r>
    <x v="27"/>
    <n v="18017"/>
    <x v="1"/>
  </r>
  <r>
    <x v="28"/>
    <n v="118081"/>
    <x v="0"/>
  </r>
  <r>
    <x v="28"/>
    <n v="22875"/>
    <x v="1"/>
  </r>
  <r>
    <x v="29"/>
    <n v="24801"/>
    <x v="1"/>
  </r>
  <r>
    <x v="29"/>
    <n v="122699"/>
    <x v="0"/>
  </r>
  <r>
    <x v="30"/>
    <n v="21810"/>
    <x v="1"/>
  </r>
  <r>
    <x v="30"/>
    <n v="125490"/>
    <x v="0"/>
  </r>
  <r>
    <x v="31"/>
    <n v="118350"/>
    <x v="0"/>
  </r>
  <r>
    <x v="31"/>
    <n v="17435"/>
    <x v="1"/>
  </r>
  <r>
    <x v="32"/>
    <n v="15468"/>
    <x v="1"/>
  </r>
  <r>
    <x v="32"/>
    <n v="113663"/>
    <x v="0"/>
  </r>
  <r>
    <x v="33"/>
    <n v="110255"/>
    <x v="0"/>
  </r>
  <r>
    <x v="33"/>
    <n v="15255"/>
    <x v="1"/>
  </r>
  <r>
    <x v="34"/>
    <n v="99634"/>
    <x v="0"/>
  </r>
  <r>
    <x v="34"/>
    <n v="18097"/>
    <x v="1"/>
  </r>
  <r>
    <x v="35"/>
    <n v="101090"/>
    <x v="0"/>
  </r>
  <r>
    <x v="35"/>
    <n v="21973"/>
    <x v="1"/>
  </r>
  <r>
    <x v="36"/>
    <n v="88196"/>
    <x v="0"/>
  </r>
  <r>
    <x v="36"/>
    <n v="20897"/>
    <x v="1"/>
  </r>
  <r>
    <x v="37"/>
    <n v="95942"/>
    <x v="0"/>
  </r>
  <r>
    <x v="37"/>
    <n v="30555"/>
    <x v="1"/>
  </r>
  <r>
    <x v="38"/>
    <n v="78250"/>
    <x v="0"/>
  </r>
  <r>
    <x v="38"/>
    <n v="34268"/>
    <x v="1"/>
  </r>
  <r>
    <x v="39"/>
    <n v="60058"/>
    <x v="1"/>
  </r>
  <r>
    <x v="39"/>
    <n v="99187"/>
    <x v="0"/>
  </r>
  <r>
    <x v="40"/>
    <n v="102401"/>
    <x v="0"/>
  </r>
  <r>
    <x v="40"/>
    <n v="41596"/>
    <x v="1"/>
  </r>
  <r>
    <x v="41"/>
    <n v="38213"/>
    <x v="1"/>
  </r>
  <r>
    <x v="41"/>
    <n v="98366"/>
    <x v="0"/>
  </r>
  <r>
    <x v="42"/>
    <n v="81925"/>
    <x v="0"/>
  </r>
  <r>
    <x v="42"/>
    <n v="23471"/>
    <x v="1"/>
  </r>
  <r>
    <x v="43"/>
    <n v="17448"/>
    <x v="1"/>
  </r>
  <r>
    <x v="43"/>
    <n v="80739"/>
    <x v="0"/>
  </r>
  <r>
    <x v="44"/>
    <n v="67217"/>
    <x v="0"/>
  </r>
  <r>
    <x v="44"/>
    <n v="11583"/>
    <x v="1"/>
  </r>
  <r>
    <x v="45"/>
    <n v="7202"/>
    <x v="1"/>
  </r>
  <r>
    <x v="45"/>
    <n v="45118"/>
    <x v="0"/>
  </r>
  <r>
    <x v="46"/>
    <n v="50695"/>
    <x v="0"/>
  </r>
  <r>
    <x v="46"/>
    <n v="10585"/>
    <x v="1"/>
  </r>
  <r>
    <x v="47"/>
    <n v="15821"/>
    <x v="1"/>
  </r>
  <r>
    <x v="47"/>
    <n v="52104"/>
    <x v="0"/>
  </r>
  <r>
    <x v="48"/>
    <n v="7542"/>
    <x v="1"/>
  </r>
  <r>
    <x v="48"/>
    <n v="32449"/>
    <x v="0"/>
  </r>
  <r>
    <x v="49"/>
    <n v="52470"/>
    <x v="0"/>
  </r>
  <r>
    <x v="49"/>
    <n v="32323"/>
    <x v="1"/>
  </r>
  <r>
    <x v="50"/>
    <n v="58125"/>
    <x v="0"/>
  </r>
  <r>
    <x v="50"/>
    <n v="81506"/>
    <x v="1"/>
  </r>
  <r>
    <x v="51"/>
    <n v="72314"/>
    <x v="0"/>
  </r>
  <r>
    <x v="51"/>
    <n v="104826"/>
    <x v="1"/>
  </r>
  <r>
    <x v="52"/>
    <n v="87478"/>
    <x v="0"/>
  </r>
  <r>
    <x v="52"/>
    <n v="108692"/>
    <x v="1"/>
  </r>
  <r>
    <x v="53"/>
    <n v="94312"/>
    <x v="2"/>
  </r>
  <r>
    <x v="53"/>
    <n v="10383"/>
    <x v="3"/>
  </r>
  <r>
    <x v="53"/>
    <n v="80977"/>
    <x v="0"/>
  </r>
  <r>
    <x v="54"/>
    <n v="16311"/>
    <x v="3"/>
  </r>
  <r>
    <x v="54"/>
    <n v="82570"/>
    <x v="0"/>
  </r>
  <r>
    <x v="54"/>
    <n v="90531"/>
    <x v="2"/>
  </r>
  <r>
    <x v="55"/>
    <n v="89410"/>
    <x v="0"/>
  </r>
  <r>
    <x v="55"/>
    <n v="25480"/>
    <x v="3"/>
  </r>
  <r>
    <x v="55"/>
    <n v="71783"/>
    <x v="2"/>
  </r>
  <r>
    <x v="56"/>
    <n v="45076"/>
    <x v="2"/>
  </r>
  <r>
    <x v="56"/>
    <n v="83867"/>
    <x v="0"/>
  </r>
  <r>
    <x v="56"/>
    <n v="22620"/>
    <x v="3"/>
  </r>
  <r>
    <x v="57"/>
    <n v="62931"/>
    <x v="0"/>
  </r>
  <r>
    <x v="57"/>
    <n v="16406"/>
    <x v="3"/>
  </r>
  <r>
    <x v="57"/>
    <n v="24616"/>
    <x v="2"/>
  </r>
  <r>
    <x v="58"/>
    <n v="13051"/>
    <x v="3"/>
  </r>
  <r>
    <x v="58"/>
    <n v="20958"/>
    <x v="2"/>
  </r>
  <r>
    <x v="58"/>
    <n v="58846"/>
    <x v="0"/>
  </r>
  <r>
    <x v="59"/>
    <n v="18179"/>
    <x v="3"/>
  </r>
  <r>
    <x v="59"/>
    <n v="26484"/>
    <x v="2"/>
  </r>
  <r>
    <x v="59"/>
    <n v="62802"/>
    <x v="0"/>
  </r>
  <r>
    <x v="60"/>
    <n v="60390"/>
    <x v="0"/>
  </r>
  <r>
    <x v="60"/>
    <n v="23590"/>
    <x v="3"/>
  </r>
  <r>
    <x v="60"/>
    <n v="27562"/>
    <x v="2"/>
  </r>
  <r>
    <x v="61"/>
    <n v="54738"/>
    <x v="0"/>
  </r>
  <r>
    <x v="61"/>
    <n v="26564"/>
    <x v="3"/>
  </r>
  <r>
    <x v="61"/>
    <n v="29806"/>
    <x v="2"/>
  </r>
  <r>
    <x v="62"/>
    <n v="43730"/>
    <x v="0"/>
  </r>
  <r>
    <x v="62"/>
    <n v="24648"/>
    <x v="3"/>
  </r>
  <r>
    <x v="62"/>
    <n v="25134"/>
    <x v="2"/>
  </r>
  <r>
    <x v="63"/>
    <n v="42612"/>
    <x v="0"/>
  </r>
  <r>
    <x v="63"/>
    <n v="17440"/>
    <x v="3"/>
  </r>
  <r>
    <x v="63"/>
    <n v="17800"/>
    <x v="2"/>
  </r>
  <r>
    <x v="64"/>
    <n v="46376"/>
    <x v="0"/>
  </r>
  <r>
    <x v="64"/>
    <n v="21045"/>
    <x v="3"/>
  </r>
  <r>
    <x v="64"/>
    <n v="16829"/>
    <x v="2"/>
  </r>
  <r>
    <x v="65"/>
    <n v="14699"/>
    <x v="2"/>
  </r>
  <r>
    <x v="65"/>
    <n v="49599"/>
    <x v="0"/>
  </r>
  <r>
    <x v="65"/>
    <n v="19445"/>
    <x v="3"/>
  </r>
  <r>
    <x v="66"/>
    <n v="15205"/>
    <x v="3"/>
  </r>
  <r>
    <x v="66"/>
    <n v="11907"/>
    <x v="2"/>
  </r>
  <r>
    <x v="66"/>
    <n v="51493"/>
    <x v="0"/>
  </r>
  <r>
    <x v="67"/>
    <n v="21345"/>
    <x v="3"/>
  </r>
  <r>
    <x v="67"/>
    <n v="16456"/>
    <x v="2"/>
  </r>
  <r>
    <x v="67"/>
    <n v="55048"/>
    <x v="0"/>
  </r>
  <r>
    <x v="68"/>
    <n v="40328"/>
    <x v="0"/>
  </r>
  <r>
    <x v="68"/>
    <n v="28168"/>
    <x v="3"/>
  </r>
  <r>
    <x v="68"/>
    <n v="22322"/>
    <x v="2"/>
  </r>
  <r>
    <x v="69"/>
    <n v="41549"/>
    <x v="0"/>
  </r>
  <r>
    <x v="69"/>
    <n v="33340"/>
    <x v="3"/>
  </r>
  <r>
    <x v="69"/>
    <n v="30002"/>
    <x v="2"/>
  </r>
  <r>
    <x v="70"/>
    <n v="37451"/>
    <x v="0"/>
  </r>
  <r>
    <x v="70"/>
    <n v="38106"/>
    <x v="3"/>
  </r>
  <r>
    <x v="70"/>
    <n v="30869"/>
    <x v="2"/>
  </r>
  <r>
    <x v="71"/>
    <n v="38965"/>
    <x v="0"/>
  </r>
  <r>
    <x v="71"/>
    <n v="34888"/>
    <x v="2"/>
  </r>
  <r>
    <x v="71"/>
    <n v="43237"/>
    <x v="3"/>
  </r>
  <r>
    <x v="72"/>
    <n v="36931"/>
    <x v="0"/>
  </r>
  <r>
    <x v="72"/>
    <n v="44477"/>
    <x v="3"/>
  </r>
  <r>
    <x v="72"/>
    <n v="33215"/>
    <x v="2"/>
  </r>
  <r>
    <x v="73"/>
    <n v="30768"/>
    <x v="2"/>
  </r>
  <r>
    <x v="73"/>
    <n v="37323"/>
    <x v="3"/>
  </r>
  <r>
    <x v="73"/>
    <n v="41383"/>
    <x v="0"/>
  </r>
  <r>
    <x v="74"/>
    <n v="20081"/>
    <x v="2"/>
  </r>
  <r>
    <x v="74"/>
    <n v="32289"/>
    <x v="3"/>
  </r>
  <r>
    <x v="74"/>
    <n v="32412"/>
    <x v="0"/>
  </r>
  <r>
    <x v="75"/>
    <n v="10793"/>
    <x v="2"/>
  </r>
  <r>
    <x v="75"/>
    <n v="21224"/>
    <x v="3"/>
  </r>
  <r>
    <x v="75"/>
    <n v="22609"/>
    <x v="0"/>
  </r>
  <r>
    <x v="76"/>
    <n v="9553"/>
    <x v="2"/>
  </r>
  <r>
    <x v="76"/>
    <n v="14491"/>
    <x v="3"/>
  </r>
  <r>
    <x v="76"/>
    <n v="29812"/>
    <x v="0"/>
  </r>
  <r>
    <x v="77"/>
    <n v="7592"/>
    <x v="2"/>
  </r>
  <r>
    <x v="77"/>
    <n v="13261"/>
    <x v="3"/>
  </r>
  <r>
    <x v="77"/>
    <n v="30453"/>
    <x v="0"/>
  </r>
  <r>
    <x v="78"/>
    <n v="6380"/>
    <x v="2"/>
  </r>
  <r>
    <x v="78"/>
    <n v="11117"/>
    <x v="3"/>
  </r>
  <r>
    <x v="78"/>
    <n v="31434"/>
    <x v="0"/>
  </r>
  <r>
    <x v="79"/>
    <n v="8952"/>
    <x v="2"/>
  </r>
  <r>
    <x v="79"/>
    <n v="12492"/>
    <x v="3"/>
  </r>
  <r>
    <x v="79"/>
    <n v="41640"/>
    <x v="0"/>
  </r>
  <r>
    <x v="80"/>
    <n v="37088"/>
    <x v="0"/>
  </r>
  <r>
    <x v="80"/>
    <n v="9875"/>
    <x v="2"/>
  </r>
  <r>
    <x v="80"/>
    <n v="14123"/>
    <x v="3"/>
  </r>
  <r>
    <x v="81"/>
    <n v="11433"/>
    <x v="2"/>
  </r>
  <r>
    <x v="81"/>
    <n v="14085"/>
    <x v="3"/>
  </r>
  <r>
    <x v="81"/>
    <n v="36313"/>
    <x v="0"/>
  </r>
  <r>
    <x v="82"/>
    <n v="22206"/>
    <x v="2"/>
  </r>
  <r>
    <x v="82"/>
    <n v="17552"/>
    <x v="3"/>
  </r>
  <r>
    <x v="82"/>
    <n v="32247"/>
    <x v="0"/>
  </r>
  <r>
    <x v="83"/>
    <n v="21822"/>
    <x v="2"/>
  </r>
  <r>
    <x v="83"/>
    <n v="20154"/>
    <x v="3"/>
  </r>
  <r>
    <x v="83"/>
    <n v="24463"/>
    <x v="0"/>
  </r>
  <r>
    <x v="84"/>
    <n v="22762"/>
    <x v="2"/>
  </r>
  <r>
    <x v="84"/>
    <n v="21858"/>
    <x v="3"/>
  </r>
  <r>
    <x v="84"/>
    <n v="25528"/>
    <x v="0"/>
  </r>
  <r>
    <x v="85"/>
    <n v="25465"/>
    <x v="2"/>
  </r>
  <r>
    <x v="85"/>
    <n v="18923"/>
    <x v="3"/>
  </r>
  <r>
    <x v="85"/>
    <n v="30766"/>
    <x v="0"/>
  </r>
  <r>
    <x v="86"/>
    <n v="22392"/>
    <x v="2"/>
  </r>
  <r>
    <x v="86"/>
    <n v="20650"/>
    <x v="3"/>
  </r>
  <r>
    <x v="86"/>
    <n v="21030"/>
    <x v="0"/>
  </r>
  <r>
    <x v="87"/>
    <n v="22169"/>
    <x v="2"/>
  </r>
  <r>
    <x v="87"/>
    <n v="23750"/>
    <x v="3"/>
  </r>
  <r>
    <x v="87"/>
    <n v="20238"/>
    <x v="0"/>
  </r>
  <r>
    <x v="88"/>
    <n v="24409"/>
    <x v="0"/>
  </r>
  <r>
    <x v="88"/>
    <n v="21904"/>
    <x v="2"/>
  </r>
  <r>
    <x v="88"/>
    <n v="22147"/>
    <x v="3"/>
  </r>
  <r>
    <x v="89"/>
    <n v="20132"/>
    <x v="3"/>
  </r>
  <r>
    <x v="89"/>
    <n v="18591"/>
    <x v="2"/>
  </r>
  <r>
    <x v="89"/>
    <n v="32503"/>
    <x v="0"/>
  </r>
  <r>
    <x v="90"/>
    <n v="20169"/>
    <x v="2"/>
  </r>
  <r>
    <x v="90"/>
    <n v="20818"/>
    <x v="3"/>
  </r>
  <r>
    <x v="90"/>
    <n v="40917"/>
    <x v="0"/>
  </r>
  <r>
    <x v="91"/>
    <n v="20467"/>
    <x v="2"/>
  </r>
  <r>
    <x v="91"/>
    <n v="21157"/>
    <x v="3"/>
  </r>
  <r>
    <x v="91"/>
    <n v="40189"/>
    <x v="0"/>
  </r>
  <r>
    <x v="92"/>
    <n v="25359"/>
    <x v="2"/>
  </r>
  <r>
    <x v="92"/>
    <n v="23362"/>
    <x v="3"/>
  </r>
  <r>
    <x v="92"/>
    <n v="43003"/>
    <x v="0"/>
  </r>
  <r>
    <x v="93"/>
    <n v="33904"/>
    <x v="2"/>
  </r>
  <r>
    <x v="93"/>
    <n v="24936"/>
    <x v="3"/>
  </r>
  <r>
    <x v="93"/>
    <n v="47014"/>
    <x v="0"/>
  </r>
  <r>
    <x v="94"/>
    <n v="40037"/>
    <x v="2"/>
  </r>
  <r>
    <x v="94"/>
    <n v="26328"/>
    <x v="3"/>
  </r>
  <r>
    <x v="94"/>
    <n v="49818"/>
    <x v="0"/>
  </r>
  <r>
    <x v="95"/>
    <n v="40485"/>
    <x v="2"/>
  </r>
  <r>
    <x v="95"/>
    <n v="29752"/>
    <x v="3"/>
  </r>
  <r>
    <x v="95"/>
    <n v="49998"/>
    <x v="0"/>
  </r>
  <r>
    <x v="96"/>
    <n v="36497"/>
    <x v="2"/>
  </r>
  <r>
    <x v="96"/>
    <n v="39738"/>
    <x v="0"/>
  </r>
  <r>
    <x v="96"/>
    <n v="26821"/>
    <x v="3"/>
  </r>
  <r>
    <x v="97"/>
    <n v="44263"/>
    <x v="0"/>
  </r>
  <r>
    <x v="97"/>
    <n v="27440"/>
    <x v="3"/>
  </r>
  <r>
    <x v="97"/>
    <n v="41281"/>
    <x v="2"/>
  </r>
  <r>
    <x v="98"/>
    <n v="45862"/>
    <x v="2"/>
  </r>
  <r>
    <x v="98"/>
    <n v="29625"/>
    <x v="3"/>
  </r>
  <r>
    <x v="98"/>
    <n v="42588"/>
    <x v="0"/>
  </r>
  <r>
    <x v="99"/>
    <n v="40421"/>
    <x v="2"/>
  </r>
  <r>
    <x v="99"/>
    <n v="29886"/>
    <x v="3"/>
  </r>
  <r>
    <x v="99"/>
    <n v="46379"/>
    <x v="0"/>
  </r>
  <r>
    <x v="100"/>
    <n v="30711"/>
    <x v="2"/>
  </r>
  <r>
    <x v="100"/>
    <n v="30221"/>
    <x v="3"/>
  </r>
  <r>
    <x v="100"/>
    <n v="47961"/>
    <x v="0"/>
  </r>
  <r>
    <x v="101"/>
    <n v="26806"/>
    <x v="2"/>
  </r>
  <r>
    <x v="101"/>
    <n v="28245"/>
    <x v="3"/>
  </r>
  <r>
    <x v="101"/>
    <n v="48520"/>
    <x v="0"/>
  </r>
  <r>
    <x v="102"/>
    <n v="32722"/>
    <x v="2"/>
  </r>
  <r>
    <x v="102"/>
    <n v="26789"/>
    <x v="3"/>
  </r>
  <r>
    <x v="102"/>
    <n v="62247"/>
    <x v="0"/>
  </r>
  <r>
    <x v="103"/>
    <n v="27485"/>
    <x v="2"/>
  </r>
  <r>
    <x v="103"/>
    <n v="23013"/>
    <x v="3"/>
  </r>
  <r>
    <x v="103"/>
    <n v="60521"/>
    <x v="0"/>
  </r>
  <r>
    <x v="104"/>
    <n v="19112"/>
    <x v="2"/>
  </r>
  <r>
    <x v="104"/>
    <n v="20542"/>
    <x v="3"/>
  </r>
  <r>
    <x v="104"/>
    <n v="56084"/>
    <x v="0"/>
  </r>
  <r>
    <x v="105"/>
    <n v="49158"/>
    <x v="0"/>
  </r>
  <r>
    <x v="105"/>
    <n v="15993"/>
    <x v="3"/>
  </r>
  <r>
    <x v="105"/>
    <n v="11604"/>
    <x v="2"/>
  </r>
  <r>
    <x v="106"/>
    <n v="41648"/>
    <x v="0"/>
  </r>
  <r>
    <x v="106"/>
    <n v="12082"/>
    <x v="3"/>
  </r>
  <r>
    <x v="106"/>
    <n v="7900"/>
    <x v="2"/>
  </r>
  <r>
    <x v="107"/>
    <n v="8033"/>
    <x v="2"/>
  </r>
  <r>
    <x v="107"/>
    <n v="45669"/>
    <x v="0"/>
  </r>
  <r>
    <x v="107"/>
    <n v="10922"/>
    <x v="3"/>
  </r>
  <r>
    <x v="108"/>
    <n v="9752"/>
    <x v="3"/>
  </r>
  <r>
    <x v="108"/>
    <n v="9674"/>
    <x v="2"/>
  </r>
  <r>
    <x v="108"/>
    <n v="45743"/>
    <x v="0"/>
  </r>
  <r>
    <x v="109"/>
    <n v="48084"/>
    <x v="0"/>
  </r>
  <r>
    <x v="109"/>
    <n v="9671"/>
    <x v="3"/>
  </r>
  <r>
    <x v="109"/>
    <n v="9770"/>
    <x v="2"/>
  </r>
  <r>
    <x v="110"/>
    <n v="6582"/>
    <x v="2"/>
  </r>
  <r>
    <x v="110"/>
    <n v="32181"/>
    <x v="0"/>
  </r>
  <r>
    <x v="110"/>
    <n v="6"/>
    <x v="4"/>
  </r>
  <r>
    <x v="110"/>
    <n v="8095"/>
    <x v="3"/>
  </r>
  <r>
    <x v="111"/>
    <n v="34463"/>
    <x v="0"/>
  </r>
  <r>
    <x v="111"/>
    <n v="12788"/>
    <x v="4"/>
  </r>
  <r>
    <x v="112"/>
    <n v="46338"/>
    <x v="0"/>
  </r>
  <r>
    <x v="112"/>
    <n v="14986"/>
    <x v="4"/>
  </r>
  <r>
    <x v="113"/>
    <n v="14482"/>
    <x v="4"/>
  </r>
  <r>
    <x v="113"/>
    <n v="49506"/>
    <x v="0"/>
  </r>
  <r>
    <x v="114"/>
    <n v="13324"/>
    <x v="4"/>
  </r>
  <r>
    <x v="114"/>
    <n v="55296"/>
    <x v="0"/>
  </r>
  <r>
    <x v="115"/>
    <n v="65987"/>
    <x v="0"/>
  </r>
  <r>
    <x v="115"/>
    <n v="15877"/>
    <x v="4"/>
  </r>
  <r>
    <x v="116"/>
    <n v="16493"/>
    <x v="4"/>
  </r>
  <r>
    <x v="116"/>
    <n v="67292"/>
    <x v="0"/>
  </r>
  <r>
    <x v="117"/>
    <n v="63700"/>
    <x v="0"/>
  </r>
  <r>
    <x v="117"/>
    <n v="16731"/>
    <x v="4"/>
  </r>
  <r>
    <x v="118"/>
    <n v="59685"/>
    <x v="0"/>
  </r>
  <r>
    <x v="118"/>
    <n v="17725"/>
    <x v="4"/>
  </r>
  <r>
    <x v="119"/>
    <n v="18168"/>
    <x v="4"/>
  </r>
  <r>
    <x v="119"/>
    <n v="54342"/>
    <x v="0"/>
  </r>
  <r>
    <x v="120"/>
    <n v="47250"/>
    <x v="0"/>
  </r>
  <r>
    <x v="120"/>
    <n v="21476"/>
    <x v="4"/>
  </r>
  <r>
    <x v="121"/>
    <n v="50078"/>
    <x v="0"/>
  </r>
  <r>
    <x v="121"/>
    <n v="20938"/>
    <x v="4"/>
  </r>
  <r>
    <x v="122"/>
    <n v="24131"/>
    <x v="4"/>
  </r>
  <r>
    <x v="122"/>
    <n v="39431"/>
    <x v="0"/>
  </r>
  <r>
    <x v="123"/>
    <n v="45767"/>
    <x v="0"/>
  </r>
  <r>
    <x v="123"/>
    <n v="35016"/>
    <x v="4"/>
  </r>
  <r>
    <x v="124"/>
    <n v="63289"/>
    <x v="0"/>
  </r>
  <r>
    <x v="124"/>
    <n v="39618"/>
    <x v="4"/>
  </r>
  <r>
    <x v="125"/>
    <n v="30540"/>
    <x v="4"/>
  </r>
  <r>
    <x v="125"/>
    <n v="66830"/>
    <x v="0"/>
  </r>
  <r>
    <x v="126"/>
    <n v="70156"/>
    <x v="0"/>
  </r>
  <r>
    <x v="126"/>
    <n v="26241"/>
    <x v="4"/>
  </r>
  <r>
    <x v="127"/>
    <n v="73092"/>
    <x v="0"/>
  </r>
  <r>
    <x v="127"/>
    <n v="21405"/>
    <x v="4"/>
  </r>
  <r>
    <x v="128"/>
    <n v="71669"/>
    <x v="0"/>
  </r>
  <r>
    <x v="128"/>
    <n v="17182"/>
    <x v="4"/>
  </r>
  <r>
    <x v="129"/>
    <n v="16547"/>
    <x v="4"/>
  </r>
  <r>
    <x v="129"/>
    <n v="69113"/>
    <x v="0"/>
  </r>
  <r>
    <x v="130"/>
    <n v="65422"/>
    <x v="0"/>
  </r>
  <r>
    <x v="130"/>
    <n v="17651"/>
    <x v="4"/>
  </r>
  <r>
    <x v="131"/>
    <n v="18707"/>
    <x v="4"/>
  </r>
  <r>
    <x v="131"/>
    <n v="62442"/>
    <x v="0"/>
  </r>
  <r>
    <x v="132"/>
    <n v="48673"/>
    <x v="0"/>
  </r>
  <r>
    <x v="132"/>
    <n v="16499"/>
    <x v="4"/>
  </r>
  <r>
    <x v="133"/>
    <n v="9702"/>
    <x v="4"/>
  </r>
  <r>
    <x v="133"/>
    <n v="31545"/>
    <x v="0"/>
  </r>
  <r>
    <x v="134"/>
    <n v="660"/>
    <x v="4"/>
  </r>
  <r>
    <x v="134"/>
    <n v="1503"/>
    <x v="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405">
  <r>
    <x v="0"/>
    <n v="1377"/>
    <x v="0"/>
  </r>
  <r>
    <x v="0"/>
    <n v="44"/>
    <x v="1"/>
  </r>
  <r>
    <x v="0"/>
    <n v="556"/>
    <x v="2"/>
  </r>
  <r>
    <x v="1"/>
    <n v="49"/>
    <x v="1"/>
  </r>
  <r>
    <x v="1"/>
    <n v="1349"/>
    <x v="0"/>
  </r>
  <r>
    <x v="1"/>
    <n v="552"/>
    <x v="2"/>
  </r>
  <r>
    <x v="2"/>
    <n v="457"/>
    <x v="2"/>
  </r>
  <r>
    <x v="2"/>
    <n v="30"/>
    <x v="1"/>
  </r>
  <r>
    <x v="2"/>
    <n v="1057"/>
    <x v="0"/>
  </r>
  <r>
    <x v="3"/>
    <n v="35"/>
    <x v="1"/>
  </r>
  <r>
    <x v="3"/>
    <n v="1032"/>
    <x v="0"/>
  </r>
  <r>
    <x v="3"/>
    <n v="588"/>
    <x v="2"/>
  </r>
  <r>
    <x v="4"/>
    <n v="28"/>
    <x v="1"/>
  </r>
  <r>
    <x v="4"/>
    <n v="897"/>
    <x v="2"/>
  </r>
  <r>
    <x v="4"/>
    <n v="1386"/>
    <x v="0"/>
  </r>
  <r>
    <x v="5"/>
    <n v="16"/>
    <x v="1"/>
  </r>
  <r>
    <x v="5"/>
    <n v="1574"/>
    <x v="0"/>
  </r>
  <r>
    <x v="5"/>
    <n v="746"/>
    <x v="2"/>
  </r>
  <r>
    <x v="6"/>
    <n v="866"/>
    <x v="2"/>
  </r>
  <r>
    <x v="6"/>
    <n v="2085"/>
    <x v="0"/>
  </r>
  <r>
    <x v="6"/>
    <n v="39"/>
    <x v="1"/>
  </r>
  <r>
    <x v="7"/>
    <n v="2462"/>
    <x v="0"/>
  </r>
  <r>
    <x v="7"/>
    <n v="1067"/>
    <x v="2"/>
  </r>
  <r>
    <x v="7"/>
    <n v="57"/>
    <x v="1"/>
  </r>
  <r>
    <x v="8"/>
    <n v="49"/>
    <x v="1"/>
  </r>
  <r>
    <x v="8"/>
    <n v="2834"/>
    <x v="0"/>
  </r>
  <r>
    <x v="8"/>
    <n v="1784"/>
    <x v="2"/>
  </r>
  <r>
    <x v="9"/>
    <n v="112"/>
    <x v="1"/>
  </r>
  <r>
    <x v="9"/>
    <n v="4949"/>
    <x v="0"/>
  </r>
  <r>
    <x v="9"/>
    <n v="3417"/>
    <x v="2"/>
  </r>
  <r>
    <x v="10"/>
    <n v="243"/>
    <x v="1"/>
  </r>
  <r>
    <x v="10"/>
    <n v="9243"/>
    <x v="0"/>
  </r>
  <r>
    <x v="10"/>
    <n v="8705"/>
    <x v="2"/>
  </r>
  <r>
    <x v="11"/>
    <n v="31357"/>
    <x v="0"/>
  </r>
  <r>
    <x v="11"/>
    <n v="35708"/>
    <x v="2"/>
  </r>
  <r>
    <x v="11"/>
    <n v="989"/>
    <x v="1"/>
  </r>
  <r>
    <x v="12"/>
    <n v="1688"/>
    <x v="1"/>
  </r>
  <r>
    <x v="12"/>
    <n v="53714"/>
    <x v="0"/>
  </r>
  <r>
    <x v="12"/>
    <n v="55631"/>
    <x v="2"/>
  </r>
  <r>
    <x v="13"/>
    <n v="1651"/>
    <x v="1"/>
  </r>
  <r>
    <x v="13"/>
    <n v="53483"/>
    <x v="0"/>
  </r>
  <r>
    <x v="13"/>
    <n v="51481"/>
    <x v="2"/>
  </r>
  <r>
    <x v="14"/>
    <n v="46945"/>
    <x v="2"/>
  </r>
  <r>
    <x v="14"/>
    <n v="1455"/>
    <x v="1"/>
  </r>
  <r>
    <x v="14"/>
    <n v="41293"/>
    <x v="0"/>
  </r>
  <r>
    <x v="15"/>
    <n v="46473"/>
    <x v="0"/>
  </r>
  <r>
    <x v="15"/>
    <n v="52156"/>
    <x v="2"/>
  </r>
  <r>
    <x v="15"/>
    <n v="1447"/>
    <x v="1"/>
  </r>
  <r>
    <x v="16"/>
    <n v="57551"/>
    <x v="0"/>
  </r>
  <r>
    <x v="16"/>
    <n v="54694"/>
    <x v="2"/>
  </r>
  <r>
    <x v="16"/>
    <n v="1400"/>
    <x v="1"/>
  </r>
  <r>
    <x v="17"/>
    <n v="1389"/>
    <x v="1"/>
  </r>
  <r>
    <x v="17"/>
    <n v="58541"/>
    <x v="0"/>
  </r>
  <r>
    <x v="17"/>
    <n v="47055"/>
    <x v="2"/>
  </r>
  <r>
    <x v="18"/>
    <n v="1405"/>
    <x v="1"/>
  </r>
  <r>
    <x v="18"/>
    <n v="67928"/>
    <x v="0"/>
  </r>
  <r>
    <x v="18"/>
    <n v="45291"/>
    <x v="2"/>
  </r>
  <r>
    <x v="19"/>
    <n v="78616"/>
    <x v="0"/>
  </r>
  <r>
    <x v="19"/>
    <n v="42657"/>
    <x v="2"/>
  </r>
  <r>
    <x v="19"/>
    <n v="1330"/>
    <x v="1"/>
  </r>
  <r>
    <x v="20"/>
    <n v="70755"/>
    <x v="0"/>
  </r>
  <r>
    <x v="20"/>
    <n v="40158"/>
    <x v="2"/>
  </r>
  <r>
    <x v="20"/>
    <n v="1215"/>
    <x v="1"/>
  </r>
  <r>
    <x v="21"/>
    <n v="1252"/>
    <x v="1"/>
  </r>
  <r>
    <x v="21"/>
    <n v="69723"/>
    <x v="0"/>
  </r>
  <r>
    <x v="21"/>
    <n v="42945"/>
    <x v="2"/>
  </r>
  <r>
    <x v="22"/>
    <n v="1167"/>
    <x v="1"/>
  </r>
  <r>
    <x v="22"/>
    <n v="61343"/>
    <x v="0"/>
  </r>
  <r>
    <x v="22"/>
    <n v="46531"/>
    <x v="2"/>
  </r>
  <r>
    <x v="23"/>
    <n v="62174"/>
    <x v="0"/>
  </r>
  <r>
    <x v="23"/>
    <n v="61661"/>
    <x v="2"/>
  </r>
  <r>
    <x v="23"/>
    <n v="1378"/>
    <x v="1"/>
  </r>
  <r>
    <x v="24"/>
    <n v="57588"/>
    <x v="0"/>
  </r>
  <r>
    <x v="24"/>
    <n v="56887"/>
    <x v="2"/>
  </r>
  <r>
    <x v="24"/>
    <n v="1213"/>
    <x v="1"/>
  </r>
  <r>
    <x v="25"/>
    <n v="1202"/>
    <x v="1"/>
  </r>
  <r>
    <x v="25"/>
    <n v="54082"/>
    <x v="0"/>
  </r>
  <r>
    <x v="25"/>
    <n v="65230"/>
    <x v="2"/>
  </r>
  <r>
    <x v="26"/>
    <n v="1161"/>
    <x v="1"/>
  </r>
  <r>
    <x v="26"/>
    <n v="44496"/>
    <x v="0"/>
  </r>
  <r>
    <x v="26"/>
    <n v="62161"/>
    <x v="2"/>
  </r>
  <r>
    <x v="27"/>
    <n v="53348"/>
    <x v="0"/>
  </r>
  <r>
    <x v="27"/>
    <n v="56908"/>
    <x v="2"/>
  </r>
  <r>
    <x v="27"/>
    <n v="1055"/>
    <x v="1"/>
  </r>
  <r>
    <x v="28"/>
    <n v="69549"/>
    <x v="0"/>
  </r>
  <r>
    <x v="28"/>
    <n v="70088"/>
    <x v="2"/>
  </r>
  <r>
    <x v="28"/>
    <n v="1319"/>
    <x v="1"/>
  </r>
  <r>
    <x v="29"/>
    <n v="1313"/>
    <x v="1"/>
  </r>
  <r>
    <x v="29"/>
    <n v="72761"/>
    <x v="2"/>
  </r>
  <r>
    <x v="29"/>
    <n v="73426"/>
    <x v="0"/>
  </r>
  <r>
    <x v="30"/>
    <n v="1364"/>
    <x v="1"/>
  </r>
  <r>
    <x v="30"/>
    <n v="79560"/>
    <x v="0"/>
  </r>
  <r>
    <x v="30"/>
    <n v="66376"/>
    <x v="2"/>
  </r>
  <r>
    <x v="31"/>
    <n v="54454"/>
    <x v="2"/>
  </r>
  <r>
    <x v="31"/>
    <n v="80075"/>
    <x v="0"/>
  </r>
  <r>
    <x v="31"/>
    <n v="1256"/>
    <x v="1"/>
  </r>
  <r>
    <x v="32"/>
    <n v="48552"/>
    <x v="2"/>
  </r>
  <r>
    <x v="32"/>
    <n v="1349"/>
    <x v="1"/>
  </r>
  <r>
    <x v="32"/>
    <n v="79230"/>
    <x v="0"/>
  </r>
  <r>
    <x v="33"/>
    <n v="77983"/>
    <x v="0"/>
  </r>
  <r>
    <x v="33"/>
    <n v="46216"/>
    <x v="2"/>
  </r>
  <r>
    <x v="33"/>
    <n v="1311"/>
    <x v="1"/>
  </r>
  <r>
    <x v="34"/>
    <n v="66062"/>
    <x v="0"/>
  </r>
  <r>
    <x v="34"/>
    <n v="50236"/>
    <x v="2"/>
  </r>
  <r>
    <x v="34"/>
    <n v="1433"/>
    <x v="1"/>
  </r>
  <r>
    <x v="35"/>
    <n v="62491"/>
    <x v="0"/>
  </r>
  <r>
    <x v="35"/>
    <n v="59043"/>
    <x v="2"/>
  </r>
  <r>
    <x v="35"/>
    <n v="1529"/>
    <x v="1"/>
  </r>
  <r>
    <x v="36"/>
    <n v="1162"/>
    <x v="1"/>
  </r>
  <r>
    <x v="36"/>
    <n v="55419"/>
    <x v="0"/>
  </r>
  <r>
    <x v="36"/>
    <n v="52512"/>
    <x v="2"/>
  </r>
  <r>
    <x v="37"/>
    <n v="1383"/>
    <x v="1"/>
  </r>
  <r>
    <x v="37"/>
    <n v="54684"/>
    <x v="0"/>
  </r>
  <r>
    <x v="37"/>
    <n v="70430"/>
    <x v="2"/>
  </r>
  <r>
    <x v="38"/>
    <n v="1156"/>
    <x v="1"/>
  </r>
  <r>
    <x v="38"/>
    <n v="69744"/>
    <x v="2"/>
  </r>
  <r>
    <x v="38"/>
    <n v="41618"/>
    <x v="0"/>
  </r>
  <r>
    <x v="39"/>
    <n v="1528"/>
    <x v="1"/>
  </r>
  <r>
    <x v="39"/>
    <n v="46161"/>
    <x v="0"/>
  </r>
  <r>
    <x v="39"/>
    <n v="111556"/>
    <x v="2"/>
  </r>
  <r>
    <x v="40"/>
    <n v="88808"/>
    <x v="2"/>
  </r>
  <r>
    <x v="40"/>
    <n v="1326"/>
    <x v="1"/>
  </r>
  <r>
    <x v="40"/>
    <n v="53863"/>
    <x v="0"/>
  </r>
  <r>
    <x v="41"/>
    <n v="84479"/>
    <x v="2"/>
  </r>
  <r>
    <x v="41"/>
    <n v="50984"/>
    <x v="0"/>
  </r>
  <r>
    <x v="41"/>
    <n v="1116"/>
    <x v="1"/>
  </r>
  <r>
    <x v="42"/>
    <n v="54624"/>
    <x v="2"/>
  </r>
  <r>
    <x v="42"/>
    <n v="697"/>
    <x v="1"/>
  </r>
  <r>
    <x v="42"/>
    <n v="50075"/>
    <x v="0"/>
  </r>
  <r>
    <x v="43"/>
    <n v="54723"/>
    <x v="0"/>
  </r>
  <r>
    <x v="43"/>
    <n v="42929"/>
    <x v="2"/>
  </r>
  <r>
    <x v="43"/>
    <n v="535"/>
    <x v="1"/>
  </r>
  <r>
    <x v="44"/>
    <n v="333"/>
    <x v="1"/>
  </r>
  <r>
    <x v="44"/>
    <n v="47681"/>
    <x v="0"/>
  </r>
  <r>
    <x v="44"/>
    <n v="30786"/>
    <x v="2"/>
  </r>
  <r>
    <x v="45"/>
    <n v="19424"/>
    <x v="2"/>
  </r>
  <r>
    <x v="45"/>
    <n v="32670"/>
    <x v="0"/>
  </r>
  <r>
    <x v="45"/>
    <n v="226"/>
    <x v="1"/>
  </r>
  <r>
    <x v="46"/>
    <n v="25213"/>
    <x v="2"/>
  </r>
  <r>
    <x v="46"/>
    <n v="278"/>
    <x v="1"/>
  </r>
  <r>
    <x v="46"/>
    <n v="35789"/>
    <x v="0"/>
  </r>
  <r>
    <x v="47"/>
    <n v="33349"/>
    <x v="0"/>
  </r>
  <r>
    <x v="47"/>
    <n v="34138"/>
    <x v="2"/>
  </r>
  <r>
    <x v="47"/>
    <n v="438"/>
    <x v="1"/>
  </r>
  <r>
    <x v="48"/>
    <n v="194"/>
    <x v="1"/>
  </r>
  <r>
    <x v="48"/>
    <n v="22723"/>
    <x v="0"/>
  </r>
  <r>
    <x v="48"/>
    <n v="17074"/>
    <x v="2"/>
  </r>
  <r>
    <x v="49"/>
    <n v="31141"/>
    <x v="0"/>
  </r>
  <r>
    <x v="49"/>
    <n v="52932"/>
    <x v="2"/>
  </r>
  <r>
    <x v="49"/>
    <n v="720"/>
    <x v="1"/>
  </r>
  <r>
    <x v="50"/>
    <n v="19666"/>
    <x v="0"/>
  </r>
  <r>
    <x v="50"/>
    <n v="118198"/>
    <x v="2"/>
  </r>
  <r>
    <x v="50"/>
    <n v="1767"/>
    <x v="1"/>
  </r>
  <r>
    <x v="51"/>
    <n v="1958"/>
    <x v="1"/>
  </r>
  <r>
    <x v="51"/>
    <n v="22054"/>
    <x v="0"/>
  </r>
  <r>
    <x v="51"/>
    <n v="153128"/>
    <x v="2"/>
  </r>
  <r>
    <x v="52"/>
    <n v="1844"/>
    <x v="1"/>
  </r>
  <r>
    <x v="52"/>
    <n v="31459"/>
    <x v="0"/>
  </r>
  <r>
    <x v="52"/>
    <n v="162867"/>
    <x v="2"/>
  </r>
  <r>
    <x v="53"/>
    <n v="4272"/>
    <x v="1"/>
  </r>
  <r>
    <x v="53"/>
    <n v="29540"/>
    <x v="0"/>
  </r>
  <r>
    <x v="53"/>
    <n v="151860"/>
    <x v="2"/>
  </r>
  <r>
    <x v="54"/>
    <n v="9557"/>
    <x v="1"/>
  </r>
  <r>
    <x v="54"/>
    <n v="147454"/>
    <x v="2"/>
  </r>
  <r>
    <x v="54"/>
    <n v="32401"/>
    <x v="0"/>
  </r>
  <r>
    <x v="55"/>
    <n v="42327"/>
    <x v="0"/>
  </r>
  <r>
    <x v="55"/>
    <n v="128536"/>
    <x v="2"/>
  </r>
  <r>
    <x v="55"/>
    <n v="15810"/>
    <x v="1"/>
  </r>
  <r>
    <x v="56"/>
    <n v="89680"/>
    <x v="2"/>
  </r>
  <r>
    <x v="56"/>
    <n v="47389"/>
    <x v="0"/>
  </r>
  <r>
    <x v="56"/>
    <n v="14494"/>
    <x v="1"/>
  </r>
  <r>
    <x v="57"/>
    <n v="55895"/>
    <x v="2"/>
  </r>
  <r>
    <x v="57"/>
    <n v="38662"/>
    <x v="0"/>
  </r>
  <r>
    <x v="57"/>
    <n v="9396"/>
    <x v="1"/>
  </r>
  <r>
    <x v="58"/>
    <n v="49514"/>
    <x v="2"/>
  </r>
  <r>
    <x v="58"/>
    <n v="36327"/>
    <x v="0"/>
  </r>
  <r>
    <x v="58"/>
    <n v="7014"/>
    <x v="1"/>
  </r>
  <r>
    <x v="59"/>
    <n v="60023"/>
    <x v="2"/>
  </r>
  <r>
    <x v="59"/>
    <n v="38253"/>
    <x v="0"/>
  </r>
  <r>
    <x v="59"/>
    <n v="9189"/>
    <x v="1"/>
  </r>
  <r>
    <x v="60"/>
    <n v="63995"/>
    <x v="2"/>
  </r>
  <r>
    <x v="60"/>
    <n v="35825"/>
    <x v="0"/>
  </r>
  <r>
    <x v="60"/>
    <n v="11722"/>
    <x v="1"/>
  </r>
  <r>
    <x v="61"/>
    <n v="67686"/>
    <x v="2"/>
  </r>
  <r>
    <x v="61"/>
    <n v="29685"/>
    <x v="0"/>
  </r>
  <r>
    <x v="61"/>
    <n v="13737"/>
    <x v="1"/>
  </r>
  <r>
    <x v="62"/>
    <n v="59145"/>
    <x v="2"/>
  </r>
  <r>
    <x v="62"/>
    <n v="21691"/>
    <x v="0"/>
  </r>
  <r>
    <x v="62"/>
    <n v="12676"/>
    <x v="1"/>
  </r>
  <r>
    <x v="63"/>
    <n v="44370"/>
    <x v="2"/>
  </r>
  <r>
    <x v="63"/>
    <n v="23919"/>
    <x v="0"/>
  </r>
  <r>
    <x v="63"/>
    <n v="9563"/>
    <x v="1"/>
  </r>
  <r>
    <x v="64"/>
    <n v="43986"/>
    <x v="2"/>
  </r>
  <r>
    <x v="64"/>
    <n v="29020"/>
    <x v="0"/>
  </r>
  <r>
    <x v="64"/>
    <n v="11244"/>
    <x v="1"/>
  </r>
  <r>
    <x v="65"/>
    <n v="39492"/>
    <x v="2"/>
  </r>
  <r>
    <x v="65"/>
    <n v="33891"/>
    <x v="0"/>
  </r>
  <r>
    <x v="65"/>
    <n v="10360"/>
    <x v="1"/>
  </r>
  <r>
    <x v="66"/>
    <n v="33600"/>
    <x v="2"/>
  </r>
  <r>
    <x v="66"/>
    <n v="37061"/>
    <x v="0"/>
  </r>
  <r>
    <x v="66"/>
    <n v="7944"/>
    <x v="1"/>
  </r>
  <r>
    <x v="67"/>
    <n v="42749"/>
    <x v="2"/>
  </r>
  <r>
    <x v="67"/>
    <n v="39929"/>
    <x v="0"/>
  </r>
  <r>
    <x v="67"/>
    <n v="10171"/>
    <x v="1"/>
  </r>
  <r>
    <x v="68"/>
    <n v="54269"/>
    <x v="2"/>
  </r>
  <r>
    <x v="68"/>
    <n v="23941"/>
    <x v="0"/>
  </r>
  <r>
    <x v="68"/>
    <n v="12608"/>
    <x v="1"/>
  </r>
  <r>
    <x v="69"/>
    <n v="67597"/>
    <x v="2"/>
  </r>
  <r>
    <x v="69"/>
    <n v="23089"/>
    <x v="0"/>
  </r>
  <r>
    <x v="69"/>
    <n v="14205"/>
    <x v="1"/>
  </r>
  <r>
    <x v="70"/>
    <n v="71244"/>
    <x v="2"/>
  </r>
  <r>
    <x v="70"/>
    <n v="20137"/>
    <x v="0"/>
  </r>
  <r>
    <x v="70"/>
    <n v="15045"/>
    <x v="1"/>
  </r>
  <r>
    <x v="71"/>
    <n v="80117"/>
    <x v="2"/>
  </r>
  <r>
    <x v="71"/>
    <n v="19919"/>
    <x v="0"/>
  </r>
  <r>
    <x v="71"/>
    <n v="17054"/>
    <x v="1"/>
  </r>
  <r>
    <x v="72"/>
    <n v="77152"/>
    <x v="2"/>
  </r>
  <r>
    <x v="72"/>
    <n v="18969"/>
    <x v="0"/>
  </r>
  <r>
    <x v="72"/>
    <n v="18502"/>
    <x v="1"/>
  </r>
  <r>
    <x v="73"/>
    <n v="69315"/>
    <x v="2"/>
  </r>
  <r>
    <x v="73"/>
    <n v="22763"/>
    <x v="0"/>
  </r>
  <r>
    <x v="73"/>
    <n v="17396"/>
    <x v="1"/>
  </r>
  <r>
    <x v="74"/>
    <n v="53055"/>
    <x v="2"/>
  </r>
  <r>
    <x v="74"/>
    <n v="16514"/>
    <x v="0"/>
  </r>
  <r>
    <x v="74"/>
    <n v="15213"/>
    <x v="1"/>
  </r>
  <r>
    <x v="75"/>
    <n v="31632"/>
    <x v="2"/>
  </r>
  <r>
    <x v="75"/>
    <n v="12401"/>
    <x v="0"/>
  </r>
  <r>
    <x v="75"/>
    <n v="10593"/>
    <x v="1"/>
  </r>
  <r>
    <x v="76"/>
    <n v="26881"/>
    <x v="2"/>
  </r>
  <r>
    <x v="76"/>
    <n v="19555"/>
    <x v="0"/>
  </r>
  <r>
    <x v="76"/>
    <n v="7420"/>
    <x v="1"/>
  </r>
  <r>
    <x v="77"/>
    <n v="23083"/>
    <x v="2"/>
  </r>
  <r>
    <x v="77"/>
    <n v="21847"/>
    <x v="0"/>
  </r>
  <r>
    <x v="77"/>
    <n v="6376"/>
    <x v="1"/>
  </r>
  <r>
    <x v="78"/>
    <n v="19773"/>
    <x v="2"/>
  </r>
  <r>
    <x v="78"/>
    <n v="23634"/>
    <x v="0"/>
  </r>
  <r>
    <x v="78"/>
    <n v="5524"/>
    <x v="1"/>
  </r>
  <r>
    <x v="79"/>
    <n v="6163"/>
    <x v="1"/>
  </r>
  <r>
    <x v="79"/>
    <n v="24868"/>
    <x v="2"/>
  </r>
  <r>
    <x v="79"/>
    <n v="32053"/>
    <x v="0"/>
  </r>
  <r>
    <x v="80"/>
    <n v="26315"/>
    <x v="2"/>
  </r>
  <r>
    <x v="80"/>
    <n v="28163"/>
    <x v="0"/>
  </r>
  <r>
    <x v="80"/>
    <n v="6608"/>
    <x v="1"/>
  </r>
  <r>
    <x v="81"/>
    <n v="27782"/>
    <x v="2"/>
  </r>
  <r>
    <x v="81"/>
    <n v="27235"/>
    <x v="0"/>
  </r>
  <r>
    <x v="81"/>
    <n v="6814"/>
    <x v="1"/>
  </r>
  <r>
    <x v="82"/>
    <n v="42023"/>
    <x v="2"/>
  </r>
  <r>
    <x v="82"/>
    <n v="22085"/>
    <x v="0"/>
  </r>
  <r>
    <x v="82"/>
    <n v="7897"/>
    <x v="1"/>
  </r>
  <r>
    <x v="83"/>
    <n v="41786"/>
    <x v="2"/>
  </r>
  <r>
    <x v="83"/>
    <n v="15408"/>
    <x v="0"/>
  </r>
  <r>
    <x v="83"/>
    <n v="9245"/>
    <x v="1"/>
  </r>
  <r>
    <x v="84"/>
    <n v="44694"/>
    <x v="2"/>
  </r>
  <r>
    <x v="84"/>
    <n v="15623"/>
    <x v="0"/>
  </r>
  <r>
    <x v="84"/>
    <n v="9831"/>
    <x v="1"/>
  </r>
  <r>
    <x v="85"/>
    <n v="47406"/>
    <x v="2"/>
  </r>
  <r>
    <x v="85"/>
    <n v="18666"/>
    <x v="0"/>
  </r>
  <r>
    <x v="85"/>
    <n v="9082"/>
    <x v="1"/>
  </r>
  <r>
    <x v="86"/>
    <n v="41648"/>
    <x v="2"/>
  </r>
  <r>
    <x v="86"/>
    <n v="11423"/>
    <x v="0"/>
  </r>
  <r>
    <x v="86"/>
    <n v="11001"/>
    <x v="1"/>
  </r>
  <r>
    <x v="87"/>
    <n v="40605"/>
    <x v="2"/>
  </r>
  <r>
    <x v="87"/>
    <n v="11472"/>
    <x v="0"/>
  </r>
  <r>
    <x v="87"/>
    <n v="14080"/>
    <x v="1"/>
  </r>
  <r>
    <x v="88"/>
    <n v="13189"/>
    <x v="1"/>
  </r>
  <r>
    <x v="88"/>
    <n v="40102"/>
    <x v="2"/>
  </r>
  <r>
    <x v="88"/>
    <n v="15169"/>
    <x v="0"/>
  </r>
  <r>
    <x v="89"/>
    <n v="35485"/>
    <x v="2"/>
  </r>
  <r>
    <x v="89"/>
    <n v="23359"/>
    <x v="0"/>
  </r>
  <r>
    <x v="89"/>
    <n v="12382"/>
    <x v="1"/>
  </r>
  <r>
    <x v="90"/>
    <n v="38211"/>
    <x v="2"/>
  </r>
  <r>
    <x v="90"/>
    <n v="30515"/>
    <x v="0"/>
  </r>
  <r>
    <x v="90"/>
    <n v="13178"/>
    <x v="1"/>
  </r>
  <r>
    <x v="91"/>
    <n v="38387"/>
    <x v="2"/>
  </r>
  <r>
    <x v="91"/>
    <n v="30334"/>
    <x v="0"/>
  </r>
  <r>
    <x v="91"/>
    <n v="13092"/>
    <x v="1"/>
  </r>
  <r>
    <x v="92"/>
    <n v="47476"/>
    <x v="2"/>
  </r>
  <r>
    <x v="92"/>
    <n v="31002"/>
    <x v="0"/>
  </r>
  <r>
    <x v="92"/>
    <n v="13246"/>
    <x v="1"/>
  </r>
  <r>
    <x v="93"/>
    <n v="59486"/>
    <x v="2"/>
  </r>
  <r>
    <x v="93"/>
    <n v="32300"/>
    <x v="0"/>
  </r>
  <r>
    <x v="93"/>
    <n v="14068"/>
    <x v="1"/>
  </r>
  <r>
    <x v="94"/>
    <n v="70185"/>
    <x v="2"/>
  </r>
  <r>
    <x v="94"/>
    <n v="32682"/>
    <x v="0"/>
  </r>
  <r>
    <x v="94"/>
    <n v="13316"/>
    <x v="1"/>
  </r>
  <r>
    <x v="95"/>
    <n v="72899"/>
    <x v="2"/>
  </r>
  <r>
    <x v="95"/>
    <n v="31400"/>
    <x v="0"/>
  </r>
  <r>
    <x v="95"/>
    <n v="15936"/>
    <x v="1"/>
  </r>
  <r>
    <x v="96"/>
    <n v="64392"/>
    <x v="2"/>
  </r>
  <r>
    <x v="96"/>
    <n v="13955"/>
    <x v="1"/>
  </r>
  <r>
    <x v="96"/>
    <n v="24709"/>
    <x v="0"/>
  </r>
  <r>
    <x v="97"/>
    <n v="14118"/>
    <x v="1"/>
  </r>
  <r>
    <x v="97"/>
    <n v="26705"/>
    <x v="0"/>
  </r>
  <r>
    <x v="97"/>
    <n v="72161"/>
    <x v="2"/>
  </r>
  <r>
    <x v="98"/>
    <n v="78725"/>
    <x v="2"/>
  </r>
  <r>
    <x v="98"/>
    <n v="24177"/>
    <x v="0"/>
  </r>
  <r>
    <x v="98"/>
    <n v="15173"/>
    <x v="1"/>
  </r>
  <r>
    <x v="99"/>
    <n v="72758"/>
    <x v="2"/>
  </r>
  <r>
    <x v="99"/>
    <n v="28670"/>
    <x v="0"/>
  </r>
  <r>
    <x v="99"/>
    <n v="15258"/>
    <x v="1"/>
  </r>
  <r>
    <x v="100"/>
    <n v="61545"/>
    <x v="2"/>
  </r>
  <r>
    <x v="100"/>
    <n v="31809"/>
    <x v="0"/>
  </r>
  <r>
    <x v="100"/>
    <n v="15539"/>
    <x v="1"/>
  </r>
  <r>
    <x v="101"/>
    <n v="55305"/>
    <x v="2"/>
  </r>
  <r>
    <x v="101"/>
    <n v="33675"/>
    <x v="0"/>
  </r>
  <r>
    <x v="101"/>
    <n v="14591"/>
    <x v="1"/>
  </r>
  <r>
    <x v="102"/>
    <n v="63236"/>
    <x v="2"/>
  </r>
  <r>
    <x v="102"/>
    <n v="45214"/>
    <x v="0"/>
  </r>
  <r>
    <x v="102"/>
    <n v="13308"/>
    <x v="1"/>
  </r>
  <r>
    <x v="103"/>
    <n v="54209"/>
    <x v="2"/>
  </r>
  <r>
    <x v="103"/>
    <n v="45299"/>
    <x v="0"/>
  </r>
  <r>
    <x v="103"/>
    <n v="11511"/>
    <x v="1"/>
  </r>
  <r>
    <x v="104"/>
    <n v="42482"/>
    <x v="2"/>
  </r>
  <r>
    <x v="104"/>
    <n v="42667"/>
    <x v="0"/>
  </r>
  <r>
    <x v="104"/>
    <n v="10589"/>
    <x v="1"/>
  </r>
  <r>
    <x v="105"/>
    <n v="8489"/>
    <x v="1"/>
  </r>
  <r>
    <x v="105"/>
    <n v="39145"/>
    <x v="0"/>
  </r>
  <r>
    <x v="105"/>
    <n v="29121"/>
    <x v="2"/>
  </r>
  <r>
    <x v="106"/>
    <n v="6264"/>
    <x v="1"/>
  </r>
  <r>
    <x v="106"/>
    <n v="33360"/>
    <x v="0"/>
  </r>
  <r>
    <x v="106"/>
    <n v="22006"/>
    <x v="2"/>
  </r>
  <r>
    <x v="107"/>
    <n v="22505"/>
    <x v="2"/>
  </r>
  <r>
    <x v="107"/>
    <n v="5421"/>
    <x v="1"/>
  </r>
  <r>
    <x v="107"/>
    <n v="36698"/>
    <x v="0"/>
  </r>
  <r>
    <x v="108"/>
    <n v="36127"/>
    <x v="0"/>
  </r>
  <r>
    <x v="108"/>
    <n v="24289"/>
    <x v="2"/>
  </r>
  <r>
    <x v="108"/>
    <n v="4753"/>
    <x v="1"/>
  </r>
  <r>
    <x v="109"/>
    <n v="38048"/>
    <x v="0"/>
  </r>
  <r>
    <x v="109"/>
    <n v="24666"/>
    <x v="2"/>
  </r>
  <r>
    <x v="109"/>
    <n v="4811"/>
    <x v="1"/>
  </r>
  <r>
    <x v="110"/>
    <n v="3966"/>
    <x v="1"/>
  </r>
  <r>
    <x v="110"/>
    <n v="25079"/>
    <x v="0"/>
  </r>
  <r>
    <x v="110"/>
    <n v="17819"/>
    <x v="2"/>
  </r>
  <r>
    <x v="111"/>
    <n v="3315"/>
    <x v="1"/>
  </r>
  <r>
    <x v="111"/>
    <n v="27579"/>
    <x v="0"/>
  </r>
  <r>
    <x v="111"/>
    <n v="16357"/>
    <x v="2"/>
  </r>
  <r>
    <x v="112"/>
    <n v="3393"/>
    <x v="1"/>
  </r>
  <r>
    <x v="112"/>
    <n v="37584"/>
    <x v="0"/>
  </r>
  <r>
    <x v="112"/>
    <n v="20347"/>
    <x v="2"/>
  </r>
  <r>
    <x v="113"/>
    <n v="20043"/>
    <x v="2"/>
  </r>
  <r>
    <x v="113"/>
    <n v="40696"/>
    <x v="0"/>
  </r>
  <r>
    <x v="113"/>
    <n v="3249"/>
    <x v="1"/>
  </r>
  <r>
    <x v="114"/>
    <n v="19257"/>
    <x v="2"/>
  </r>
  <r>
    <x v="114"/>
    <n v="46579"/>
    <x v="0"/>
  </r>
  <r>
    <x v="114"/>
    <n v="2784"/>
    <x v="1"/>
  </r>
  <r>
    <x v="115"/>
    <n v="23862"/>
    <x v="2"/>
  </r>
  <r>
    <x v="115"/>
    <n v="55585"/>
    <x v="0"/>
  </r>
  <r>
    <x v="115"/>
    <n v="2417"/>
    <x v="1"/>
  </r>
  <r>
    <x v="116"/>
    <n v="25411"/>
    <x v="2"/>
  </r>
  <r>
    <x v="116"/>
    <n v="56062"/>
    <x v="0"/>
  </r>
  <r>
    <x v="116"/>
    <n v="2312"/>
    <x v="1"/>
  </r>
  <r>
    <x v="117"/>
    <n v="25865"/>
    <x v="2"/>
  </r>
  <r>
    <x v="117"/>
    <n v="52186"/>
    <x v="0"/>
  </r>
  <r>
    <x v="117"/>
    <n v="2380"/>
    <x v="1"/>
  </r>
  <r>
    <x v="118"/>
    <n v="27846"/>
    <x v="2"/>
  </r>
  <r>
    <x v="118"/>
    <n v="47183"/>
    <x v="0"/>
  </r>
  <r>
    <x v="118"/>
    <n v="2381"/>
    <x v="1"/>
  </r>
  <r>
    <x v="119"/>
    <n v="27876"/>
    <x v="2"/>
  </r>
  <r>
    <x v="119"/>
    <n v="42357"/>
    <x v="0"/>
  </r>
  <r>
    <x v="119"/>
    <n v="2277"/>
    <x v="1"/>
  </r>
  <r>
    <x v="120"/>
    <n v="31217"/>
    <x v="2"/>
  </r>
  <r>
    <x v="120"/>
    <n v="1976"/>
    <x v="1"/>
  </r>
  <r>
    <x v="120"/>
    <n v="35533"/>
    <x v="0"/>
  </r>
  <r>
    <x v="121"/>
    <n v="2128"/>
    <x v="1"/>
  </r>
  <r>
    <x v="121"/>
    <n v="37562"/>
    <x v="0"/>
  </r>
  <r>
    <x v="121"/>
    <n v="31326"/>
    <x v="2"/>
  </r>
  <r>
    <x v="122"/>
    <n v="34316"/>
    <x v="2"/>
  </r>
  <r>
    <x v="122"/>
    <n v="27394"/>
    <x v="0"/>
  </r>
  <r>
    <x v="122"/>
    <n v="1852"/>
    <x v="1"/>
  </r>
  <r>
    <x v="123"/>
    <n v="47748"/>
    <x v="2"/>
  </r>
  <r>
    <x v="123"/>
    <n v="31125"/>
    <x v="0"/>
  </r>
  <r>
    <x v="123"/>
    <n v="1910"/>
    <x v="1"/>
  </r>
  <r>
    <x v="124"/>
    <n v="56240"/>
    <x v="2"/>
  </r>
  <r>
    <x v="124"/>
    <n v="44496"/>
    <x v="0"/>
  </r>
  <r>
    <x v="124"/>
    <n v="2171"/>
    <x v="1"/>
  </r>
  <r>
    <x v="125"/>
    <n v="46647"/>
    <x v="2"/>
  </r>
  <r>
    <x v="125"/>
    <n v="48719"/>
    <x v="0"/>
  </r>
  <r>
    <x v="125"/>
    <n v="2004"/>
    <x v="1"/>
  </r>
  <r>
    <x v="126"/>
    <n v="41493"/>
    <x v="2"/>
  </r>
  <r>
    <x v="126"/>
    <n v="53183"/>
    <x v="0"/>
  </r>
  <r>
    <x v="126"/>
    <n v="1721"/>
    <x v="1"/>
  </r>
  <r>
    <x v="127"/>
    <n v="35576"/>
    <x v="2"/>
  </r>
  <r>
    <x v="127"/>
    <n v="57280"/>
    <x v="0"/>
  </r>
  <r>
    <x v="127"/>
    <n v="1641"/>
    <x v="1"/>
  </r>
  <r>
    <x v="128"/>
    <n v="30754"/>
    <x v="2"/>
  </r>
  <r>
    <x v="128"/>
    <n v="56626"/>
    <x v="0"/>
  </r>
  <r>
    <x v="128"/>
    <n v="1471"/>
    <x v="1"/>
  </r>
  <r>
    <x v="129"/>
    <n v="29556"/>
    <x v="2"/>
  </r>
  <r>
    <x v="129"/>
    <n v="54606"/>
    <x v="0"/>
  </r>
  <r>
    <x v="129"/>
    <n v="1498"/>
    <x v="1"/>
  </r>
  <r>
    <x v="130"/>
    <n v="50002"/>
    <x v="0"/>
  </r>
  <r>
    <x v="130"/>
    <n v="1459"/>
    <x v="1"/>
  </r>
  <r>
    <x v="130"/>
    <n v="31612"/>
    <x v="2"/>
  </r>
  <r>
    <x v="131"/>
    <n v="1372"/>
    <x v="1"/>
  </r>
  <r>
    <x v="131"/>
    <n v="46145"/>
    <x v="0"/>
  </r>
  <r>
    <x v="131"/>
    <n v="33632"/>
    <x v="2"/>
  </r>
  <r>
    <x v="132"/>
    <n v="29438"/>
    <x v="2"/>
  </r>
  <r>
    <x v="132"/>
    <n v="1041"/>
    <x v="1"/>
  </r>
  <r>
    <x v="132"/>
    <n v="34693"/>
    <x v="0"/>
  </r>
  <r>
    <x v="133"/>
    <n v="780"/>
    <x v="1"/>
  </r>
  <r>
    <x v="133"/>
    <n v="22945"/>
    <x v="0"/>
  </r>
  <r>
    <x v="133"/>
    <n v="17522"/>
    <x v="2"/>
  </r>
  <r>
    <x v="134"/>
    <n v="77"/>
    <x v="1"/>
  </r>
  <r>
    <x v="134"/>
    <n v="914"/>
    <x v="0"/>
  </r>
  <r>
    <x v="134"/>
    <n v="1172"/>
    <x v="2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count="329">
  <r>
    <x v="0"/>
    <n v="886"/>
    <x v="0"/>
  </r>
  <r>
    <x v="0"/>
    <n v="203"/>
    <x v="1"/>
  </r>
  <r>
    <x v="1"/>
    <n v="200"/>
    <x v="1"/>
  </r>
  <r>
    <x v="1"/>
    <n v="870"/>
    <x v="0"/>
  </r>
  <r>
    <x v="2"/>
    <n v="736"/>
    <x v="0"/>
  </r>
  <r>
    <x v="2"/>
    <n v="141"/>
    <x v="1"/>
  </r>
  <r>
    <x v="3"/>
    <n v="214"/>
    <x v="1"/>
  </r>
  <r>
    <x v="3"/>
    <n v="807"/>
    <x v="0"/>
  </r>
  <r>
    <x v="4"/>
    <n v="328"/>
    <x v="1"/>
  </r>
  <r>
    <x v="4"/>
    <n v="1241"/>
    <x v="0"/>
  </r>
  <r>
    <x v="5"/>
    <n v="1286"/>
    <x v="0"/>
  </r>
  <r>
    <x v="5"/>
    <n v="228"/>
    <x v="1"/>
  </r>
  <r>
    <x v="6"/>
    <n v="1677"/>
    <x v="0"/>
  </r>
  <r>
    <x v="6"/>
    <n v="255"/>
    <x v="1"/>
  </r>
  <r>
    <x v="7"/>
    <n v="319"/>
    <x v="1"/>
  </r>
  <r>
    <x v="7"/>
    <n v="2059"/>
    <x v="0"/>
  </r>
  <r>
    <x v="8"/>
    <n v="2809"/>
    <x v="0"/>
  </r>
  <r>
    <x v="8"/>
    <n v="522"/>
    <x v="1"/>
  </r>
  <r>
    <x v="9"/>
    <n v="5579"/>
    <x v="0"/>
  </r>
  <r>
    <x v="9"/>
    <n v="863"/>
    <x v="1"/>
  </r>
  <r>
    <x v="10"/>
    <n v="12921"/>
    <x v="0"/>
  </r>
  <r>
    <x v="10"/>
    <n v="1916"/>
    <x v="1"/>
  </r>
  <r>
    <x v="11"/>
    <n v="8255"/>
    <x v="1"/>
  </r>
  <r>
    <x v="11"/>
    <n v="48663"/>
    <x v="0"/>
  </r>
  <r>
    <x v="12"/>
    <n v="12595"/>
    <x v="1"/>
  </r>
  <r>
    <x v="12"/>
    <n v="80257"/>
    <x v="0"/>
  </r>
  <r>
    <x v="13"/>
    <n v="11442"/>
    <x v="1"/>
  </r>
  <r>
    <x v="13"/>
    <n v="77506"/>
    <x v="0"/>
  </r>
  <r>
    <x v="14"/>
    <n v="10778"/>
    <x v="1"/>
  </r>
  <r>
    <x v="14"/>
    <n v="64032"/>
    <x v="0"/>
  </r>
  <r>
    <x v="15"/>
    <n v="11587"/>
    <x v="1"/>
  </r>
  <r>
    <x v="15"/>
    <n v="72352"/>
    <x v="0"/>
  </r>
  <r>
    <x v="16"/>
    <n v="11927"/>
    <x v="1"/>
  </r>
  <r>
    <x v="16"/>
    <n v="82768"/>
    <x v="0"/>
  </r>
  <r>
    <x v="17"/>
    <n v="10447"/>
    <x v="1"/>
  </r>
  <r>
    <x v="17"/>
    <n v="77395"/>
    <x v="0"/>
  </r>
  <r>
    <x v="18"/>
    <n v="10084"/>
    <x v="1"/>
  </r>
  <r>
    <x v="18"/>
    <n v="83910"/>
    <x v="0"/>
  </r>
  <r>
    <x v="19"/>
    <n v="9338"/>
    <x v="1"/>
  </r>
  <r>
    <x v="19"/>
    <n v="89982"/>
    <x v="0"/>
  </r>
  <r>
    <x v="20"/>
    <n v="8972"/>
    <x v="1"/>
  </r>
  <r>
    <x v="20"/>
    <n v="81525"/>
    <x v="0"/>
  </r>
  <r>
    <x v="21"/>
    <n v="9641"/>
    <x v="1"/>
  </r>
  <r>
    <x v="21"/>
    <n v="81713"/>
    <x v="0"/>
  </r>
  <r>
    <x v="22"/>
    <n v="76928"/>
    <x v="0"/>
  </r>
  <r>
    <x v="22"/>
    <n v="10894"/>
    <x v="1"/>
  </r>
  <r>
    <x v="23"/>
    <n v="87403"/>
    <x v="0"/>
  </r>
  <r>
    <x v="23"/>
    <n v="15093"/>
    <x v="1"/>
  </r>
  <r>
    <x v="24"/>
    <n v="14657"/>
    <x v="1"/>
  </r>
  <r>
    <x v="24"/>
    <n v="79907"/>
    <x v="0"/>
  </r>
  <r>
    <x v="25"/>
    <n v="80729"/>
    <x v="0"/>
  </r>
  <r>
    <x v="25"/>
    <n v="18281"/>
    <x v="1"/>
  </r>
  <r>
    <x v="26"/>
    <n v="70059"/>
    <x v="0"/>
  </r>
  <r>
    <x v="26"/>
    <n v="17882"/>
    <x v="1"/>
  </r>
  <r>
    <x v="27"/>
    <n v="73705"/>
    <x v="0"/>
  </r>
  <r>
    <x v="27"/>
    <n v="15173"/>
    <x v="1"/>
  </r>
  <r>
    <x v="28"/>
    <n v="19010"/>
    <x v="1"/>
  </r>
  <r>
    <x v="28"/>
    <n v="91026"/>
    <x v="0"/>
  </r>
  <r>
    <x v="29"/>
    <n v="20314"/>
    <x v="1"/>
  </r>
  <r>
    <x v="29"/>
    <n v="92371"/>
    <x v="0"/>
  </r>
  <r>
    <x v="30"/>
    <n v="17422"/>
    <x v="1"/>
  </r>
  <r>
    <x v="30"/>
    <n v="89770"/>
    <x v="0"/>
  </r>
  <r>
    <x v="31"/>
    <n v="13521"/>
    <x v="1"/>
  </r>
  <r>
    <x v="31"/>
    <n v="80477"/>
    <x v="0"/>
  </r>
  <r>
    <x v="32"/>
    <n v="11717"/>
    <x v="1"/>
  </r>
  <r>
    <x v="32"/>
    <n v="75501"/>
    <x v="0"/>
  </r>
  <r>
    <x v="33"/>
    <n v="11364"/>
    <x v="1"/>
  </r>
  <r>
    <x v="33"/>
    <n v="70709"/>
    <x v="0"/>
  </r>
  <r>
    <x v="34"/>
    <n v="13162"/>
    <x v="1"/>
  </r>
  <r>
    <x v="34"/>
    <n v="63039"/>
    <x v="0"/>
  </r>
  <r>
    <x v="35"/>
    <n v="15915"/>
    <x v="1"/>
  </r>
  <r>
    <x v="35"/>
    <n v="65060"/>
    <x v="0"/>
  </r>
  <r>
    <x v="36"/>
    <n v="15440"/>
    <x v="1"/>
  </r>
  <r>
    <x v="36"/>
    <n v="56354"/>
    <x v="0"/>
  </r>
  <r>
    <x v="37"/>
    <n v="23561"/>
    <x v="1"/>
  </r>
  <r>
    <x v="37"/>
    <n v="65022"/>
    <x v="0"/>
  </r>
  <r>
    <x v="38"/>
    <n v="27146"/>
    <x v="1"/>
  </r>
  <r>
    <x v="38"/>
    <n v="54372"/>
    <x v="0"/>
  </r>
  <r>
    <x v="39"/>
    <n v="72773"/>
    <x v="0"/>
  </r>
  <r>
    <x v="39"/>
    <n v="49347"/>
    <x v="1"/>
  </r>
  <r>
    <x v="40"/>
    <n v="74873"/>
    <x v="0"/>
  </r>
  <r>
    <x v="40"/>
    <n v="33642"/>
    <x v="1"/>
  </r>
  <r>
    <x v="41"/>
    <n v="31997"/>
    <x v="1"/>
  </r>
  <r>
    <x v="41"/>
    <n v="75480"/>
    <x v="0"/>
  </r>
  <r>
    <x v="42"/>
    <n v="62082"/>
    <x v="0"/>
  </r>
  <r>
    <x v="42"/>
    <n v="19659"/>
    <x v="1"/>
  </r>
  <r>
    <x v="43"/>
    <n v="60418"/>
    <x v="0"/>
  </r>
  <r>
    <x v="43"/>
    <n v="14440"/>
    <x v="1"/>
  </r>
  <r>
    <x v="44"/>
    <n v="51267"/>
    <x v="0"/>
  </r>
  <r>
    <x v="44"/>
    <n v="9666"/>
    <x v="1"/>
  </r>
  <r>
    <x v="45"/>
    <n v="6021"/>
    <x v="1"/>
  </r>
  <r>
    <x v="45"/>
    <n v="34340"/>
    <x v="0"/>
  </r>
  <r>
    <x v="46"/>
    <n v="9170"/>
    <x v="1"/>
  </r>
  <r>
    <x v="46"/>
    <n v="39831"/>
    <x v="0"/>
  </r>
  <r>
    <x v="47"/>
    <n v="13913"/>
    <x v="1"/>
  </r>
  <r>
    <x v="47"/>
    <n v="42123"/>
    <x v="0"/>
  </r>
  <r>
    <x v="48"/>
    <n v="6521"/>
    <x v="1"/>
  </r>
  <r>
    <x v="48"/>
    <n v="25811"/>
    <x v="0"/>
  </r>
  <r>
    <x v="49"/>
    <n v="29448"/>
    <x v="1"/>
  </r>
  <r>
    <x v="49"/>
    <n v="43675"/>
    <x v="0"/>
  </r>
  <r>
    <x v="50"/>
    <n v="74749"/>
    <x v="1"/>
  </r>
  <r>
    <x v="50"/>
    <n v="52634"/>
    <x v="0"/>
  </r>
  <r>
    <x v="51"/>
    <n v="96937"/>
    <x v="1"/>
  </r>
  <r>
    <x v="51"/>
    <n v="66109"/>
    <x v="0"/>
  </r>
  <r>
    <x v="52"/>
    <n v="100891"/>
    <x v="1"/>
  </r>
  <r>
    <x v="52"/>
    <n v="79368"/>
    <x v="0"/>
  </r>
  <r>
    <x v="53"/>
    <n v="88926"/>
    <x v="2"/>
  </r>
  <r>
    <x v="53"/>
    <n v="6710"/>
    <x v="3"/>
  </r>
  <r>
    <x v="53"/>
    <n v="73587"/>
    <x v="0"/>
  </r>
  <r>
    <x v="54"/>
    <n v="85852"/>
    <x v="2"/>
  </r>
  <r>
    <x v="54"/>
    <n v="7064"/>
    <x v="3"/>
  </r>
  <r>
    <x v="54"/>
    <n v="75008"/>
    <x v="0"/>
  </r>
  <r>
    <x v="55"/>
    <n v="67421"/>
    <x v="2"/>
  </r>
  <r>
    <x v="55"/>
    <n v="10110"/>
    <x v="3"/>
  </r>
  <r>
    <x v="55"/>
    <n v="80507"/>
    <x v="0"/>
  </r>
  <r>
    <x v="56"/>
    <n v="42165"/>
    <x v="2"/>
  </r>
  <r>
    <x v="56"/>
    <n v="8591"/>
    <x v="3"/>
  </r>
  <r>
    <x v="56"/>
    <n v="74192"/>
    <x v="0"/>
  </r>
  <r>
    <x v="57"/>
    <n v="22832"/>
    <x v="2"/>
  </r>
  <r>
    <x v="57"/>
    <n v="7271"/>
    <x v="3"/>
  </r>
  <r>
    <x v="57"/>
    <n v="55098"/>
    <x v="0"/>
  </r>
  <r>
    <x v="58"/>
    <n v="19566"/>
    <x v="2"/>
  </r>
  <r>
    <x v="58"/>
    <n v="6267"/>
    <x v="3"/>
  </r>
  <r>
    <x v="58"/>
    <n v="51584"/>
    <x v="0"/>
  </r>
  <r>
    <x v="59"/>
    <n v="24758"/>
    <x v="2"/>
  </r>
  <r>
    <x v="59"/>
    <n v="9286"/>
    <x v="3"/>
  </r>
  <r>
    <x v="59"/>
    <n v="55305"/>
    <x v="0"/>
  </r>
  <r>
    <x v="60"/>
    <n v="25585"/>
    <x v="2"/>
  </r>
  <r>
    <x v="60"/>
    <n v="12219"/>
    <x v="3"/>
  </r>
  <r>
    <x v="60"/>
    <n v="53222"/>
    <x v="0"/>
  </r>
  <r>
    <x v="61"/>
    <n v="27794"/>
    <x v="2"/>
  </r>
  <r>
    <x v="61"/>
    <n v="13101"/>
    <x v="3"/>
  </r>
  <r>
    <x v="61"/>
    <n v="49834"/>
    <x v="0"/>
  </r>
  <r>
    <x v="62"/>
    <n v="23378"/>
    <x v="2"/>
  </r>
  <r>
    <x v="62"/>
    <n v="12009"/>
    <x v="3"/>
  </r>
  <r>
    <x v="62"/>
    <n v="40417"/>
    <x v="0"/>
  </r>
  <r>
    <x v="63"/>
    <n v="16544"/>
    <x v="2"/>
  </r>
  <r>
    <x v="63"/>
    <n v="7833"/>
    <x v="3"/>
  </r>
  <r>
    <x v="63"/>
    <n v="38919"/>
    <x v="0"/>
  </r>
  <r>
    <x v="64"/>
    <n v="15509"/>
    <x v="2"/>
  </r>
  <r>
    <x v="64"/>
    <n v="9812"/>
    <x v="3"/>
  </r>
  <r>
    <x v="64"/>
    <n v="41253"/>
    <x v="0"/>
  </r>
  <r>
    <x v="65"/>
    <n v="13480"/>
    <x v="2"/>
  </r>
  <r>
    <x v="65"/>
    <n v="9091"/>
    <x v="3"/>
  </r>
  <r>
    <x v="65"/>
    <n v="43330"/>
    <x v="0"/>
  </r>
  <r>
    <x v="66"/>
    <n v="10958"/>
    <x v="2"/>
  </r>
  <r>
    <x v="66"/>
    <n v="7236"/>
    <x v="3"/>
  </r>
  <r>
    <x v="66"/>
    <n v="44430"/>
    <x v="0"/>
  </r>
  <r>
    <x v="67"/>
    <n v="15019"/>
    <x v="2"/>
  </r>
  <r>
    <x v="67"/>
    <n v="11105"/>
    <x v="3"/>
  </r>
  <r>
    <x v="67"/>
    <n v="47557"/>
    <x v="0"/>
  </r>
  <r>
    <x v="68"/>
    <n v="20314"/>
    <x v="2"/>
  </r>
  <r>
    <x v="68"/>
    <n v="15462"/>
    <x v="3"/>
  </r>
  <r>
    <x v="68"/>
    <n v="36071"/>
    <x v="0"/>
  </r>
  <r>
    <x v="69"/>
    <n v="27339"/>
    <x v="2"/>
  </r>
  <r>
    <x v="69"/>
    <n v="18826"/>
    <x v="3"/>
  </r>
  <r>
    <x v="69"/>
    <n v="37439"/>
    <x v="0"/>
  </r>
  <r>
    <x v="70"/>
    <n v="27869"/>
    <x v="2"/>
  </r>
  <r>
    <x v="70"/>
    <n v="22721"/>
    <x v="3"/>
  </r>
  <r>
    <x v="70"/>
    <n v="33559"/>
    <x v="0"/>
  </r>
  <r>
    <x v="71"/>
    <n v="31441"/>
    <x v="2"/>
  </r>
  <r>
    <x v="71"/>
    <n v="25802"/>
    <x v="3"/>
  </r>
  <r>
    <x v="71"/>
    <n v="34929"/>
    <x v="0"/>
  </r>
  <r>
    <x v="72"/>
    <n v="30022"/>
    <x v="2"/>
  </r>
  <r>
    <x v="72"/>
    <n v="25645"/>
    <x v="3"/>
  </r>
  <r>
    <x v="72"/>
    <n v="32922"/>
    <x v="0"/>
  </r>
  <r>
    <x v="73"/>
    <n v="27366"/>
    <x v="2"/>
  </r>
  <r>
    <x v="73"/>
    <n v="19730"/>
    <x v="3"/>
  </r>
  <r>
    <x v="73"/>
    <n v="36770"/>
    <x v="0"/>
  </r>
  <r>
    <x v="74"/>
    <n v="17841"/>
    <x v="2"/>
  </r>
  <r>
    <x v="74"/>
    <n v="16913"/>
    <x v="3"/>
  </r>
  <r>
    <x v="74"/>
    <n v="29376"/>
    <x v="0"/>
  </r>
  <r>
    <x v="75"/>
    <n v="9794"/>
    <x v="2"/>
  </r>
  <r>
    <x v="75"/>
    <n v="10499"/>
    <x v="3"/>
  </r>
  <r>
    <x v="75"/>
    <n v="20527"/>
    <x v="0"/>
  </r>
  <r>
    <x v="76"/>
    <n v="8482"/>
    <x v="2"/>
  </r>
  <r>
    <x v="76"/>
    <n v="7066"/>
    <x v="3"/>
  </r>
  <r>
    <x v="76"/>
    <n v="26218"/>
    <x v="0"/>
  </r>
  <r>
    <x v="77"/>
    <n v="6686"/>
    <x v="2"/>
  </r>
  <r>
    <x v="77"/>
    <n v="6830"/>
    <x v="3"/>
  </r>
  <r>
    <x v="77"/>
    <n v="25950"/>
    <x v="0"/>
  </r>
  <r>
    <x v="78"/>
    <n v="5503"/>
    <x v="2"/>
  </r>
  <r>
    <x v="78"/>
    <n v="5521"/>
    <x v="3"/>
  </r>
  <r>
    <x v="78"/>
    <n v="25796"/>
    <x v="0"/>
  </r>
  <r>
    <x v="79"/>
    <n v="7858"/>
    <x v="2"/>
  </r>
  <r>
    <x v="79"/>
    <n v="6205"/>
    <x v="3"/>
  </r>
  <r>
    <x v="79"/>
    <n v="33880"/>
    <x v="0"/>
  </r>
  <r>
    <x v="80"/>
    <n v="8641"/>
    <x v="2"/>
  </r>
  <r>
    <x v="80"/>
    <n v="7401"/>
    <x v="3"/>
  </r>
  <r>
    <x v="80"/>
    <n v="29986"/>
    <x v="0"/>
  </r>
  <r>
    <x v="81"/>
    <n v="10030"/>
    <x v="2"/>
  </r>
  <r>
    <x v="81"/>
    <n v="7168"/>
    <x v="3"/>
  </r>
  <r>
    <x v="81"/>
    <n v="29112"/>
    <x v="0"/>
  </r>
  <r>
    <x v="82"/>
    <n v="20146"/>
    <x v="2"/>
  </r>
  <r>
    <x v="82"/>
    <n v="9500"/>
    <x v="3"/>
  </r>
  <r>
    <x v="82"/>
    <n v="26214"/>
    <x v="0"/>
  </r>
  <r>
    <x v="83"/>
    <n v="19678"/>
    <x v="2"/>
  </r>
  <r>
    <x v="83"/>
    <n v="10752"/>
    <x v="3"/>
  </r>
  <r>
    <x v="83"/>
    <n v="20209"/>
    <x v="0"/>
  </r>
  <r>
    <x v="84"/>
    <n v="20375"/>
    <x v="2"/>
  </r>
  <r>
    <x v="84"/>
    <n v="11894"/>
    <x v="3"/>
  </r>
  <r>
    <x v="84"/>
    <n v="20830"/>
    <x v="0"/>
  </r>
  <r>
    <x v="85"/>
    <n v="22872"/>
    <x v="2"/>
  </r>
  <r>
    <x v="85"/>
    <n v="9686"/>
    <x v="3"/>
  </r>
  <r>
    <x v="85"/>
    <n v="25352"/>
    <x v="0"/>
  </r>
  <r>
    <x v="86"/>
    <n v="20228"/>
    <x v="2"/>
  </r>
  <r>
    <x v="86"/>
    <n v="9403"/>
    <x v="3"/>
  </r>
  <r>
    <x v="86"/>
    <n v="17789"/>
    <x v="0"/>
  </r>
  <r>
    <x v="87"/>
    <n v="19916"/>
    <x v="2"/>
  </r>
  <r>
    <x v="87"/>
    <n v="9341"/>
    <x v="3"/>
  </r>
  <r>
    <x v="87"/>
    <n v="16863"/>
    <x v="0"/>
  </r>
  <r>
    <x v="88"/>
    <n v="19466"/>
    <x v="2"/>
  </r>
  <r>
    <x v="88"/>
    <n v="8758"/>
    <x v="3"/>
  </r>
  <r>
    <x v="88"/>
    <n v="19821"/>
    <x v="0"/>
  </r>
  <r>
    <x v="89"/>
    <n v="16302"/>
    <x v="2"/>
  </r>
  <r>
    <x v="89"/>
    <n v="7590"/>
    <x v="3"/>
  </r>
  <r>
    <x v="89"/>
    <n v="24908"/>
    <x v="0"/>
  </r>
  <r>
    <x v="90"/>
    <n v="18225"/>
    <x v="2"/>
  </r>
  <r>
    <x v="90"/>
    <n v="7435"/>
    <x v="3"/>
  </r>
  <r>
    <x v="90"/>
    <n v="31775"/>
    <x v="0"/>
  </r>
  <r>
    <x v="91"/>
    <n v="18362"/>
    <x v="2"/>
  </r>
  <r>
    <x v="91"/>
    <n v="7800"/>
    <x v="3"/>
  </r>
  <r>
    <x v="91"/>
    <n v="29311"/>
    <x v="0"/>
  </r>
  <r>
    <x v="92"/>
    <n v="22142"/>
    <x v="2"/>
  </r>
  <r>
    <x v="92"/>
    <n v="9870"/>
    <x v="3"/>
  </r>
  <r>
    <x v="92"/>
    <n v="31610"/>
    <x v="0"/>
  </r>
  <r>
    <x v="93"/>
    <n v="29310"/>
    <x v="2"/>
  </r>
  <r>
    <x v="93"/>
    <n v="10684"/>
    <x v="3"/>
  </r>
  <r>
    <x v="93"/>
    <n v="35851"/>
    <x v="0"/>
  </r>
  <r>
    <x v="94"/>
    <n v="34631"/>
    <x v="2"/>
  </r>
  <r>
    <x v="94"/>
    <n v="12836"/>
    <x v="3"/>
  </r>
  <r>
    <x v="94"/>
    <n v="38967"/>
    <x v="0"/>
  </r>
  <r>
    <x v="95"/>
    <n v="34797"/>
    <x v="2"/>
  </r>
  <r>
    <x v="95"/>
    <n v="13536"/>
    <x v="3"/>
  </r>
  <r>
    <x v="95"/>
    <n v="39118"/>
    <x v="0"/>
  </r>
  <r>
    <x v="96"/>
    <n v="30874"/>
    <x v="2"/>
  </r>
  <r>
    <x v="96"/>
    <n v="12555"/>
    <x v="3"/>
  </r>
  <r>
    <x v="96"/>
    <n v="30720"/>
    <x v="0"/>
  </r>
  <r>
    <x v="97"/>
    <n v="34386"/>
    <x v="2"/>
  </r>
  <r>
    <x v="97"/>
    <n v="13011"/>
    <x v="3"/>
  </r>
  <r>
    <x v="97"/>
    <n v="34613"/>
    <x v="0"/>
  </r>
  <r>
    <x v="98"/>
    <n v="38598"/>
    <x v="2"/>
  </r>
  <r>
    <x v="98"/>
    <n v="14091"/>
    <x v="3"/>
  </r>
  <r>
    <x v="98"/>
    <n v="34109"/>
    <x v="0"/>
  </r>
  <r>
    <x v="99"/>
    <n v="34311"/>
    <x v="2"/>
  </r>
  <r>
    <x v="99"/>
    <n v="14320"/>
    <x v="3"/>
  </r>
  <r>
    <x v="99"/>
    <n v="36233"/>
    <x v="0"/>
  </r>
  <r>
    <x v="100"/>
    <n v="25494"/>
    <x v="2"/>
  </r>
  <r>
    <x v="100"/>
    <n v="14365"/>
    <x v="3"/>
  </r>
  <r>
    <x v="100"/>
    <n v="36692"/>
    <x v="0"/>
  </r>
  <r>
    <x v="101"/>
    <n v="21777"/>
    <x v="2"/>
  </r>
  <r>
    <x v="101"/>
    <n v="13328"/>
    <x v="3"/>
  </r>
  <r>
    <x v="101"/>
    <n v="36091"/>
    <x v="0"/>
  </r>
  <r>
    <x v="102"/>
    <n v="27316"/>
    <x v="2"/>
  </r>
  <r>
    <x v="102"/>
    <n v="13096"/>
    <x v="3"/>
  </r>
  <r>
    <x v="102"/>
    <n v="45404"/>
    <x v="0"/>
  </r>
  <r>
    <x v="103"/>
    <n v="23229"/>
    <x v="2"/>
  </r>
  <r>
    <x v="103"/>
    <n v="11152"/>
    <x v="3"/>
  </r>
  <r>
    <x v="103"/>
    <n v="43797"/>
    <x v="0"/>
  </r>
  <r>
    <x v="104"/>
    <n v="15775"/>
    <x v="2"/>
  </r>
  <r>
    <x v="104"/>
    <n v="9637"/>
    <x v="3"/>
  </r>
  <r>
    <x v="104"/>
    <n v="39939"/>
    <x v="0"/>
  </r>
  <r>
    <x v="105"/>
    <n v="9690"/>
    <x v="2"/>
  </r>
  <r>
    <x v="105"/>
    <n v="7185"/>
    <x v="3"/>
  </r>
  <r>
    <x v="105"/>
    <n v="34294"/>
    <x v="0"/>
  </r>
  <r>
    <x v="106"/>
    <n v="6594"/>
    <x v="2"/>
  </r>
  <r>
    <x v="106"/>
    <n v="5561"/>
    <x v="3"/>
  </r>
  <r>
    <x v="106"/>
    <n v="28658"/>
    <x v="0"/>
  </r>
  <r>
    <x v="107"/>
    <n v="6672"/>
    <x v="2"/>
  </r>
  <r>
    <x v="107"/>
    <n v="5307"/>
    <x v="3"/>
  </r>
  <r>
    <x v="107"/>
    <n v="31849"/>
    <x v="0"/>
  </r>
  <r>
    <x v="108"/>
    <n v="7915"/>
    <x v="2"/>
  </r>
  <r>
    <x v="108"/>
    <n v="4763"/>
    <x v="3"/>
  </r>
  <r>
    <x v="108"/>
    <n v="31793"/>
    <x v="0"/>
  </r>
  <r>
    <x v="109"/>
    <n v="7910"/>
    <x v="2"/>
  </r>
  <r>
    <x v="109"/>
    <n v="4713"/>
    <x v="3"/>
  </r>
  <r>
    <x v="109"/>
    <n v="33156"/>
    <x v="0"/>
  </r>
  <r>
    <x v="110"/>
    <n v="5422"/>
    <x v="2"/>
  </r>
  <r>
    <x v="110"/>
    <n v="4009"/>
    <x v="3"/>
  </r>
  <r>
    <x v="110"/>
    <n v="6"/>
    <x v="4"/>
  </r>
  <r>
    <x v="110"/>
    <n v="22439"/>
    <x v="0"/>
  </r>
  <r>
    <x v="111"/>
    <n v="8232"/>
    <x v="4"/>
  </r>
  <r>
    <x v="111"/>
    <n v="23223"/>
    <x v="0"/>
  </r>
  <r>
    <x v="112"/>
    <n v="9807"/>
    <x v="4"/>
  </r>
  <r>
    <x v="112"/>
    <n v="30535"/>
    <x v="0"/>
  </r>
  <r>
    <x v="113"/>
    <n v="9606"/>
    <x v="4"/>
  </r>
  <r>
    <x v="113"/>
    <n v="31762"/>
    <x v="0"/>
  </r>
  <r>
    <x v="114"/>
    <n v="8919"/>
    <x v="4"/>
  </r>
  <r>
    <x v="114"/>
    <n v="34750"/>
    <x v="0"/>
  </r>
  <r>
    <x v="115"/>
    <n v="11115"/>
    <x v="4"/>
  </r>
  <r>
    <x v="115"/>
    <n v="41191"/>
    <x v="0"/>
  </r>
  <r>
    <x v="116"/>
    <n v="11857"/>
    <x v="4"/>
  </r>
  <r>
    <x v="116"/>
    <n v="42737"/>
    <x v="0"/>
  </r>
  <r>
    <x v="117"/>
    <n v="11835"/>
    <x v="4"/>
  </r>
  <r>
    <x v="117"/>
    <n v="40876"/>
    <x v="0"/>
  </r>
  <r>
    <x v="118"/>
    <n v="12558"/>
    <x v="4"/>
  </r>
  <r>
    <x v="118"/>
    <n v="38842"/>
    <x v="0"/>
  </r>
  <r>
    <x v="119"/>
    <n v="12658"/>
    <x v="4"/>
  </r>
  <r>
    <x v="119"/>
    <n v="35889"/>
    <x v="0"/>
  </r>
  <r>
    <x v="120"/>
    <n v="15345"/>
    <x v="4"/>
  </r>
  <r>
    <x v="120"/>
    <n v="31559"/>
    <x v="0"/>
  </r>
  <r>
    <x v="121"/>
    <n v="15404"/>
    <x v="4"/>
  </r>
  <r>
    <x v="121"/>
    <n v="33518"/>
    <x v="0"/>
  </r>
  <r>
    <x v="122"/>
    <n v="17606"/>
    <x v="4"/>
  </r>
  <r>
    <x v="122"/>
    <n v="27209"/>
    <x v="0"/>
  </r>
  <r>
    <x v="123"/>
    <n v="32180"/>
    <x v="0"/>
  </r>
  <r>
    <x v="123"/>
    <n v="26522"/>
    <x v="4"/>
  </r>
  <r>
    <x v="124"/>
    <n v="43457"/>
    <x v="0"/>
  </r>
  <r>
    <x v="124"/>
    <n v="29462"/>
    <x v="4"/>
  </r>
  <r>
    <x v="125"/>
    <n v="23102"/>
    <x v="4"/>
  </r>
  <r>
    <x v="125"/>
    <n v="44834"/>
    <x v="0"/>
  </r>
  <r>
    <x v="126"/>
    <n v="45648"/>
    <x v="0"/>
  </r>
  <r>
    <x v="126"/>
    <n v="19905"/>
    <x v="4"/>
  </r>
  <r>
    <x v="127"/>
    <n v="46801"/>
    <x v="0"/>
  </r>
  <r>
    <x v="127"/>
    <n v="15934"/>
    <x v="4"/>
  </r>
  <r>
    <x v="128"/>
    <n v="45756"/>
    <x v="0"/>
  </r>
  <r>
    <x v="128"/>
    <n v="12911"/>
    <x v="4"/>
  </r>
  <r>
    <x v="129"/>
    <n v="12057"/>
    <x v="4"/>
  </r>
  <r>
    <x v="129"/>
    <n v="44073"/>
    <x v="0"/>
  </r>
  <r>
    <x v="130"/>
    <n v="42522"/>
    <x v="0"/>
  </r>
  <r>
    <x v="130"/>
    <n v="12982"/>
    <x v="4"/>
  </r>
  <r>
    <x v="131"/>
    <n v="13629"/>
    <x v="4"/>
  </r>
  <r>
    <x v="131"/>
    <n v="41225"/>
    <x v="0"/>
  </r>
  <r>
    <x v="132"/>
    <n v="32905"/>
    <x v="0"/>
  </r>
  <r>
    <x v="132"/>
    <n v="12086"/>
    <x v="4"/>
  </r>
  <r>
    <x v="133"/>
    <n v="7000"/>
    <x v="4"/>
  </r>
  <r>
    <x v="133"/>
    <n v="21035"/>
    <x v="0"/>
  </r>
  <r>
    <x v="134"/>
    <n v="1081"/>
    <x v="0"/>
  </r>
  <r>
    <x v="134"/>
    <n v="469"/>
    <x v="4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count="270">
  <r>
    <x v="0"/>
    <n v="551"/>
    <x v="0"/>
  </r>
  <r>
    <x v="0"/>
    <n v="538"/>
    <x v="1"/>
  </r>
  <r>
    <x v="1"/>
    <n v="534"/>
    <x v="1"/>
  </r>
  <r>
    <x v="1"/>
    <n v="536"/>
    <x v="0"/>
  </r>
  <r>
    <x v="2"/>
    <n v="443"/>
    <x v="0"/>
  </r>
  <r>
    <x v="2"/>
    <n v="434"/>
    <x v="1"/>
  </r>
  <r>
    <x v="3"/>
    <n v="560"/>
    <x v="1"/>
  </r>
  <r>
    <x v="3"/>
    <n v="461"/>
    <x v="0"/>
  </r>
  <r>
    <x v="4"/>
    <n v="691"/>
    <x v="0"/>
  </r>
  <r>
    <x v="4"/>
    <n v="878"/>
    <x v="1"/>
  </r>
  <r>
    <x v="5"/>
    <n v="707"/>
    <x v="1"/>
  </r>
  <r>
    <x v="5"/>
    <n v="807"/>
    <x v="0"/>
  </r>
  <r>
    <x v="6"/>
    <n v="796"/>
    <x v="1"/>
  </r>
  <r>
    <x v="6"/>
    <n v="1136"/>
    <x v="0"/>
  </r>
  <r>
    <x v="7"/>
    <n v="1378"/>
    <x v="0"/>
  </r>
  <r>
    <x v="7"/>
    <n v="1000"/>
    <x v="1"/>
  </r>
  <r>
    <x v="8"/>
    <n v="1664"/>
    <x v="0"/>
  </r>
  <r>
    <x v="8"/>
    <n v="1667"/>
    <x v="1"/>
  </r>
  <r>
    <x v="9"/>
    <n v="3200"/>
    <x v="0"/>
  </r>
  <r>
    <x v="9"/>
    <n v="3242"/>
    <x v="1"/>
  </r>
  <r>
    <x v="10"/>
    <n v="6604"/>
    <x v="0"/>
  </r>
  <r>
    <x v="10"/>
    <n v="8233"/>
    <x v="1"/>
  </r>
  <r>
    <x v="11"/>
    <n v="23709"/>
    <x v="0"/>
  </r>
  <r>
    <x v="11"/>
    <n v="33209"/>
    <x v="1"/>
  </r>
  <r>
    <x v="12"/>
    <n v="41091"/>
    <x v="0"/>
  </r>
  <r>
    <x v="12"/>
    <n v="51761"/>
    <x v="1"/>
  </r>
  <r>
    <x v="13"/>
    <n v="47910"/>
    <x v="1"/>
  </r>
  <r>
    <x v="13"/>
    <n v="41038"/>
    <x v="0"/>
  </r>
  <r>
    <x v="14"/>
    <n v="31303"/>
    <x v="0"/>
  </r>
  <r>
    <x v="14"/>
    <n v="43507"/>
    <x v="1"/>
  </r>
  <r>
    <x v="15"/>
    <n v="48455"/>
    <x v="1"/>
  </r>
  <r>
    <x v="15"/>
    <n v="35484"/>
    <x v="0"/>
  </r>
  <r>
    <x v="16"/>
    <n v="50757"/>
    <x v="1"/>
  </r>
  <r>
    <x v="16"/>
    <n v="43938"/>
    <x v="0"/>
  </r>
  <r>
    <x v="17"/>
    <n v="44161"/>
    <x v="0"/>
  </r>
  <r>
    <x v="17"/>
    <n v="43681"/>
    <x v="1"/>
  </r>
  <r>
    <x v="18"/>
    <n v="51943"/>
    <x v="0"/>
  </r>
  <r>
    <x v="18"/>
    <n v="42051"/>
    <x v="1"/>
  </r>
  <r>
    <x v="19"/>
    <n v="59950"/>
    <x v="0"/>
  </r>
  <r>
    <x v="19"/>
    <n v="39370"/>
    <x v="1"/>
  </r>
  <r>
    <x v="20"/>
    <n v="37221"/>
    <x v="1"/>
  </r>
  <r>
    <x v="20"/>
    <n v="53276"/>
    <x v="0"/>
  </r>
  <r>
    <x v="21"/>
    <n v="39556"/>
    <x v="1"/>
  </r>
  <r>
    <x v="21"/>
    <n v="51798"/>
    <x v="0"/>
  </r>
  <r>
    <x v="22"/>
    <n v="42715"/>
    <x v="1"/>
  </r>
  <r>
    <x v="22"/>
    <n v="45107"/>
    <x v="0"/>
  </r>
  <r>
    <x v="23"/>
    <n v="45859"/>
    <x v="0"/>
  </r>
  <r>
    <x v="23"/>
    <n v="56637"/>
    <x v="1"/>
  </r>
  <r>
    <x v="24"/>
    <n v="52239"/>
    <x v="1"/>
  </r>
  <r>
    <x v="24"/>
    <n v="42325"/>
    <x v="0"/>
  </r>
  <r>
    <x v="25"/>
    <n v="39079"/>
    <x v="0"/>
  </r>
  <r>
    <x v="25"/>
    <n v="59931"/>
    <x v="1"/>
  </r>
  <r>
    <x v="26"/>
    <n v="31140"/>
    <x v="0"/>
  </r>
  <r>
    <x v="26"/>
    <n v="56801"/>
    <x v="1"/>
  </r>
  <r>
    <x v="27"/>
    <n v="36891"/>
    <x v="0"/>
  </r>
  <r>
    <x v="27"/>
    <n v="51987"/>
    <x v="1"/>
  </r>
  <r>
    <x v="28"/>
    <n v="63370"/>
    <x v="1"/>
  </r>
  <r>
    <x v="28"/>
    <n v="46666"/>
    <x v="0"/>
  </r>
  <r>
    <x v="29"/>
    <n v="47775"/>
    <x v="0"/>
  </r>
  <r>
    <x v="29"/>
    <n v="64910"/>
    <x v="1"/>
  </r>
  <r>
    <x v="30"/>
    <n v="48295"/>
    <x v="0"/>
  </r>
  <r>
    <x v="30"/>
    <n v="58897"/>
    <x v="1"/>
  </r>
  <r>
    <x v="31"/>
    <n v="46378"/>
    <x v="0"/>
  </r>
  <r>
    <x v="31"/>
    <n v="47620"/>
    <x v="1"/>
  </r>
  <r>
    <x v="32"/>
    <n v="42146"/>
    <x v="1"/>
  </r>
  <r>
    <x v="32"/>
    <n v="45072"/>
    <x v="0"/>
  </r>
  <r>
    <x v="33"/>
    <n v="42086"/>
    <x v="0"/>
  </r>
  <r>
    <x v="33"/>
    <n v="39987"/>
    <x v="1"/>
  </r>
  <r>
    <x v="34"/>
    <n v="33872"/>
    <x v="0"/>
  </r>
  <r>
    <x v="34"/>
    <n v="42329"/>
    <x v="1"/>
  </r>
  <r>
    <x v="35"/>
    <n v="31735"/>
    <x v="0"/>
  </r>
  <r>
    <x v="35"/>
    <n v="49240"/>
    <x v="1"/>
  </r>
  <r>
    <x v="36"/>
    <n v="44131"/>
    <x v="1"/>
  </r>
  <r>
    <x v="36"/>
    <n v="27663"/>
    <x v="0"/>
  </r>
  <r>
    <x v="37"/>
    <n v="28576"/>
    <x v="0"/>
  </r>
  <r>
    <x v="37"/>
    <n v="60007"/>
    <x v="1"/>
  </r>
  <r>
    <x v="38"/>
    <n v="21746"/>
    <x v="0"/>
  </r>
  <r>
    <x v="38"/>
    <n v="59772"/>
    <x v="1"/>
  </r>
  <r>
    <x v="39"/>
    <n v="96930"/>
    <x v="1"/>
  </r>
  <r>
    <x v="39"/>
    <n v="25190"/>
    <x v="0"/>
  </r>
  <r>
    <x v="40"/>
    <n v="77631"/>
    <x v="1"/>
  </r>
  <r>
    <x v="40"/>
    <n v="30884"/>
    <x v="0"/>
  </r>
  <r>
    <x v="41"/>
    <n v="31563"/>
    <x v="0"/>
  </r>
  <r>
    <x v="41"/>
    <n v="75914"/>
    <x v="1"/>
  </r>
  <r>
    <x v="42"/>
    <n v="32255"/>
    <x v="0"/>
  </r>
  <r>
    <x v="42"/>
    <n v="49486"/>
    <x v="1"/>
  </r>
  <r>
    <x v="43"/>
    <n v="35903"/>
    <x v="0"/>
  </r>
  <r>
    <x v="43"/>
    <n v="38955"/>
    <x v="1"/>
  </r>
  <r>
    <x v="44"/>
    <n v="28405"/>
    <x v="1"/>
  </r>
  <r>
    <x v="44"/>
    <n v="32528"/>
    <x v="0"/>
  </r>
  <r>
    <x v="45"/>
    <n v="22385"/>
    <x v="0"/>
  </r>
  <r>
    <x v="45"/>
    <n v="17976"/>
    <x v="1"/>
  </r>
  <r>
    <x v="46"/>
    <n v="25336"/>
    <x v="0"/>
  </r>
  <r>
    <x v="46"/>
    <n v="23665"/>
    <x v="1"/>
  </r>
  <r>
    <x v="47"/>
    <n v="23797"/>
    <x v="0"/>
  </r>
  <r>
    <x v="47"/>
    <n v="32239"/>
    <x v="1"/>
  </r>
  <r>
    <x v="48"/>
    <n v="16286"/>
    <x v="0"/>
  </r>
  <r>
    <x v="48"/>
    <n v="16046"/>
    <x v="1"/>
  </r>
  <r>
    <x v="49"/>
    <n v="22677"/>
    <x v="0"/>
  </r>
  <r>
    <x v="49"/>
    <n v="50446"/>
    <x v="1"/>
  </r>
  <r>
    <x v="50"/>
    <n v="112711"/>
    <x v="1"/>
  </r>
  <r>
    <x v="50"/>
    <n v="14672"/>
    <x v="0"/>
  </r>
  <r>
    <x v="51"/>
    <n v="16437"/>
    <x v="0"/>
  </r>
  <r>
    <x v="51"/>
    <n v="146609"/>
    <x v="1"/>
  </r>
  <r>
    <x v="52"/>
    <n v="156465"/>
    <x v="1"/>
  </r>
  <r>
    <x v="52"/>
    <n v="23794"/>
    <x v="0"/>
  </r>
  <r>
    <x v="53"/>
    <n v="22432"/>
    <x v="0"/>
  </r>
  <r>
    <x v="53"/>
    <n v="146791"/>
    <x v="1"/>
  </r>
  <r>
    <x v="54"/>
    <n v="142852"/>
    <x v="1"/>
  </r>
  <r>
    <x v="54"/>
    <n v="25072"/>
    <x v="0"/>
  </r>
  <r>
    <x v="55"/>
    <n v="124476"/>
    <x v="1"/>
  </r>
  <r>
    <x v="55"/>
    <n v="33562"/>
    <x v="0"/>
  </r>
  <r>
    <x v="56"/>
    <n v="37842"/>
    <x v="0"/>
  </r>
  <r>
    <x v="56"/>
    <n v="87106"/>
    <x v="1"/>
  </r>
  <r>
    <x v="57"/>
    <n v="54292"/>
    <x v="1"/>
  </r>
  <r>
    <x v="57"/>
    <n v="30909"/>
    <x v="0"/>
  </r>
  <r>
    <x v="58"/>
    <n v="29112"/>
    <x v="0"/>
  </r>
  <r>
    <x v="58"/>
    <n v="48305"/>
    <x v="1"/>
  </r>
  <r>
    <x v="59"/>
    <n v="30800"/>
    <x v="0"/>
  </r>
  <r>
    <x v="59"/>
    <n v="58549"/>
    <x v="1"/>
  </r>
  <r>
    <x v="60"/>
    <n v="62306"/>
    <x v="1"/>
  </r>
  <r>
    <x v="60"/>
    <n v="28720"/>
    <x v="0"/>
  </r>
  <r>
    <x v="61"/>
    <n v="24831"/>
    <x v="0"/>
  </r>
  <r>
    <x v="61"/>
    <n v="65898"/>
    <x v="1"/>
  </r>
  <r>
    <x v="62"/>
    <n v="18402"/>
    <x v="0"/>
  </r>
  <r>
    <x v="62"/>
    <n v="57402"/>
    <x v="1"/>
  </r>
  <r>
    <x v="63"/>
    <n v="43064"/>
    <x v="1"/>
  </r>
  <r>
    <x v="63"/>
    <n v="20232"/>
    <x v="0"/>
  </r>
  <r>
    <x v="64"/>
    <n v="23904"/>
    <x v="0"/>
  </r>
  <r>
    <x v="64"/>
    <n v="42670"/>
    <x v="1"/>
  </r>
  <r>
    <x v="65"/>
    <n v="27627"/>
    <x v="0"/>
  </r>
  <r>
    <x v="65"/>
    <n v="38274"/>
    <x v="1"/>
  </r>
  <r>
    <x v="66"/>
    <n v="30003"/>
    <x v="0"/>
  </r>
  <r>
    <x v="66"/>
    <n v="32621"/>
    <x v="1"/>
  </r>
  <r>
    <x v="67"/>
    <n v="41238"/>
    <x v="1"/>
  </r>
  <r>
    <x v="67"/>
    <n v="32443"/>
    <x v="0"/>
  </r>
  <r>
    <x v="68"/>
    <n v="19685"/>
    <x v="0"/>
  </r>
  <r>
    <x v="68"/>
    <n v="52162"/>
    <x v="1"/>
  </r>
  <r>
    <x v="69"/>
    <n v="64623"/>
    <x v="1"/>
  </r>
  <r>
    <x v="69"/>
    <n v="18981"/>
    <x v="0"/>
  </r>
  <r>
    <x v="70"/>
    <n v="16246"/>
    <x v="0"/>
  </r>
  <r>
    <x v="70"/>
    <n v="67903"/>
    <x v="1"/>
  </r>
  <r>
    <x v="71"/>
    <n v="15884"/>
    <x v="0"/>
  </r>
  <r>
    <x v="71"/>
    <n v="76288"/>
    <x v="1"/>
  </r>
  <r>
    <x v="72"/>
    <n v="73623"/>
    <x v="1"/>
  </r>
  <r>
    <x v="72"/>
    <n v="14966"/>
    <x v="0"/>
  </r>
  <r>
    <x v="73"/>
    <n v="18154"/>
    <x v="0"/>
  </r>
  <r>
    <x v="73"/>
    <n v="65712"/>
    <x v="1"/>
  </r>
  <r>
    <x v="74"/>
    <n v="50651"/>
    <x v="1"/>
  </r>
  <r>
    <x v="74"/>
    <n v="13479"/>
    <x v="0"/>
  </r>
  <r>
    <x v="75"/>
    <n v="10320"/>
    <x v="0"/>
  </r>
  <r>
    <x v="75"/>
    <n v="30500"/>
    <x v="1"/>
  </r>
  <r>
    <x v="76"/>
    <n v="25805"/>
    <x v="1"/>
  </r>
  <r>
    <x v="76"/>
    <n v="15961"/>
    <x v="0"/>
  </r>
  <r>
    <x v="77"/>
    <n v="17345"/>
    <x v="0"/>
  </r>
  <r>
    <x v="77"/>
    <n v="22121"/>
    <x v="1"/>
  </r>
  <r>
    <x v="78"/>
    <n v="18824"/>
    <x v="1"/>
  </r>
  <r>
    <x v="78"/>
    <n v="17996"/>
    <x v="0"/>
  </r>
  <r>
    <x v="79"/>
    <n v="24293"/>
    <x v="0"/>
  </r>
  <r>
    <x v="79"/>
    <n v="23650"/>
    <x v="1"/>
  </r>
  <r>
    <x v="80"/>
    <n v="21064"/>
    <x v="0"/>
  </r>
  <r>
    <x v="80"/>
    <n v="24964"/>
    <x v="1"/>
  </r>
  <r>
    <x v="81"/>
    <n v="26275"/>
    <x v="1"/>
  </r>
  <r>
    <x v="81"/>
    <n v="20035"/>
    <x v="0"/>
  </r>
  <r>
    <x v="82"/>
    <n v="16058"/>
    <x v="0"/>
  </r>
  <r>
    <x v="82"/>
    <n v="39802"/>
    <x v="1"/>
  </r>
  <r>
    <x v="83"/>
    <n v="39477"/>
    <x v="1"/>
  </r>
  <r>
    <x v="83"/>
    <n v="11162"/>
    <x v="0"/>
  </r>
  <r>
    <x v="84"/>
    <n v="10929"/>
    <x v="0"/>
  </r>
  <r>
    <x v="84"/>
    <n v="42170"/>
    <x v="1"/>
  </r>
  <r>
    <x v="85"/>
    <n v="44652"/>
    <x v="1"/>
  </r>
  <r>
    <x v="85"/>
    <n v="13258"/>
    <x v="0"/>
  </r>
  <r>
    <x v="86"/>
    <n v="8189"/>
    <x v="0"/>
  </r>
  <r>
    <x v="86"/>
    <n v="39231"/>
    <x v="1"/>
  </r>
  <r>
    <x v="87"/>
    <n v="38016"/>
    <x v="1"/>
  </r>
  <r>
    <x v="87"/>
    <n v="8104"/>
    <x v="0"/>
  </r>
  <r>
    <x v="88"/>
    <n v="10581"/>
    <x v="0"/>
  </r>
  <r>
    <x v="88"/>
    <n v="37464"/>
    <x v="1"/>
  </r>
  <r>
    <x v="89"/>
    <n v="33026"/>
    <x v="1"/>
  </r>
  <r>
    <x v="89"/>
    <n v="15774"/>
    <x v="0"/>
  </r>
  <r>
    <x v="90"/>
    <n v="21378"/>
    <x v="0"/>
  </r>
  <r>
    <x v="90"/>
    <n v="36057"/>
    <x v="1"/>
  </r>
  <r>
    <x v="91"/>
    <n v="36003"/>
    <x v="1"/>
  </r>
  <r>
    <x v="91"/>
    <n v="19470"/>
    <x v="0"/>
  </r>
  <r>
    <x v="92"/>
    <n v="43995"/>
    <x v="1"/>
  </r>
  <r>
    <x v="92"/>
    <n v="19627"/>
    <x v="0"/>
  </r>
  <r>
    <x v="93"/>
    <n v="21150"/>
    <x v="0"/>
  </r>
  <r>
    <x v="93"/>
    <n v="54695"/>
    <x v="1"/>
  </r>
  <r>
    <x v="94"/>
    <n v="21835"/>
    <x v="0"/>
  </r>
  <r>
    <x v="94"/>
    <n v="64599"/>
    <x v="1"/>
  </r>
  <r>
    <x v="95"/>
    <n v="20521"/>
    <x v="0"/>
  </r>
  <r>
    <x v="95"/>
    <n v="66930"/>
    <x v="1"/>
  </r>
  <r>
    <x v="96"/>
    <n v="58458"/>
    <x v="1"/>
  </r>
  <r>
    <x v="96"/>
    <n v="15691"/>
    <x v="0"/>
  </r>
  <r>
    <x v="97"/>
    <n v="64955"/>
    <x v="1"/>
  </r>
  <r>
    <x v="97"/>
    <n v="17055"/>
    <x v="0"/>
  </r>
  <r>
    <x v="98"/>
    <n v="15699"/>
    <x v="0"/>
  </r>
  <r>
    <x v="98"/>
    <n v="71099"/>
    <x v="1"/>
  </r>
  <r>
    <x v="99"/>
    <n v="66340"/>
    <x v="1"/>
  </r>
  <r>
    <x v="99"/>
    <n v="18524"/>
    <x v="0"/>
  </r>
  <r>
    <x v="100"/>
    <n v="20540"/>
    <x v="0"/>
  </r>
  <r>
    <x v="100"/>
    <n v="56011"/>
    <x v="1"/>
  </r>
  <r>
    <x v="101"/>
    <n v="21247"/>
    <x v="0"/>
  </r>
  <r>
    <x v="101"/>
    <n v="49949"/>
    <x v="1"/>
  </r>
  <r>
    <x v="102"/>
    <n v="57445"/>
    <x v="1"/>
  </r>
  <r>
    <x v="102"/>
    <n v="28371"/>
    <x v="0"/>
  </r>
  <r>
    <x v="103"/>
    <n v="28575"/>
    <x v="0"/>
  </r>
  <r>
    <x v="103"/>
    <n v="49603"/>
    <x v="1"/>
  </r>
  <r>
    <x v="104"/>
    <n v="26523"/>
    <x v="0"/>
  </r>
  <r>
    <x v="104"/>
    <n v="38828"/>
    <x v="1"/>
  </r>
  <r>
    <x v="105"/>
    <n v="26886"/>
    <x v="1"/>
  </r>
  <r>
    <x v="105"/>
    <n v="24283"/>
    <x v="0"/>
  </r>
  <r>
    <x v="106"/>
    <n v="20370"/>
    <x v="0"/>
  </r>
  <r>
    <x v="106"/>
    <n v="20443"/>
    <x v="1"/>
  </r>
  <r>
    <x v="107"/>
    <n v="22878"/>
    <x v="0"/>
  </r>
  <r>
    <x v="107"/>
    <n v="20950"/>
    <x v="1"/>
  </r>
  <r>
    <x v="108"/>
    <n v="22294"/>
    <x v="1"/>
  </r>
  <r>
    <x v="108"/>
    <n v="22177"/>
    <x v="0"/>
  </r>
  <r>
    <x v="109"/>
    <n v="23120"/>
    <x v="0"/>
  </r>
  <r>
    <x v="109"/>
    <n v="22659"/>
    <x v="1"/>
  </r>
  <r>
    <x v="110"/>
    <n v="15338"/>
    <x v="0"/>
  </r>
  <r>
    <x v="110"/>
    <n v="16538"/>
    <x v="1"/>
  </r>
  <r>
    <x v="111"/>
    <n v="16341"/>
    <x v="0"/>
  </r>
  <r>
    <x v="111"/>
    <n v="15114"/>
    <x v="1"/>
  </r>
  <r>
    <x v="112"/>
    <n v="18555"/>
    <x v="1"/>
  </r>
  <r>
    <x v="112"/>
    <n v="21787"/>
    <x v="0"/>
  </r>
  <r>
    <x v="113"/>
    <n v="18408"/>
    <x v="1"/>
  </r>
  <r>
    <x v="113"/>
    <n v="22960"/>
    <x v="0"/>
  </r>
  <r>
    <x v="114"/>
    <n v="17628"/>
    <x v="1"/>
  </r>
  <r>
    <x v="114"/>
    <n v="26041"/>
    <x v="0"/>
  </r>
  <r>
    <x v="115"/>
    <n v="21496"/>
    <x v="1"/>
  </r>
  <r>
    <x v="115"/>
    <n v="30810"/>
    <x v="0"/>
  </r>
  <r>
    <x v="116"/>
    <n v="23073"/>
    <x v="1"/>
  </r>
  <r>
    <x v="116"/>
    <n v="31521"/>
    <x v="0"/>
  </r>
  <r>
    <x v="117"/>
    <n v="23336"/>
    <x v="1"/>
  </r>
  <r>
    <x v="117"/>
    <n v="29375"/>
    <x v="0"/>
  </r>
  <r>
    <x v="118"/>
    <n v="25044"/>
    <x v="1"/>
  </r>
  <r>
    <x v="118"/>
    <n v="26356"/>
    <x v="0"/>
  </r>
  <r>
    <x v="119"/>
    <n v="24616"/>
    <x v="1"/>
  </r>
  <r>
    <x v="119"/>
    <n v="23931"/>
    <x v="0"/>
  </r>
  <r>
    <x v="120"/>
    <n v="27032"/>
    <x v="1"/>
  </r>
  <r>
    <x v="120"/>
    <n v="19872"/>
    <x v="0"/>
  </r>
  <r>
    <x v="121"/>
    <n v="27859"/>
    <x v="1"/>
  </r>
  <r>
    <x v="121"/>
    <n v="21063"/>
    <x v="0"/>
  </r>
  <r>
    <x v="122"/>
    <n v="29599"/>
    <x v="1"/>
  </r>
  <r>
    <x v="122"/>
    <n v="15216"/>
    <x v="0"/>
  </r>
  <r>
    <x v="123"/>
    <n v="41109"/>
    <x v="1"/>
  </r>
  <r>
    <x v="123"/>
    <n v="17593"/>
    <x v="0"/>
  </r>
  <r>
    <x v="124"/>
    <n v="24723"/>
    <x v="0"/>
  </r>
  <r>
    <x v="124"/>
    <n v="48196"/>
    <x v="1"/>
  </r>
  <r>
    <x v="125"/>
    <n v="26777"/>
    <x v="0"/>
  </r>
  <r>
    <x v="125"/>
    <n v="41159"/>
    <x v="1"/>
  </r>
  <r>
    <x v="126"/>
    <n v="28751"/>
    <x v="0"/>
  </r>
  <r>
    <x v="126"/>
    <n v="36802"/>
    <x v="1"/>
  </r>
  <r>
    <x v="127"/>
    <n v="31059"/>
    <x v="0"/>
  </r>
  <r>
    <x v="127"/>
    <n v="31676"/>
    <x v="1"/>
  </r>
  <r>
    <x v="128"/>
    <n v="30775"/>
    <x v="0"/>
  </r>
  <r>
    <x v="128"/>
    <n v="27892"/>
    <x v="1"/>
  </r>
  <r>
    <x v="129"/>
    <n v="29655"/>
    <x v="0"/>
  </r>
  <r>
    <x v="129"/>
    <n v="26475"/>
    <x v="1"/>
  </r>
  <r>
    <x v="130"/>
    <n v="27181"/>
    <x v="0"/>
  </r>
  <r>
    <x v="130"/>
    <n v="28323"/>
    <x v="1"/>
  </r>
  <r>
    <x v="131"/>
    <n v="29817"/>
    <x v="1"/>
  </r>
  <r>
    <x v="131"/>
    <n v="25037"/>
    <x v="0"/>
  </r>
  <r>
    <x v="132"/>
    <n v="19005"/>
    <x v="0"/>
  </r>
  <r>
    <x v="132"/>
    <n v="25986"/>
    <x v="1"/>
  </r>
  <r>
    <x v="133"/>
    <n v="15543"/>
    <x v="1"/>
  </r>
  <r>
    <x v="133"/>
    <n v="12492"/>
    <x v="0"/>
  </r>
  <r>
    <x v="134"/>
    <n v="492"/>
    <x v="0"/>
  </r>
  <r>
    <x v="134"/>
    <n v="105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name="PivotTable3" cacheId="6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A1:AF126" firstHeaderRow="1" firstDataRow="2" firstDataCol="1"/>
  <pivotFields count="3">
    <pivotField axis="axisRow" showAll="0">
      <items count="1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dataField="1" showAll="0"/>
    <pivotField axis="axisCol" showAll="0">
      <items count="5">
        <item x="0"/>
        <item x="2"/>
        <item x="1"/>
        <item x="3"/>
        <item t="default"/>
      </items>
    </pivotField>
  </pivotFields>
  <rowFields count="1">
    <field x="0"/>
  </rowFields>
  <rowItems count="1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count(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6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J1:Q126" firstHeaderRow="1" firstDataRow="2" firstDataCol="1"/>
  <pivotFields count="3">
    <pivotField axis="axisRow" showAll="0" defaultSubtota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</items>
    </pivotField>
    <pivotField dataField="1" showAll="0"/>
    <pivotField axis="axisCol" showAll="0">
      <items count="7">
        <item x="0"/>
        <item x="3"/>
        <item x="1"/>
        <item x="2"/>
        <item x="4"/>
        <item x="5"/>
        <item t="default"/>
      </items>
    </pivotField>
  </pivotFields>
  <rowFields count="1">
    <field x="0"/>
  </rowFields>
  <rowItems count="1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count(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7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BB1:BH139" firstHeaderRow="1" firstDataRow="2" firstDataCol="1"/>
  <pivotFields count="3">
    <pivotField axis="axisRow" showAll="0">
      <items count="1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t="default"/>
      </items>
    </pivotField>
    <pivotField dataField="1" showAll="0"/>
    <pivotField axis="axisCol" showAll="0">
      <items count="6">
        <item x="0"/>
        <item x="3"/>
        <item x="1"/>
        <item x="2"/>
        <item x="4"/>
        <item t="default"/>
      </items>
    </pivotField>
  </pivotFields>
  <rowFields count="1">
    <field x="0"/>
  </rowFields>
  <rowItems count="1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count(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7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N1:AS138" firstHeaderRow="1" firstDataRow="2" firstDataCol="1"/>
  <pivotFields count="3">
    <pivotField axis="axisRow" numFmtId="14" showAll="0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dataField="1" showAll="0"/>
    <pivotField axis="axisCol" showAll="0">
      <items count="5">
        <item x="1"/>
        <item x="2"/>
        <item x="0"/>
        <item x="3"/>
        <item t="default"/>
      </items>
    </pivotField>
  </pivotFields>
  <rowFields count="1">
    <field x="0"/>
  </rowFields>
  <rowItems count="1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count(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13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W4:AA141" firstHeaderRow="1" firstDataRow="2" firstDataCol="1"/>
  <pivotFields count="3">
    <pivotField axis="axisRow" numFmtId="14" showAll="0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dataField="1" showAll="0"/>
    <pivotField axis="axisCol" showAll="0">
      <items count="5">
        <item x="1"/>
        <item m="1" x="3"/>
        <item x="0"/>
        <item x="2"/>
        <item t="default"/>
      </items>
    </pivotField>
  </pivotFields>
  <rowFields count="1">
    <field x="0"/>
  </rowFields>
  <rowItems count="1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 t="grand">
      <x/>
    </i>
  </rowItems>
  <colFields count="1">
    <field x="2"/>
  </colFields>
  <colItems count="4">
    <i>
      <x/>
    </i>
    <i>
      <x v="2"/>
    </i>
    <i>
      <x v="3"/>
    </i>
    <i t="grand">
      <x/>
    </i>
  </colItems>
  <dataFields count="1">
    <dataField name="Sum of count(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13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M4:S141" firstHeaderRow="1" firstDataRow="2" firstDataCol="1"/>
  <pivotFields count="3">
    <pivotField axis="axisRow" numFmtId="14" showAll="0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dataField="1" showAll="0"/>
    <pivotField axis="axisCol" showAll="0">
      <items count="6">
        <item x="1"/>
        <item x="3"/>
        <item x="0"/>
        <item x="2"/>
        <item x="4"/>
        <item t="default"/>
      </items>
    </pivotField>
  </pivotFields>
  <rowFields count="1">
    <field x="0"/>
  </rowFields>
  <rowItems count="1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count(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6" cacheId="15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L4:R141" firstHeaderRow="1" firstDataRow="2" firstDataCol="1"/>
  <pivotFields count="3">
    <pivotField axis="axisRow" numFmtId="14" showAll="0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dataField="1" showAll="0"/>
    <pivotField axis="axisCol" showAll="0">
      <items count="6">
        <item x="1"/>
        <item x="3"/>
        <item x="0"/>
        <item x="2"/>
        <item x="4"/>
        <item t="default"/>
      </items>
    </pivotField>
  </pivotFields>
  <rowFields count="1">
    <field x="0"/>
  </rowFields>
  <rowItems count="1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count(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7" cacheId="16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V4:Y141" firstHeaderRow="1" firstDataRow="2" firstDataCol="1"/>
  <pivotFields count="3">
    <pivotField axis="axisRow" numFmtId="14" showAll="0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dataField="1" showAll="0"/>
    <pivotField axis="axisCol" showAll="0">
      <items count="4">
        <item m="1" x="2"/>
        <item x="0"/>
        <item x="1"/>
        <item t="default"/>
      </items>
    </pivotField>
  </pivotFields>
  <rowFields count="1">
    <field x="0"/>
  </rowFields>
  <rowItems count="1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 t="grand">
      <x/>
    </i>
  </rowItems>
  <colFields count="1">
    <field x="2"/>
  </colFields>
  <colItems count="3">
    <i>
      <x v="1"/>
    </i>
    <i>
      <x v="2"/>
    </i>
    <i t="grand">
      <x/>
    </i>
  </colItems>
  <dataFields count="1">
    <dataField name="Sum of count(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6" cacheId="14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L4:R141" firstHeaderRow="1" firstDataRow="2" firstDataCol="1"/>
  <pivotFields count="3">
    <pivotField axis="axisRow" numFmtId="14" showAll="0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dataField="1" showAll="0"/>
    <pivotField axis="axisCol" showAll="0">
      <items count="6">
        <item x="1"/>
        <item x="3"/>
        <item x="0"/>
        <item x="2"/>
        <item x="4"/>
        <item t="default"/>
      </items>
    </pivotField>
  </pivotFields>
  <rowFields count="1">
    <field x="0"/>
  </rowFields>
  <rowItems count="1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count(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7" cacheId="15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V4:Z141" firstHeaderRow="1" firstDataRow="2" firstDataCol="1"/>
  <pivotFields count="3">
    <pivotField axis="axisRow" numFmtId="14" showAll="0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dataField="1" showAll="0"/>
    <pivotField axis="axisCol" showAll="0">
      <items count="5">
        <item x="1"/>
        <item m="1" x="3"/>
        <item x="0"/>
        <item x="2"/>
        <item t="default"/>
      </items>
    </pivotField>
  </pivotFields>
  <rowFields count="1">
    <field x="0"/>
  </rowFields>
  <rowItems count="1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 t="grand">
      <x/>
    </i>
  </rowItems>
  <colFields count="1">
    <field x="2"/>
  </colFields>
  <colItems count="4">
    <i>
      <x/>
    </i>
    <i>
      <x v="2"/>
    </i>
    <i>
      <x v="3"/>
    </i>
    <i t="grand">
      <x/>
    </i>
  </colItems>
  <dataFields count="1">
    <dataField name="Sum of count(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temp_2" connectionId="8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temp_1" connectionId="7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Query from Agency_13" backgroundRefresh="0" adjustColumnWidth="0" connectionId="2" autoFormatId="16" applyNumberFormats="0" applyBorderFormats="0" applyFontFormats="0" applyPatternFormats="0" applyAlignmentFormats="0" applyWidthHeightFormats="0">
  <queryTableRefresh nextId="81">
    <queryTableFields count="3">
      <queryTableField id="78" name="pmtdate" tableColumnId="1"/>
      <queryTableField id="79" name="count()" tableColumnId="2"/>
      <queryTableField id="80" name="HARPStatus" tableColumnId="3"/>
    </queryTableFields>
    <queryTableDeletedFields count="1">
      <deletedField name="refinancible_satoAdj"/>
    </queryTableDeletedFields>
  </queryTableRefresh>
</queryTable>
</file>

<file path=xl/queryTables/queryTable4.xml><?xml version="1.0" encoding="utf-8"?>
<queryTable xmlns="http://schemas.openxmlformats.org/spreadsheetml/2006/main" name="Query from Agency_14" backgroundRefresh="0" adjustColumnWidth="0" connectionId="1" autoFormatId="16" applyNumberFormats="0" applyBorderFormats="0" applyFontFormats="0" applyPatternFormats="0" applyAlignmentFormats="0" applyWidthHeightFormats="0">
  <queryTableRefresh nextId="84">
    <queryTableFields count="3">
      <queryTableField id="78" name="pmtdate" tableColumnId="1"/>
      <queryTableField id="79" name="count()" tableColumnId="2"/>
      <queryTableField id="83" name="MHAStatus" tableColumnId="3"/>
    </queryTableFields>
    <queryTableDeletedFields count="1">
      <deletedField name="refinancible_satoAdj"/>
    </queryTableDeletedFields>
  </queryTableRefresh>
</queryTable>
</file>

<file path=xl/queryTables/queryTable5.xml><?xml version="1.0" encoding="utf-8"?>
<queryTable xmlns="http://schemas.openxmlformats.org/spreadsheetml/2006/main" name="Query from Agency_13" backgroundRefresh="0" adjustColumnWidth="0" connectionId="4" autoFormatId="16" applyNumberFormats="0" applyBorderFormats="0" applyFontFormats="0" applyPatternFormats="0" applyAlignmentFormats="0" applyWidthHeightFormats="0">
  <queryTableRefresh nextId="81">
    <queryTableFields count="3">
      <queryTableField id="78" name="pmtdate" tableColumnId="1"/>
      <queryTableField id="79" name="count()" tableColumnId="2"/>
      <queryTableField id="80" name="HARPStatus" tableColumnId="3"/>
    </queryTableFields>
    <queryTableDeletedFields count="1">
      <deletedField name="refinancible_satoAdj"/>
    </queryTableDeletedFields>
  </queryTableRefresh>
</queryTable>
</file>

<file path=xl/queryTables/queryTable6.xml><?xml version="1.0" encoding="utf-8"?>
<queryTable xmlns="http://schemas.openxmlformats.org/spreadsheetml/2006/main" name="Query from Agency_14" backgroundRefresh="0" adjustColumnWidth="0" connectionId="3" autoFormatId="16" applyNumberFormats="0" applyBorderFormats="0" applyFontFormats="0" applyPatternFormats="0" applyAlignmentFormats="0" applyWidthHeightFormats="0">
  <queryTableRefresh nextId="82">
    <queryTableFields count="3">
      <queryTableField id="78" name="pmtdate" tableColumnId="1"/>
      <queryTableField id="79" name="count()" tableColumnId="2"/>
      <queryTableField id="81" name="MHAStatus" tableColumnId="4"/>
    </queryTableFields>
    <queryTableDeletedFields count="1">
      <deletedField name="refinancible_satoAdj"/>
    </queryTableDeletedFields>
  </queryTableRefresh>
</queryTable>
</file>

<file path=xl/queryTables/queryTable7.xml><?xml version="1.0" encoding="utf-8"?>
<queryTable xmlns="http://schemas.openxmlformats.org/spreadsheetml/2006/main" name="Query from Agency_13" backgroundRefresh="0" adjustColumnWidth="0" connectionId="6" autoFormatId="16" applyNumberFormats="0" applyBorderFormats="0" applyFontFormats="0" applyPatternFormats="0" applyAlignmentFormats="0" applyWidthHeightFormats="0">
  <queryTableRefresh nextId="81">
    <queryTableFields count="3">
      <queryTableField id="78" name="pmtdate" tableColumnId="1"/>
      <queryTableField id="79" name="count()" tableColumnId="2"/>
      <queryTableField id="80" name="HARPStatus" tableColumnId="3"/>
    </queryTableFields>
    <queryTableDeletedFields count="1">
      <deletedField name="refinancible_satoAdj"/>
    </queryTableDeletedFields>
  </queryTableRefresh>
</queryTable>
</file>

<file path=xl/queryTables/queryTable8.xml><?xml version="1.0" encoding="utf-8"?>
<queryTable xmlns="http://schemas.openxmlformats.org/spreadsheetml/2006/main" name="Query from Agency_14" backgroundRefresh="0" adjustColumnWidth="0" connectionId="5" autoFormatId="16" applyNumberFormats="0" applyBorderFormats="0" applyFontFormats="0" applyPatternFormats="0" applyAlignmentFormats="0" applyWidthHeightFormats="0">
  <queryTableRefresh nextId="82">
    <queryTableFields count="3">
      <queryTableField id="78" name="pmtdate" tableColumnId="1"/>
      <queryTableField id="79" name="count()" tableColumnId="2"/>
      <queryTableField id="81" name="MHAStatus" tableColumnId="4"/>
    </queryTableFields>
    <queryTableDeletedFields count="1">
      <deletedField name="refinancible_satoAdj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id="2" name="CurrentMtgRatesDataTable82529" displayName="CurrentMtgRatesDataTable82529" ref="A4:C332" tableType="queryTable" totalsRowShown="0" headerRowDxfId="29" dataDxfId="28">
  <tableColumns count="3">
    <tableColumn id="1" uniqueName="1" name="pmtdate" queryTableFieldId="78" dataDxfId="17"/>
    <tableColumn id="2" uniqueName="2" name="count()" queryTableFieldId="79" dataDxfId="16"/>
    <tableColumn id="3" uniqueName="3" name="HARPStatus" queryTableFieldId="80" dataDxfId="1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3" name="CurrentMtgRatesDataTable825294" displayName="CurrentMtgRatesDataTable825294" ref="G4:I409" tableType="queryTable" totalsRowShown="0" headerRowDxfId="27" dataDxfId="26">
  <tableColumns count="3">
    <tableColumn id="1" uniqueName="1" name="pmtdate" queryTableFieldId="78" dataDxfId="14"/>
    <tableColumn id="2" uniqueName="2" name="count()" queryTableFieldId="79" dataDxfId="13"/>
    <tableColumn id="3" uniqueName="3" name="MHAStatus" queryTableFieldId="83" dataDxfId="1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6" name="CurrentMtgRatesDataTable825297" displayName="CurrentMtgRatesDataTable825297" ref="A4:C333" tableType="queryTable" totalsRowShown="0" headerRowDxfId="25" dataDxfId="24">
  <tableColumns count="3">
    <tableColumn id="1" uniqueName="1" name="pmtdate" queryTableFieldId="78" dataDxfId="2"/>
    <tableColumn id="2" uniqueName="2" name="count()" queryTableFieldId="79" dataDxfId="1"/>
    <tableColumn id="3" uniqueName="3" name="HARPStatus" queryTableFieldId="80" dataDxfId="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7" name="CurrentMtgRatesDataTable8252948" displayName="CurrentMtgRatesDataTable8252948" ref="F4:H274" tableType="queryTable" totalsRowShown="0" headerRowDxfId="23" dataDxfId="22">
  <tableColumns count="3">
    <tableColumn id="1" uniqueName="1" name="pmtdate" queryTableFieldId="78" dataDxfId="5"/>
    <tableColumn id="2" uniqueName="2" name="count()" queryTableFieldId="79" dataDxfId="4"/>
    <tableColumn id="4" uniqueName="4" name="MHAStatus" queryTableFieldId="81" dataDxfId="3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4" name="CurrentMtgRatesDataTable825295" displayName="CurrentMtgRatesDataTable825295" ref="A4:C333" tableType="queryTable" totalsRowShown="0" headerRowDxfId="21" dataDxfId="20">
  <tableColumns count="3">
    <tableColumn id="1" uniqueName="1" name="pmtdate" queryTableFieldId="78" dataDxfId="11"/>
    <tableColumn id="2" uniqueName="2" name="count()" queryTableFieldId="79" dataDxfId="10"/>
    <tableColumn id="3" uniqueName="3" name="HARPStatus" queryTableFieldId="80" dataDxfId="9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5" name="CurrentMtgRatesDataTable8252946" displayName="CurrentMtgRatesDataTable8252946" ref="F4:H409" tableType="queryTable" totalsRowShown="0" headerRowDxfId="19" dataDxfId="18">
  <tableColumns count="3">
    <tableColumn id="1" uniqueName="1" name="pmtdate" queryTableFieldId="78" dataDxfId="8"/>
    <tableColumn id="2" uniqueName="2" name="count()" queryTableFieldId="79" dataDxfId="7"/>
    <tableColumn id="4" uniqueName="4" name="MHAStatus" queryTableFieldId="81" dataDxfId="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queryTable" Target="../queryTables/query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queryTable" Target="../queryTables/query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84"/>
  <sheetViews>
    <sheetView workbookViewId="0">
      <selection activeCell="BK35" sqref="BK35"/>
    </sheetView>
  </sheetViews>
  <sheetFormatPr defaultRowHeight="15" x14ac:dyDescent="0.25"/>
  <cols>
    <col min="1" max="1" width="13.85546875" bestFit="1" customWidth="1"/>
    <col min="2" max="2" width="7.42578125" bestFit="1" customWidth="1"/>
    <col min="3" max="3" width="11.28515625" bestFit="1" customWidth="1"/>
    <col min="10" max="10" width="14.140625" customWidth="1"/>
    <col min="11" max="11" width="16.28515625" bestFit="1" customWidth="1"/>
    <col min="12" max="13" width="8" customWidth="1"/>
    <col min="14" max="14" width="10.85546875" customWidth="1"/>
    <col min="15" max="15" width="9.5703125" customWidth="1"/>
    <col min="16" max="16" width="7.28515625" customWidth="1"/>
    <col min="17" max="17" width="11.28515625" customWidth="1"/>
    <col min="21" max="21" width="13.85546875" bestFit="1" customWidth="1"/>
    <col min="22" max="22" width="7.42578125" customWidth="1"/>
    <col min="23" max="23" width="18.42578125" bestFit="1" customWidth="1"/>
    <col min="27" max="27" width="14.140625" customWidth="1"/>
    <col min="28" max="28" width="16.28515625" bestFit="1" customWidth="1"/>
    <col min="29" max="29" width="18.7109375" bestFit="1" customWidth="1"/>
    <col min="30" max="30" width="12.7109375" bestFit="1" customWidth="1"/>
    <col min="31" max="31" width="7.28515625" customWidth="1"/>
    <col min="32" max="32" width="11.28515625" bestFit="1" customWidth="1"/>
    <col min="40" max="40" width="14.140625" customWidth="1"/>
    <col min="41" max="41" width="16.28515625" bestFit="1" customWidth="1"/>
    <col min="42" max="42" width="9.85546875" customWidth="1"/>
    <col min="43" max="43" width="8" customWidth="1"/>
    <col min="44" max="44" width="13.28515625" bestFit="1" customWidth="1"/>
    <col min="45" max="45" width="11.28515625" bestFit="1" customWidth="1"/>
    <col min="54" max="54" width="14.140625" customWidth="1"/>
    <col min="55" max="55" width="16.28515625" bestFit="1" customWidth="1"/>
    <col min="56" max="56" width="9.85546875" bestFit="1" customWidth="1"/>
    <col min="57" max="57" width="8" customWidth="1"/>
    <col min="58" max="58" width="13.28515625" bestFit="1" customWidth="1"/>
    <col min="59" max="59" width="7.28515625" customWidth="1"/>
    <col min="60" max="60" width="11.28515625" bestFit="1" customWidth="1"/>
  </cols>
  <sheetData>
    <row r="1" spans="1:60" x14ac:dyDescent="0.25">
      <c r="A1" t="s">
        <v>12</v>
      </c>
      <c r="B1" t="s">
        <v>0</v>
      </c>
      <c r="C1" t="s">
        <v>1</v>
      </c>
      <c r="J1" s="2" t="s">
        <v>11</v>
      </c>
      <c r="K1" s="2" t="s">
        <v>10</v>
      </c>
      <c r="U1" t="s">
        <v>12</v>
      </c>
      <c r="V1" t="s">
        <v>0</v>
      </c>
      <c r="W1" t="s">
        <v>13</v>
      </c>
      <c r="AA1" s="2" t="s">
        <v>11</v>
      </c>
      <c r="AB1" s="2" t="s">
        <v>10</v>
      </c>
      <c r="AI1" t="s">
        <v>26</v>
      </c>
      <c r="AJ1" t="s">
        <v>0</v>
      </c>
      <c r="AK1" t="s">
        <v>21</v>
      </c>
      <c r="AN1" s="2" t="s">
        <v>11</v>
      </c>
      <c r="AO1" s="2" t="s">
        <v>10</v>
      </c>
      <c r="AW1" t="s">
        <v>26</v>
      </c>
      <c r="AX1" t="s">
        <v>0</v>
      </c>
      <c r="AY1" t="s">
        <v>21</v>
      </c>
      <c r="BB1" s="2" t="s">
        <v>11</v>
      </c>
      <c r="BC1" s="2" t="s">
        <v>10</v>
      </c>
    </row>
    <row r="2" spans="1:60" x14ac:dyDescent="0.25">
      <c r="A2" s="1">
        <v>38687</v>
      </c>
      <c r="B2">
        <v>19057</v>
      </c>
      <c r="C2" t="s">
        <v>3</v>
      </c>
      <c r="J2" s="2" t="s">
        <v>7</v>
      </c>
      <c r="K2" t="s">
        <v>3</v>
      </c>
      <c r="L2" t="s">
        <v>5</v>
      </c>
      <c r="M2" t="s">
        <v>2</v>
      </c>
      <c r="N2" t="s">
        <v>4</v>
      </c>
      <c r="O2" t="s">
        <v>6</v>
      </c>
      <c r="P2" t="s">
        <v>8</v>
      </c>
      <c r="Q2" t="s">
        <v>9</v>
      </c>
      <c r="U2" s="1">
        <v>38687</v>
      </c>
      <c r="V2">
        <v>1771</v>
      </c>
      <c r="W2" t="s">
        <v>14</v>
      </c>
      <c r="AA2" s="2" t="s">
        <v>7</v>
      </c>
      <c r="AB2" t="s">
        <v>14</v>
      </c>
      <c r="AC2" t="s">
        <v>16</v>
      </c>
      <c r="AD2" t="s">
        <v>15</v>
      </c>
      <c r="AE2" t="s">
        <v>8</v>
      </c>
      <c r="AF2" t="s">
        <v>9</v>
      </c>
      <c r="AI2" s="1">
        <v>38353</v>
      </c>
      <c r="AJ2">
        <v>1751</v>
      </c>
      <c r="AK2" t="s">
        <v>22</v>
      </c>
      <c r="AN2" s="2" t="s">
        <v>7</v>
      </c>
      <c r="AO2" t="s">
        <v>23</v>
      </c>
      <c r="AP2" t="s">
        <v>25</v>
      </c>
      <c r="AQ2" t="s">
        <v>22</v>
      </c>
      <c r="AR2" t="s">
        <v>24</v>
      </c>
      <c r="AS2" t="s">
        <v>9</v>
      </c>
      <c r="AW2" s="1">
        <v>38353</v>
      </c>
      <c r="AX2">
        <v>19296</v>
      </c>
      <c r="AY2" t="s">
        <v>23</v>
      </c>
      <c r="BB2" s="2" t="s">
        <v>7</v>
      </c>
      <c r="BC2" t="s">
        <v>23</v>
      </c>
      <c r="BD2" t="s">
        <v>25</v>
      </c>
      <c r="BE2" t="s">
        <v>22</v>
      </c>
      <c r="BF2" t="s">
        <v>24</v>
      </c>
      <c r="BG2" t="s">
        <v>8</v>
      </c>
      <c r="BH2" t="s">
        <v>9</v>
      </c>
    </row>
    <row r="3" spans="1:60" x14ac:dyDescent="0.25">
      <c r="A3" s="1">
        <v>38687</v>
      </c>
      <c r="B3">
        <v>116679</v>
      </c>
      <c r="C3" t="s">
        <v>2</v>
      </c>
      <c r="J3" s="3">
        <v>38687</v>
      </c>
      <c r="K3" s="5">
        <v>19057</v>
      </c>
      <c r="L3" s="5"/>
      <c r="M3" s="5">
        <v>116679</v>
      </c>
      <c r="N3" s="5"/>
      <c r="O3" s="5"/>
      <c r="P3" s="5"/>
      <c r="Q3" s="5">
        <v>135736</v>
      </c>
      <c r="U3" s="1">
        <v>38687</v>
      </c>
      <c r="V3">
        <v>64164</v>
      </c>
      <c r="W3" t="s">
        <v>15</v>
      </c>
      <c r="AA3" s="3">
        <v>38687</v>
      </c>
      <c r="AB3" s="5">
        <v>1771</v>
      </c>
      <c r="AC3" s="5">
        <v>69801</v>
      </c>
      <c r="AD3" s="5">
        <v>64164</v>
      </c>
      <c r="AE3" s="5"/>
      <c r="AF3" s="5">
        <v>135736</v>
      </c>
      <c r="AI3" s="1">
        <v>38353</v>
      </c>
      <c r="AJ3">
        <v>226</v>
      </c>
      <c r="AK3" t="s">
        <v>23</v>
      </c>
      <c r="AN3" s="3">
        <v>38353</v>
      </c>
      <c r="AO3" s="5">
        <v>226</v>
      </c>
      <c r="AP3" s="5"/>
      <c r="AQ3" s="5">
        <v>1751</v>
      </c>
      <c r="AR3" s="5"/>
      <c r="AS3" s="5">
        <v>1977</v>
      </c>
      <c r="AW3" s="1">
        <v>38353</v>
      </c>
      <c r="AX3">
        <v>18274</v>
      </c>
      <c r="AY3" t="s">
        <v>22</v>
      </c>
      <c r="BB3" s="3">
        <v>38353</v>
      </c>
      <c r="BC3" s="5">
        <v>19296</v>
      </c>
      <c r="BD3" s="5"/>
      <c r="BE3" s="5">
        <v>18274</v>
      </c>
      <c r="BF3" s="5"/>
      <c r="BG3" s="5"/>
      <c r="BH3" s="5">
        <v>37570</v>
      </c>
    </row>
    <row r="4" spans="1:60" x14ac:dyDescent="0.25">
      <c r="A4" s="1">
        <v>38718</v>
      </c>
      <c r="B4">
        <v>15165</v>
      </c>
      <c r="C4" t="s">
        <v>3</v>
      </c>
      <c r="J4" s="3">
        <v>38718</v>
      </c>
      <c r="K4" s="5">
        <v>15165</v>
      </c>
      <c r="L4" s="5"/>
      <c r="M4" s="5">
        <v>101038</v>
      </c>
      <c r="N4" s="5"/>
      <c r="O4" s="5"/>
      <c r="P4" s="5"/>
      <c r="Q4" s="5">
        <v>116203</v>
      </c>
      <c r="U4" s="1">
        <v>38687</v>
      </c>
      <c r="V4">
        <v>69801</v>
      </c>
      <c r="W4" t="s">
        <v>16</v>
      </c>
      <c r="AA4" s="3">
        <v>38718</v>
      </c>
      <c r="AB4" s="5">
        <v>1707</v>
      </c>
      <c r="AC4" s="5">
        <v>56048</v>
      </c>
      <c r="AD4" s="5">
        <v>58448</v>
      </c>
      <c r="AE4" s="5"/>
      <c r="AF4" s="5">
        <v>116203</v>
      </c>
      <c r="AI4" s="1">
        <v>38384</v>
      </c>
      <c r="AJ4">
        <v>237</v>
      </c>
      <c r="AK4" t="s">
        <v>23</v>
      </c>
      <c r="AN4" s="3">
        <v>38384</v>
      </c>
      <c r="AO4" s="5">
        <v>237</v>
      </c>
      <c r="AP4" s="5"/>
      <c r="AQ4" s="5">
        <v>1713</v>
      </c>
      <c r="AR4" s="5"/>
      <c r="AS4" s="5">
        <v>1950</v>
      </c>
      <c r="AW4" s="1">
        <v>38384</v>
      </c>
      <c r="AX4">
        <v>17818</v>
      </c>
      <c r="AY4" t="s">
        <v>22</v>
      </c>
      <c r="BB4" s="3">
        <v>38384</v>
      </c>
      <c r="BC4" s="5">
        <v>19367</v>
      </c>
      <c r="BD4" s="5"/>
      <c r="BE4" s="5">
        <v>17818</v>
      </c>
      <c r="BF4" s="5"/>
      <c r="BG4" s="5"/>
      <c r="BH4" s="5">
        <v>37185</v>
      </c>
    </row>
    <row r="5" spans="1:60" x14ac:dyDescent="0.25">
      <c r="A5" s="1">
        <v>38718</v>
      </c>
      <c r="B5">
        <v>101038</v>
      </c>
      <c r="C5" t="s">
        <v>2</v>
      </c>
      <c r="J5" s="3">
        <v>38749</v>
      </c>
      <c r="K5" s="5">
        <v>13726</v>
      </c>
      <c r="L5" s="5"/>
      <c r="M5" s="5">
        <v>85924</v>
      </c>
      <c r="N5" s="5"/>
      <c r="O5" s="5"/>
      <c r="P5" s="5"/>
      <c r="Q5" s="5">
        <v>99650</v>
      </c>
      <c r="U5" s="1">
        <v>38718</v>
      </c>
      <c r="V5">
        <v>58448</v>
      </c>
      <c r="W5" t="s">
        <v>15</v>
      </c>
      <c r="AA5" s="3">
        <v>38749</v>
      </c>
      <c r="AB5" s="5">
        <v>1596</v>
      </c>
      <c r="AC5" s="5">
        <v>48505</v>
      </c>
      <c r="AD5" s="5">
        <v>49549</v>
      </c>
      <c r="AE5" s="5"/>
      <c r="AF5" s="5">
        <v>99650</v>
      </c>
      <c r="AI5" s="1">
        <v>38384</v>
      </c>
      <c r="AJ5">
        <v>1713</v>
      </c>
      <c r="AK5" t="s">
        <v>22</v>
      </c>
      <c r="AN5" s="3">
        <v>38412</v>
      </c>
      <c r="AO5" s="5">
        <v>165</v>
      </c>
      <c r="AP5" s="5"/>
      <c r="AQ5" s="5">
        <v>1379</v>
      </c>
      <c r="AR5" s="5"/>
      <c r="AS5" s="5">
        <v>1544</v>
      </c>
      <c r="AW5" s="1">
        <v>38384</v>
      </c>
      <c r="AX5">
        <v>19367</v>
      </c>
      <c r="AY5" t="s">
        <v>23</v>
      </c>
      <c r="BB5" s="3">
        <v>38412</v>
      </c>
      <c r="BC5" s="5">
        <v>16217</v>
      </c>
      <c r="BD5" s="5"/>
      <c r="BE5" s="5">
        <v>14430</v>
      </c>
      <c r="BF5" s="5"/>
      <c r="BG5" s="5"/>
      <c r="BH5" s="5">
        <v>30647</v>
      </c>
    </row>
    <row r="6" spans="1:60" x14ac:dyDescent="0.25">
      <c r="A6" s="1">
        <v>38749</v>
      </c>
      <c r="B6">
        <v>13726</v>
      </c>
      <c r="C6" t="s">
        <v>3</v>
      </c>
      <c r="J6" s="3">
        <v>38777</v>
      </c>
      <c r="K6" s="5">
        <v>13317</v>
      </c>
      <c r="L6" s="5"/>
      <c r="M6" s="5">
        <v>85045</v>
      </c>
      <c r="N6" s="5"/>
      <c r="O6" s="5"/>
      <c r="P6" s="5"/>
      <c r="Q6" s="5">
        <v>98362</v>
      </c>
      <c r="U6" s="1">
        <v>38718</v>
      </c>
      <c r="V6">
        <v>56048</v>
      </c>
      <c r="W6" t="s">
        <v>16</v>
      </c>
      <c r="AA6" s="3">
        <v>38777</v>
      </c>
      <c r="AB6" s="5">
        <v>1821</v>
      </c>
      <c r="AC6" s="5">
        <v>45628</v>
      </c>
      <c r="AD6" s="5">
        <v>50913</v>
      </c>
      <c r="AE6" s="5"/>
      <c r="AF6" s="5">
        <v>98362</v>
      </c>
      <c r="AI6" s="1">
        <v>38412</v>
      </c>
      <c r="AJ6">
        <v>1379</v>
      </c>
      <c r="AK6" t="s">
        <v>22</v>
      </c>
      <c r="AN6" s="3">
        <v>38443</v>
      </c>
      <c r="AO6" s="5">
        <v>248</v>
      </c>
      <c r="AP6" s="5"/>
      <c r="AQ6" s="5">
        <v>1406</v>
      </c>
      <c r="AR6" s="5"/>
      <c r="AS6" s="5">
        <v>1654</v>
      </c>
      <c r="AW6" s="1">
        <v>38412</v>
      </c>
      <c r="AX6">
        <v>16217</v>
      </c>
      <c r="AY6" t="s">
        <v>23</v>
      </c>
      <c r="BB6" s="3">
        <v>38443</v>
      </c>
      <c r="BC6" s="5">
        <v>18282</v>
      </c>
      <c r="BD6" s="5"/>
      <c r="BE6" s="5">
        <v>16447</v>
      </c>
      <c r="BF6" s="5"/>
      <c r="BG6" s="5"/>
      <c r="BH6" s="5">
        <v>34729</v>
      </c>
    </row>
    <row r="7" spans="1:60" x14ac:dyDescent="0.25">
      <c r="A7" s="1">
        <v>38749</v>
      </c>
      <c r="B7">
        <v>85924</v>
      </c>
      <c r="C7" t="s">
        <v>2</v>
      </c>
      <c r="J7" s="3">
        <v>38808</v>
      </c>
      <c r="K7" s="5">
        <v>13740</v>
      </c>
      <c r="L7" s="5"/>
      <c r="M7" s="5">
        <v>91876</v>
      </c>
      <c r="N7" s="5"/>
      <c r="O7" s="5"/>
      <c r="P7" s="5"/>
      <c r="Q7" s="5">
        <v>105616</v>
      </c>
      <c r="U7" s="1">
        <v>38718</v>
      </c>
      <c r="V7">
        <v>1707</v>
      </c>
      <c r="W7" t="s">
        <v>14</v>
      </c>
      <c r="AA7" s="3">
        <v>38808</v>
      </c>
      <c r="AB7" s="5">
        <v>1451</v>
      </c>
      <c r="AC7" s="5">
        <v>50072</v>
      </c>
      <c r="AD7" s="5">
        <v>54093</v>
      </c>
      <c r="AE7" s="5"/>
      <c r="AF7" s="5">
        <v>105616</v>
      </c>
      <c r="AI7" s="1">
        <v>38412</v>
      </c>
      <c r="AJ7">
        <v>165</v>
      </c>
      <c r="AK7" t="s">
        <v>23</v>
      </c>
      <c r="AN7" s="3">
        <v>38473</v>
      </c>
      <c r="AO7" s="5">
        <v>357</v>
      </c>
      <c r="AP7" s="5"/>
      <c r="AQ7" s="5">
        <v>1954</v>
      </c>
      <c r="AR7" s="5"/>
      <c r="AS7" s="5">
        <v>2311</v>
      </c>
      <c r="AW7" s="1">
        <v>38412</v>
      </c>
      <c r="AX7">
        <v>14430</v>
      </c>
      <c r="AY7" t="s">
        <v>22</v>
      </c>
      <c r="BB7" s="3">
        <v>38473</v>
      </c>
      <c r="BC7" s="5">
        <v>22945</v>
      </c>
      <c r="BD7" s="5"/>
      <c r="BE7" s="5">
        <v>21208</v>
      </c>
      <c r="BF7" s="5"/>
      <c r="BG7" s="5"/>
      <c r="BH7" s="5">
        <v>44153</v>
      </c>
    </row>
    <row r="8" spans="1:60" x14ac:dyDescent="0.25">
      <c r="A8" s="1">
        <v>38777</v>
      </c>
      <c r="B8">
        <v>13317</v>
      </c>
      <c r="C8" t="s">
        <v>3</v>
      </c>
      <c r="J8" s="3">
        <v>38838</v>
      </c>
      <c r="K8" s="5">
        <v>11485</v>
      </c>
      <c r="L8" s="5"/>
      <c r="M8" s="5">
        <v>83181</v>
      </c>
      <c r="N8" s="5"/>
      <c r="O8" s="5"/>
      <c r="P8" s="5"/>
      <c r="Q8" s="5">
        <v>94666</v>
      </c>
      <c r="U8" s="1">
        <v>38749</v>
      </c>
      <c r="V8">
        <v>49549</v>
      </c>
      <c r="W8" t="s">
        <v>15</v>
      </c>
      <c r="AA8" s="3">
        <v>38838</v>
      </c>
      <c r="AB8" s="5">
        <v>1286</v>
      </c>
      <c r="AC8" s="5">
        <v>50281</v>
      </c>
      <c r="AD8" s="5">
        <v>43099</v>
      </c>
      <c r="AE8" s="5"/>
      <c r="AF8" s="5">
        <v>94666</v>
      </c>
      <c r="AI8" s="1">
        <v>38443</v>
      </c>
      <c r="AJ8">
        <v>248</v>
      </c>
      <c r="AK8" t="s">
        <v>23</v>
      </c>
      <c r="AN8" s="3">
        <v>38504</v>
      </c>
      <c r="AO8" s="5">
        <v>256</v>
      </c>
      <c r="AP8" s="5"/>
      <c r="AQ8" s="5">
        <v>2080</v>
      </c>
      <c r="AR8" s="5"/>
      <c r="AS8" s="5">
        <v>2336</v>
      </c>
      <c r="AW8" s="1">
        <v>38443</v>
      </c>
      <c r="AX8">
        <v>16447</v>
      </c>
      <c r="AY8" t="s">
        <v>22</v>
      </c>
      <c r="BB8" s="3">
        <v>38504</v>
      </c>
      <c r="BC8" s="5">
        <v>17249</v>
      </c>
      <c r="BD8" s="5"/>
      <c r="BE8" s="5">
        <v>20814</v>
      </c>
      <c r="BF8" s="5"/>
      <c r="BG8" s="5"/>
      <c r="BH8" s="5">
        <v>38063</v>
      </c>
    </row>
    <row r="9" spans="1:60" x14ac:dyDescent="0.25">
      <c r="A9" s="1">
        <v>38777</v>
      </c>
      <c r="B9">
        <v>85045</v>
      </c>
      <c r="C9" t="s">
        <v>2</v>
      </c>
      <c r="J9" s="3">
        <v>38869</v>
      </c>
      <c r="K9" s="5">
        <v>11763</v>
      </c>
      <c r="L9" s="5"/>
      <c r="M9" s="5">
        <v>96000</v>
      </c>
      <c r="N9" s="5"/>
      <c r="O9" s="5"/>
      <c r="P9" s="5"/>
      <c r="Q9" s="5">
        <v>107763</v>
      </c>
      <c r="U9" s="1">
        <v>38749</v>
      </c>
      <c r="V9">
        <v>48505</v>
      </c>
      <c r="W9" t="s">
        <v>16</v>
      </c>
      <c r="AA9" s="3">
        <v>38869</v>
      </c>
      <c r="AB9" s="5">
        <v>1464</v>
      </c>
      <c r="AC9" s="5">
        <v>60815</v>
      </c>
      <c r="AD9" s="5">
        <v>45484</v>
      </c>
      <c r="AE9" s="5"/>
      <c r="AF9" s="5">
        <v>107763</v>
      </c>
      <c r="AI9" s="1">
        <v>38443</v>
      </c>
      <c r="AJ9">
        <v>1406</v>
      </c>
      <c r="AK9" t="s">
        <v>22</v>
      </c>
      <c r="AN9" s="3">
        <v>38534</v>
      </c>
      <c r="AO9" s="5">
        <v>314</v>
      </c>
      <c r="AP9" s="5"/>
      <c r="AQ9" s="5">
        <v>2676</v>
      </c>
      <c r="AR9" s="5"/>
      <c r="AS9" s="5">
        <v>2990</v>
      </c>
      <c r="AW9" s="1">
        <v>38443</v>
      </c>
      <c r="AX9">
        <v>18282</v>
      </c>
      <c r="AY9" t="s">
        <v>23</v>
      </c>
      <c r="BB9" s="3">
        <v>38534</v>
      </c>
      <c r="BC9" s="5">
        <v>20889</v>
      </c>
      <c r="BD9" s="5"/>
      <c r="BE9" s="5">
        <v>25422</v>
      </c>
      <c r="BF9" s="5"/>
      <c r="BG9" s="5"/>
      <c r="BH9" s="5">
        <v>46311</v>
      </c>
    </row>
    <row r="10" spans="1:60" x14ac:dyDescent="0.25">
      <c r="A10" s="1">
        <v>38808</v>
      </c>
      <c r="B10">
        <v>13740</v>
      </c>
      <c r="C10" t="s">
        <v>3</v>
      </c>
      <c r="J10" s="3">
        <v>38899</v>
      </c>
      <c r="K10" s="5">
        <v>10532</v>
      </c>
      <c r="L10" s="5"/>
      <c r="M10" s="5">
        <v>94899</v>
      </c>
      <c r="N10" s="5"/>
      <c r="O10" s="5"/>
      <c r="P10" s="5"/>
      <c r="Q10" s="5">
        <v>105431</v>
      </c>
      <c r="U10" s="1">
        <v>38749</v>
      </c>
      <c r="V10">
        <v>1596</v>
      </c>
      <c r="W10" t="s">
        <v>14</v>
      </c>
      <c r="AA10" s="3">
        <v>38899</v>
      </c>
      <c r="AB10" s="5">
        <v>1287</v>
      </c>
      <c r="AC10" s="5">
        <v>62896</v>
      </c>
      <c r="AD10" s="5">
        <v>41248</v>
      </c>
      <c r="AE10" s="5"/>
      <c r="AF10" s="5">
        <v>105431</v>
      </c>
      <c r="AI10" s="1">
        <v>38473</v>
      </c>
      <c r="AJ10">
        <v>357</v>
      </c>
      <c r="AK10" t="s">
        <v>23</v>
      </c>
      <c r="AN10" s="3">
        <v>38565</v>
      </c>
      <c r="AO10" s="5">
        <v>372</v>
      </c>
      <c r="AP10" s="5"/>
      <c r="AQ10" s="5">
        <v>3211</v>
      </c>
      <c r="AR10" s="5"/>
      <c r="AS10" s="5">
        <v>3583</v>
      </c>
      <c r="AW10" s="1">
        <v>38473</v>
      </c>
      <c r="AX10">
        <v>22945</v>
      </c>
      <c r="AY10" t="s">
        <v>23</v>
      </c>
      <c r="BB10" s="3">
        <v>38565</v>
      </c>
      <c r="BC10" s="5">
        <v>27493</v>
      </c>
      <c r="BD10" s="5"/>
      <c r="BE10" s="5">
        <v>32384</v>
      </c>
      <c r="BF10" s="5"/>
      <c r="BG10" s="5"/>
      <c r="BH10" s="5">
        <v>59877</v>
      </c>
    </row>
    <row r="11" spans="1:60" x14ac:dyDescent="0.25">
      <c r="A11" s="1">
        <v>38808</v>
      </c>
      <c r="B11">
        <v>91876</v>
      </c>
      <c r="C11" t="s">
        <v>2</v>
      </c>
      <c r="J11" s="3">
        <v>38930</v>
      </c>
      <c r="K11" s="5">
        <v>11293</v>
      </c>
      <c r="L11" s="5"/>
      <c r="M11" s="5">
        <v>106784</v>
      </c>
      <c r="N11" s="5"/>
      <c r="O11" s="5"/>
      <c r="P11" s="5"/>
      <c r="Q11" s="5">
        <v>118077</v>
      </c>
      <c r="U11" s="1">
        <v>38777</v>
      </c>
      <c r="V11">
        <v>50913</v>
      </c>
      <c r="W11" t="s">
        <v>15</v>
      </c>
      <c r="AA11" s="3">
        <v>38930</v>
      </c>
      <c r="AB11" s="5">
        <v>1273</v>
      </c>
      <c r="AC11" s="5">
        <v>74272</v>
      </c>
      <c r="AD11" s="5">
        <v>42532</v>
      </c>
      <c r="AE11" s="5"/>
      <c r="AF11" s="5">
        <v>118077</v>
      </c>
      <c r="AI11" s="1">
        <v>38473</v>
      </c>
      <c r="AJ11">
        <v>1954</v>
      </c>
      <c r="AK11" t="s">
        <v>22</v>
      </c>
      <c r="AN11" s="3">
        <v>38596</v>
      </c>
      <c r="AO11" s="5">
        <v>617</v>
      </c>
      <c r="AP11" s="5"/>
      <c r="AQ11" s="5">
        <v>4048</v>
      </c>
      <c r="AR11" s="5"/>
      <c r="AS11" s="5">
        <v>4665</v>
      </c>
      <c r="AW11" s="1">
        <v>38473</v>
      </c>
      <c r="AX11">
        <v>21208</v>
      </c>
      <c r="AY11" t="s">
        <v>22</v>
      </c>
      <c r="BB11" s="3">
        <v>38596</v>
      </c>
      <c r="BC11" s="5">
        <v>31231</v>
      </c>
      <c r="BD11" s="5"/>
      <c r="BE11" s="5">
        <v>29845</v>
      </c>
      <c r="BF11" s="5"/>
      <c r="BG11" s="5"/>
      <c r="BH11" s="5">
        <v>61076</v>
      </c>
    </row>
    <row r="12" spans="1:60" x14ac:dyDescent="0.25">
      <c r="A12" s="1">
        <v>38838</v>
      </c>
      <c r="B12">
        <v>11485</v>
      </c>
      <c r="C12" t="s">
        <v>3</v>
      </c>
      <c r="J12" s="3">
        <v>38961</v>
      </c>
      <c r="K12" s="5">
        <v>11420</v>
      </c>
      <c r="L12" s="5"/>
      <c r="M12" s="5">
        <v>107277</v>
      </c>
      <c r="N12" s="5"/>
      <c r="O12" s="5"/>
      <c r="P12" s="5"/>
      <c r="Q12" s="5">
        <v>118697</v>
      </c>
      <c r="U12" s="1">
        <v>38777</v>
      </c>
      <c r="V12">
        <v>45628</v>
      </c>
      <c r="W12" t="s">
        <v>16</v>
      </c>
      <c r="AA12" s="3">
        <v>38961</v>
      </c>
      <c r="AB12" s="5">
        <v>1279</v>
      </c>
      <c r="AC12" s="5">
        <v>74289</v>
      </c>
      <c r="AD12" s="5">
        <v>43129</v>
      </c>
      <c r="AE12" s="5"/>
      <c r="AF12" s="5">
        <v>118697</v>
      </c>
      <c r="AI12" s="1">
        <v>38504</v>
      </c>
      <c r="AJ12">
        <v>256</v>
      </c>
      <c r="AK12" t="s">
        <v>23</v>
      </c>
      <c r="AN12" s="3">
        <v>38626</v>
      </c>
      <c r="AO12" s="5">
        <v>996</v>
      </c>
      <c r="AP12" s="5"/>
      <c r="AQ12" s="5">
        <v>7481</v>
      </c>
      <c r="AR12" s="5"/>
      <c r="AS12" s="5">
        <v>8477</v>
      </c>
      <c r="AW12" s="1">
        <v>38504</v>
      </c>
      <c r="AX12">
        <v>20814</v>
      </c>
      <c r="AY12" t="s">
        <v>22</v>
      </c>
      <c r="BB12" s="3">
        <v>38626</v>
      </c>
      <c r="BC12" s="5">
        <v>30344</v>
      </c>
      <c r="BD12" s="5"/>
      <c r="BE12" s="5">
        <v>29919</v>
      </c>
      <c r="BF12" s="5"/>
      <c r="BG12" s="5"/>
      <c r="BH12" s="5">
        <v>60263</v>
      </c>
    </row>
    <row r="13" spans="1:60" x14ac:dyDescent="0.25">
      <c r="A13" s="1">
        <v>38838</v>
      </c>
      <c r="B13">
        <v>83181</v>
      </c>
      <c r="C13" t="s">
        <v>2</v>
      </c>
      <c r="J13" s="3">
        <v>38991</v>
      </c>
      <c r="K13" s="5">
        <v>11613</v>
      </c>
      <c r="L13" s="5"/>
      <c r="M13" s="5">
        <v>92041</v>
      </c>
      <c r="N13" s="5"/>
      <c r="O13" s="5"/>
      <c r="P13" s="5"/>
      <c r="Q13" s="5">
        <v>103654</v>
      </c>
      <c r="U13" s="1">
        <v>38777</v>
      </c>
      <c r="V13">
        <v>1821</v>
      </c>
      <c r="W13" t="s">
        <v>14</v>
      </c>
      <c r="AA13" s="3">
        <v>38991</v>
      </c>
      <c r="AB13" s="5">
        <v>1152</v>
      </c>
      <c r="AC13" s="5">
        <v>59427</v>
      </c>
      <c r="AD13" s="5">
        <v>43075</v>
      </c>
      <c r="AE13" s="5"/>
      <c r="AF13" s="5">
        <v>103654</v>
      </c>
      <c r="AI13" s="1">
        <v>38504</v>
      </c>
      <c r="AJ13">
        <v>2080</v>
      </c>
      <c r="AK13" t="s">
        <v>22</v>
      </c>
      <c r="AN13" s="3">
        <v>38657</v>
      </c>
      <c r="AO13" s="5">
        <v>2199</v>
      </c>
      <c r="AP13" s="5"/>
      <c r="AQ13" s="5">
        <v>15991</v>
      </c>
      <c r="AR13" s="5"/>
      <c r="AS13" s="5">
        <v>18190</v>
      </c>
      <c r="AW13" s="1">
        <v>38504</v>
      </c>
      <c r="AX13">
        <v>17249</v>
      </c>
      <c r="AY13" t="s">
        <v>23</v>
      </c>
      <c r="BB13" s="3">
        <v>38657</v>
      </c>
      <c r="BC13" s="5">
        <v>27266</v>
      </c>
      <c r="BD13" s="5"/>
      <c r="BE13" s="5">
        <v>25968</v>
      </c>
      <c r="BF13" s="5"/>
      <c r="BG13" s="5"/>
      <c r="BH13" s="5">
        <v>53234</v>
      </c>
    </row>
    <row r="14" spans="1:60" x14ac:dyDescent="0.25">
      <c r="A14" s="1">
        <v>38869</v>
      </c>
      <c r="B14">
        <v>11763</v>
      </c>
      <c r="C14" t="s">
        <v>3</v>
      </c>
      <c r="J14" s="3">
        <v>39022</v>
      </c>
      <c r="K14" s="5">
        <v>13547</v>
      </c>
      <c r="L14" s="5"/>
      <c r="M14" s="5">
        <v>83109</v>
      </c>
      <c r="N14" s="5"/>
      <c r="O14" s="5"/>
      <c r="P14" s="5"/>
      <c r="Q14" s="5">
        <v>96656</v>
      </c>
      <c r="U14" s="1">
        <v>38808</v>
      </c>
      <c r="V14">
        <v>54093</v>
      </c>
      <c r="W14" t="s">
        <v>15</v>
      </c>
      <c r="AA14" s="3">
        <v>39022</v>
      </c>
      <c r="AB14" s="5">
        <v>1107</v>
      </c>
      <c r="AC14" s="5">
        <v>48845</v>
      </c>
      <c r="AD14" s="5">
        <v>46704</v>
      </c>
      <c r="AE14" s="5"/>
      <c r="AF14" s="5">
        <v>96656</v>
      </c>
      <c r="AI14" s="1">
        <v>38534</v>
      </c>
      <c r="AJ14">
        <v>314</v>
      </c>
      <c r="AK14" t="s">
        <v>23</v>
      </c>
      <c r="AN14" s="3">
        <v>38687</v>
      </c>
      <c r="AO14" s="5">
        <v>9660</v>
      </c>
      <c r="AP14" s="5"/>
      <c r="AQ14" s="5">
        <v>58394</v>
      </c>
      <c r="AR14" s="5"/>
      <c r="AS14" s="5">
        <v>68054</v>
      </c>
      <c r="AW14" s="1">
        <v>38534</v>
      </c>
      <c r="AX14">
        <v>25422</v>
      </c>
      <c r="AY14" t="s">
        <v>22</v>
      </c>
      <c r="BB14" s="3">
        <v>38687</v>
      </c>
      <c r="BC14" s="5">
        <v>26896</v>
      </c>
      <c r="BD14" s="5"/>
      <c r="BE14" s="5">
        <v>23032</v>
      </c>
      <c r="BF14" s="5"/>
      <c r="BG14" s="5"/>
      <c r="BH14" s="5">
        <v>49928</v>
      </c>
    </row>
    <row r="15" spans="1:60" x14ac:dyDescent="0.25">
      <c r="A15" s="1">
        <v>38869</v>
      </c>
      <c r="B15">
        <v>96000</v>
      </c>
      <c r="C15" t="s">
        <v>2</v>
      </c>
      <c r="J15" s="3">
        <v>39052</v>
      </c>
      <c r="K15" s="5">
        <v>18639</v>
      </c>
      <c r="L15" s="5"/>
      <c r="M15" s="5">
        <v>109560</v>
      </c>
      <c r="N15" s="5"/>
      <c r="O15" s="5"/>
      <c r="P15" s="5"/>
      <c r="Q15" s="5">
        <v>128199</v>
      </c>
      <c r="U15" s="1">
        <v>38808</v>
      </c>
      <c r="V15">
        <v>50072</v>
      </c>
      <c r="W15" t="s">
        <v>16</v>
      </c>
      <c r="AA15" s="3">
        <v>39052</v>
      </c>
      <c r="AB15" s="5">
        <v>1423</v>
      </c>
      <c r="AC15" s="5">
        <v>65808</v>
      </c>
      <c r="AD15" s="5">
        <v>60968</v>
      </c>
      <c r="AE15" s="5"/>
      <c r="AF15" s="5">
        <v>128199</v>
      </c>
      <c r="AI15" s="1">
        <v>38534</v>
      </c>
      <c r="AJ15">
        <v>2676</v>
      </c>
      <c r="AK15" t="s">
        <v>22</v>
      </c>
      <c r="AN15" s="3">
        <v>38718</v>
      </c>
      <c r="AO15" s="5">
        <v>14686</v>
      </c>
      <c r="AP15" s="5"/>
      <c r="AQ15" s="5">
        <v>96347</v>
      </c>
      <c r="AR15" s="5"/>
      <c r="AS15" s="5">
        <v>111033</v>
      </c>
      <c r="AW15" s="1">
        <v>38534</v>
      </c>
      <c r="AX15">
        <v>20889</v>
      </c>
      <c r="AY15" t="s">
        <v>23</v>
      </c>
      <c r="BB15" s="3">
        <v>38718</v>
      </c>
      <c r="BC15" s="5">
        <v>20216</v>
      </c>
      <c r="BD15" s="5"/>
      <c r="BE15" s="5">
        <v>19087</v>
      </c>
      <c r="BF15" s="5"/>
      <c r="BG15" s="5"/>
      <c r="BH15" s="5">
        <v>39303</v>
      </c>
    </row>
    <row r="16" spans="1:60" x14ac:dyDescent="0.25">
      <c r="A16" s="1">
        <v>38899</v>
      </c>
      <c r="B16">
        <v>10532</v>
      </c>
      <c r="C16" t="s">
        <v>3</v>
      </c>
      <c r="J16" s="3">
        <v>39083</v>
      </c>
      <c r="K16" s="5">
        <v>16054</v>
      </c>
      <c r="L16" s="5"/>
      <c r="M16" s="5">
        <v>90090</v>
      </c>
      <c r="N16" s="5"/>
      <c r="O16" s="5"/>
      <c r="P16" s="5"/>
      <c r="Q16" s="5">
        <v>106144</v>
      </c>
      <c r="U16" s="1">
        <v>38808</v>
      </c>
      <c r="V16">
        <v>1451</v>
      </c>
      <c r="W16" t="s">
        <v>14</v>
      </c>
      <c r="AA16" s="3">
        <v>39083</v>
      </c>
      <c r="AB16" s="5">
        <v>1046</v>
      </c>
      <c r="AC16" s="5">
        <v>52477</v>
      </c>
      <c r="AD16" s="5">
        <v>52621</v>
      </c>
      <c r="AE16" s="5"/>
      <c r="AF16" s="5">
        <v>106144</v>
      </c>
      <c r="AI16" s="1">
        <v>38565</v>
      </c>
      <c r="AJ16">
        <v>372</v>
      </c>
      <c r="AK16" t="s">
        <v>23</v>
      </c>
      <c r="AN16" s="3">
        <v>38749</v>
      </c>
      <c r="AO16" s="5">
        <v>13545</v>
      </c>
      <c r="AP16" s="5"/>
      <c r="AQ16" s="5">
        <v>93070</v>
      </c>
      <c r="AR16" s="5"/>
      <c r="AS16" s="5">
        <v>106615</v>
      </c>
      <c r="AW16" s="1">
        <v>38565</v>
      </c>
      <c r="AX16">
        <v>32384</v>
      </c>
      <c r="AY16" t="s">
        <v>22</v>
      </c>
      <c r="BB16" s="3">
        <v>38749</v>
      </c>
      <c r="BC16" s="5">
        <v>16824</v>
      </c>
      <c r="BD16" s="5"/>
      <c r="BE16" s="5">
        <v>17037</v>
      </c>
      <c r="BF16" s="5"/>
      <c r="BG16" s="5"/>
      <c r="BH16" s="5">
        <v>33861</v>
      </c>
    </row>
    <row r="17" spans="1:60" x14ac:dyDescent="0.25">
      <c r="A17" s="1">
        <v>38899</v>
      </c>
      <c r="B17">
        <v>94899</v>
      </c>
      <c r="C17" t="s">
        <v>2</v>
      </c>
      <c r="J17" s="3">
        <v>39114</v>
      </c>
      <c r="K17" s="5">
        <v>23045</v>
      </c>
      <c r="L17" s="5"/>
      <c r="M17" s="5">
        <v>105785</v>
      </c>
      <c r="N17" s="5"/>
      <c r="O17" s="5"/>
      <c r="P17" s="5"/>
      <c r="Q17" s="5">
        <v>128830</v>
      </c>
      <c r="U17" s="1">
        <v>38838</v>
      </c>
      <c r="V17">
        <v>43099</v>
      </c>
      <c r="W17" t="s">
        <v>15</v>
      </c>
      <c r="AA17" s="3">
        <v>39114</v>
      </c>
      <c r="AB17" s="5">
        <v>1203</v>
      </c>
      <c r="AC17" s="5">
        <v>56557</v>
      </c>
      <c r="AD17" s="5">
        <v>71070</v>
      </c>
      <c r="AE17" s="5"/>
      <c r="AF17" s="5">
        <v>128830</v>
      </c>
      <c r="AI17" s="1">
        <v>38565</v>
      </c>
      <c r="AJ17">
        <v>3211</v>
      </c>
      <c r="AK17" t="s">
        <v>22</v>
      </c>
      <c r="AN17" s="3">
        <v>38777</v>
      </c>
      <c r="AO17" s="5">
        <v>12671</v>
      </c>
      <c r="AP17" s="5"/>
      <c r="AQ17" s="5">
        <v>77021</v>
      </c>
      <c r="AR17" s="5"/>
      <c r="AS17" s="5">
        <v>89692</v>
      </c>
      <c r="AW17" s="1">
        <v>38565</v>
      </c>
      <c r="AX17">
        <v>27493</v>
      </c>
      <c r="AY17" t="s">
        <v>23</v>
      </c>
      <c r="BB17" s="3">
        <v>38777</v>
      </c>
      <c r="BC17" s="5">
        <v>14656</v>
      </c>
      <c r="BD17" s="5"/>
      <c r="BE17" s="5">
        <v>13255</v>
      </c>
      <c r="BF17" s="5"/>
      <c r="BG17" s="5"/>
      <c r="BH17" s="5">
        <v>27911</v>
      </c>
    </row>
    <row r="18" spans="1:60" x14ac:dyDescent="0.25">
      <c r="A18" s="1">
        <v>38930</v>
      </c>
      <c r="B18">
        <v>11293</v>
      </c>
      <c r="C18" t="s">
        <v>3</v>
      </c>
      <c r="J18" s="3">
        <v>39142</v>
      </c>
      <c r="K18" s="5">
        <v>21585</v>
      </c>
      <c r="L18" s="5"/>
      <c r="M18" s="5">
        <v>107547</v>
      </c>
      <c r="N18" s="5"/>
      <c r="O18" s="5"/>
      <c r="P18" s="5"/>
      <c r="Q18" s="5">
        <v>129132</v>
      </c>
      <c r="U18" s="1">
        <v>38838</v>
      </c>
      <c r="V18">
        <v>50281</v>
      </c>
      <c r="W18" t="s">
        <v>16</v>
      </c>
      <c r="AA18" s="3">
        <v>39142</v>
      </c>
      <c r="AB18" s="5">
        <v>1354</v>
      </c>
      <c r="AC18" s="5">
        <v>60614</v>
      </c>
      <c r="AD18" s="5">
        <v>67164</v>
      </c>
      <c r="AE18" s="5"/>
      <c r="AF18" s="5">
        <v>129132</v>
      </c>
      <c r="AI18" s="1">
        <v>38596</v>
      </c>
      <c r="AJ18">
        <v>4048</v>
      </c>
      <c r="AK18" t="s">
        <v>22</v>
      </c>
      <c r="AN18" s="3">
        <v>38808</v>
      </c>
      <c r="AO18" s="5">
        <v>13588</v>
      </c>
      <c r="AP18" s="5"/>
      <c r="AQ18" s="5">
        <v>86488</v>
      </c>
      <c r="AR18" s="5"/>
      <c r="AS18" s="5">
        <v>100076</v>
      </c>
      <c r="AW18" s="1">
        <v>38596</v>
      </c>
      <c r="AX18">
        <v>31231</v>
      </c>
      <c r="AY18" t="s">
        <v>23</v>
      </c>
      <c r="BB18" s="3">
        <v>38808</v>
      </c>
      <c r="BC18" s="5">
        <v>16622</v>
      </c>
      <c r="BD18" s="5"/>
      <c r="BE18" s="5">
        <v>15658</v>
      </c>
      <c r="BF18" s="5"/>
      <c r="BG18" s="5"/>
      <c r="BH18" s="5">
        <v>32280</v>
      </c>
    </row>
    <row r="19" spans="1:60" x14ac:dyDescent="0.25">
      <c r="A19" s="1">
        <v>38930</v>
      </c>
      <c r="B19">
        <v>106784</v>
      </c>
      <c r="C19" t="s">
        <v>2</v>
      </c>
      <c r="J19" s="3">
        <v>39173</v>
      </c>
      <c r="K19" s="5">
        <v>20927</v>
      </c>
      <c r="L19" s="5"/>
      <c r="M19" s="5">
        <v>100318</v>
      </c>
      <c r="N19" s="5"/>
      <c r="O19" s="5"/>
      <c r="P19" s="5"/>
      <c r="Q19" s="5">
        <v>121245</v>
      </c>
      <c r="U19" s="1">
        <v>38838</v>
      </c>
      <c r="V19">
        <v>1286</v>
      </c>
      <c r="W19" t="s">
        <v>14</v>
      </c>
      <c r="AA19" s="3">
        <v>39173</v>
      </c>
      <c r="AB19" s="5">
        <v>1198</v>
      </c>
      <c r="AC19" s="5">
        <v>55862</v>
      </c>
      <c r="AD19" s="5">
        <v>64185</v>
      </c>
      <c r="AE19" s="5"/>
      <c r="AF19" s="5">
        <v>121245</v>
      </c>
      <c r="AI19" s="1">
        <v>38596</v>
      </c>
      <c r="AJ19">
        <v>617</v>
      </c>
      <c r="AK19" t="s">
        <v>23</v>
      </c>
      <c r="AN19" s="3">
        <v>38838</v>
      </c>
      <c r="AO19" s="5">
        <v>13902</v>
      </c>
      <c r="AP19" s="5"/>
      <c r="AQ19" s="5">
        <v>99743</v>
      </c>
      <c r="AR19" s="5"/>
      <c r="AS19" s="5">
        <v>113645</v>
      </c>
      <c r="AW19" s="1">
        <v>38596</v>
      </c>
      <c r="AX19">
        <v>29845</v>
      </c>
      <c r="AY19" t="s">
        <v>22</v>
      </c>
      <c r="BB19" s="3">
        <v>38838</v>
      </c>
      <c r="BC19" s="5">
        <v>19203</v>
      </c>
      <c r="BD19" s="5"/>
      <c r="BE19" s="5">
        <v>20502</v>
      </c>
      <c r="BF19" s="5"/>
      <c r="BG19" s="5"/>
      <c r="BH19" s="5">
        <v>39705</v>
      </c>
    </row>
    <row r="20" spans="1:60" x14ac:dyDescent="0.25">
      <c r="A20" s="1">
        <v>38961</v>
      </c>
      <c r="B20">
        <v>11420</v>
      </c>
      <c r="C20" t="s">
        <v>3</v>
      </c>
      <c r="J20" s="3">
        <v>39203</v>
      </c>
      <c r="K20" s="5">
        <v>23119</v>
      </c>
      <c r="L20" s="5"/>
      <c r="M20" s="5">
        <v>111446</v>
      </c>
      <c r="N20" s="5"/>
      <c r="O20" s="5"/>
      <c r="P20" s="5"/>
      <c r="Q20" s="5">
        <v>134565</v>
      </c>
      <c r="U20" s="1">
        <v>38869</v>
      </c>
      <c r="V20">
        <v>45484</v>
      </c>
      <c r="W20" t="s">
        <v>15</v>
      </c>
      <c r="AA20" s="3">
        <v>39203</v>
      </c>
      <c r="AB20" s="5">
        <v>1274</v>
      </c>
      <c r="AC20" s="5">
        <v>63827</v>
      </c>
      <c r="AD20" s="5">
        <v>69464</v>
      </c>
      <c r="AE20" s="5"/>
      <c r="AF20" s="5">
        <v>134565</v>
      </c>
      <c r="AI20" s="1">
        <v>38626</v>
      </c>
      <c r="AJ20">
        <v>996</v>
      </c>
      <c r="AK20" t="s">
        <v>23</v>
      </c>
      <c r="AN20" s="3">
        <v>38869</v>
      </c>
      <c r="AO20" s="5">
        <v>12297</v>
      </c>
      <c r="AP20" s="5"/>
      <c r="AQ20" s="5">
        <v>94688</v>
      </c>
      <c r="AR20" s="5"/>
      <c r="AS20" s="5">
        <v>106985</v>
      </c>
      <c r="AW20" s="1">
        <v>38626</v>
      </c>
      <c r="AX20">
        <v>29919</v>
      </c>
      <c r="AY20" t="s">
        <v>22</v>
      </c>
      <c r="BB20" s="3">
        <v>38869</v>
      </c>
      <c r="BC20" s="5">
        <v>16151</v>
      </c>
      <c r="BD20" s="5"/>
      <c r="BE20" s="5">
        <v>19385</v>
      </c>
      <c r="BF20" s="5"/>
      <c r="BG20" s="5"/>
      <c r="BH20" s="5">
        <v>35536</v>
      </c>
    </row>
    <row r="21" spans="1:60" x14ac:dyDescent="0.25">
      <c r="A21" s="1">
        <v>38961</v>
      </c>
      <c r="B21">
        <v>107277</v>
      </c>
      <c r="C21" t="s">
        <v>2</v>
      </c>
      <c r="J21" s="3">
        <v>39234</v>
      </c>
      <c r="K21" s="5">
        <v>20337</v>
      </c>
      <c r="L21" s="5"/>
      <c r="M21" s="5">
        <v>112135</v>
      </c>
      <c r="N21" s="5"/>
      <c r="O21" s="5"/>
      <c r="P21" s="5"/>
      <c r="Q21" s="5">
        <v>132472</v>
      </c>
      <c r="U21" s="1">
        <v>38869</v>
      </c>
      <c r="V21">
        <v>60815</v>
      </c>
      <c r="W21" t="s">
        <v>16</v>
      </c>
      <c r="AA21" s="3">
        <v>39234</v>
      </c>
      <c r="AB21" s="5">
        <v>1295</v>
      </c>
      <c r="AC21" s="5">
        <v>69687</v>
      </c>
      <c r="AD21" s="5">
        <v>61490</v>
      </c>
      <c r="AE21" s="5"/>
      <c r="AF21" s="5">
        <v>132472</v>
      </c>
      <c r="AI21" s="1">
        <v>38626</v>
      </c>
      <c r="AJ21">
        <v>7481</v>
      </c>
      <c r="AK21" t="s">
        <v>22</v>
      </c>
      <c r="AN21" s="3">
        <v>38899</v>
      </c>
      <c r="AO21" s="5">
        <v>11912</v>
      </c>
      <c r="AP21" s="5"/>
      <c r="AQ21" s="5">
        <v>102712</v>
      </c>
      <c r="AR21" s="5"/>
      <c r="AS21" s="5">
        <v>114624</v>
      </c>
      <c r="AW21" s="1">
        <v>38626</v>
      </c>
      <c r="AX21">
        <v>30344</v>
      </c>
      <c r="AY21" t="s">
        <v>23</v>
      </c>
      <c r="BB21" s="3">
        <v>38899</v>
      </c>
      <c r="BC21" s="5">
        <v>15699</v>
      </c>
      <c r="BD21" s="5"/>
      <c r="BE21" s="5">
        <v>21324</v>
      </c>
      <c r="BF21" s="5"/>
      <c r="BG21" s="5"/>
      <c r="BH21" s="5">
        <v>37023</v>
      </c>
    </row>
    <row r="22" spans="1:60" x14ac:dyDescent="0.25">
      <c r="A22" s="1">
        <v>38991</v>
      </c>
      <c r="B22">
        <v>11613</v>
      </c>
      <c r="C22" t="s">
        <v>3</v>
      </c>
      <c r="J22" s="3">
        <v>39264</v>
      </c>
      <c r="K22" s="5">
        <v>17646</v>
      </c>
      <c r="L22" s="5"/>
      <c r="M22" s="5">
        <v>100566</v>
      </c>
      <c r="N22" s="5"/>
      <c r="O22" s="5"/>
      <c r="P22" s="5"/>
      <c r="Q22" s="5">
        <v>118212</v>
      </c>
      <c r="U22" s="1">
        <v>38869</v>
      </c>
      <c r="V22">
        <v>1464</v>
      </c>
      <c r="W22" t="s">
        <v>14</v>
      </c>
      <c r="AA22" s="3">
        <v>39264</v>
      </c>
      <c r="AB22" s="5">
        <v>1176</v>
      </c>
      <c r="AC22" s="5">
        <v>63220</v>
      </c>
      <c r="AD22" s="5">
        <v>53816</v>
      </c>
      <c r="AE22" s="5"/>
      <c r="AF22" s="5">
        <v>118212</v>
      </c>
      <c r="AI22" s="1">
        <v>38657</v>
      </c>
      <c r="AJ22">
        <v>15991</v>
      </c>
      <c r="AK22" t="s">
        <v>22</v>
      </c>
      <c r="AN22" s="3">
        <v>38930</v>
      </c>
      <c r="AO22" s="5">
        <v>11212</v>
      </c>
      <c r="AP22" s="5"/>
      <c r="AQ22" s="5">
        <v>111389</v>
      </c>
      <c r="AR22" s="5"/>
      <c r="AS22" s="5">
        <v>122601</v>
      </c>
      <c r="AW22" s="1">
        <v>38657</v>
      </c>
      <c r="AX22">
        <v>27266</v>
      </c>
      <c r="AY22" t="s">
        <v>23</v>
      </c>
      <c r="BB22" s="3">
        <v>38930</v>
      </c>
      <c r="BC22" s="5">
        <v>13990</v>
      </c>
      <c r="BD22" s="5"/>
      <c r="BE22" s="5">
        <v>21062</v>
      </c>
      <c r="BF22" s="5"/>
      <c r="BG22" s="5"/>
      <c r="BH22" s="5">
        <v>35052</v>
      </c>
    </row>
    <row r="23" spans="1:60" x14ac:dyDescent="0.25">
      <c r="A23" s="1">
        <v>38991</v>
      </c>
      <c r="B23">
        <v>92041</v>
      </c>
      <c r="C23" t="s">
        <v>2</v>
      </c>
      <c r="J23" s="3">
        <v>39295</v>
      </c>
      <c r="K23" s="5">
        <v>17169</v>
      </c>
      <c r="L23" s="5"/>
      <c r="M23" s="5">
        <v>117065</v>
      </c>
      <c r="N23" s="5"/>
      <c r="O23" s="5"/>
      <c r="P23" s="5"/>
      <c r="Q23" s="5">
        <v>134234</v>
      </c>
      <c r="U23" s="1">
        <v>38899</v>
      </c>
      <c r="V23">
        <v>41248</v>
      </c>
      <c r="W23" t="s">
        <v>15</v>
      </c>
      <c r="AA23" s="3">
        <v>39295</v>
      </c>
      <c r="AB23" s="5">
        <v>1317</v>
      </c>
      <c r="AC23" s="5">
        <v>77551</v>
      </c>
      <c r="AD23" s="5">
        <v>55366</v>
      </c>
      <c r="AE23" s="5"/>
      <c r="AF23" s="5">
        <v>134234</v>
      </c>
      <c r="AI23" s="1">
        <v>38657</v>
      </c>
      <c r="AJ23">
        <v>2199</v>
      </c>
      <c r="AK23" t="s">
        <v>23</v>
      </c>
      <c r="AN23" s="3">
        <v>38961</v>
      </c>
      <c r="AO23" s="5">
        <v>10662</v>
      </c>
      <c r="AP23" s="5"/>
      <c r="AQ23" s="5">
        <v>101464</v>
      </c>
      <c r="AR23" s="5"/>
      <c r="AS23" s="5">
        <v>112126</v>
      </c>
      <c r="AW23" s="1">
        <v>38657</v>
      </c>
      <c r="AX23">
        <v>25968</v>
      </c>
      <c r="AY23" t="s">
        <v>22</v>
      </c>
      <c r="BB23" s="3">
        <v>38961</v>
      </c>
      <c r="BC23" s="5">
        <v>12747</v>
      </c>
      <c r="BD23" s="5"/>
      <c r="BE23" s="5">
        <v>18244</v>
      </c>
      <c r="BF23" s="5"/>
      <c r="BG23" s="5"/>
      <c r="BH23" s="5">
        <v>30991</v>
      </c>
    </row>
    <row r="24" spans="1:60" x14ac:dyDescent="0.25">
      <c r="A24" s="1">
        <v>39022</v>
      </c>
      <c r="B24">
        <v>83109</v>
      </c>
      <c r="C24" t="s">
        <v>2</v>
      </c>
      <c r="J24" s="3">
        <v>39326</v>
      </c>
      <c r="K24" s="5">
        <v>17527</v>
      </c>
      <c r="L24" s="5"/>
      <c r="M24" s="5">
        <v>136772</v>
      </c>
      <c r="N24" s="5"/>
      <c r="O24" s="5"/>
      <c r="P24" s="5"/>
      <c r="Q24" s="5">
        <v>154299</v>
      </c>
      <c r="U24" s="1">
        <v>38899</v>
      </c>
      <c r="V24">
        <v>62896</v>
      </c>
      <c r="W24" t="s">
        <v>16</v>
      </c>
      <c r="AA24" s="3">
        <v>39326</v>
      </c>
      <c r="AB24" s="5">
        <v>1309</v>
      </c>
      <c r="AC24" s="5">
        <v>97102</v>
      </c>
      <c r="AD24" s="5">
        <v>55888</v>
      </c>
      <c r="AE24" s="5"/>
      <c r="AF24" s="5">
        <v>154299</v>
      </c>
      <c r="AI24" s="1">
        <v>38687</v>
      </c>
      <c r="AJ24">
        <v>9660</v>
      </c>
      <c r="AK24" t="s">
        <v>23</v>
      </c>
      <c r="AN24" s="3">
        <v>38991</v>
      </c>
      <c r="AO24" s="5">
        <v>11537</v>
      </c>
      <c r="AP24" s="5"/>
      <c r="AQ24" s="5">
        <v>102383</v>
      </c>
      <c r="AR24" s="5"/>
      <c r="AS24" s="5">
        <v>113920</v>
      </c>
      <c r="AW24" s="1">
        <v>38687</v>
      </c>
      <c r="AX24">
        <v>23032</v>
      </c>
      <c r="AY24" t="s">
        <v>22</v>
      </c>
      <c r="BB24" s="3">
        <v>38991</v>
      </c>
      <c r="BC24" s="5">
        <v>15647</v>
      </c>
      <c r="BD24" s="5"/>
      <c r="BE24" s="5">
        <v>21523</v>
      </c>
      <c r="BF24" s="5"/>
      <c r="BG24" s="5"/>
      <c r="BH24" s="5">
        <v>37170</v>
      </c>
    </row>
    <row r="25" spans="1:60" x14ac:dyDescent="0.25">
      <c r="A25" s="1">
        <v>39022</v>
      </c>
      <c r="B25">
        <v>13547</v>
      </c>
      <c r="C25" t="s">
        <v>3</v>
      </c>
      <c r="J25" s="3">
        <v>39356</v>
      </c>
      <c r="K25" s="5">
        <v>17939</v>
      </c>
      <c r="L25" s="5"/>
      <c r="M25" s="5">
        <v>108346</v>
      </c>
      <c r="N25" s="5"/>
      <c r="O25" s="5"/>
      <c r="P25" s="5"/>
      <c r="Q25" s="5">
        <v>126285</v>
      </c>
      <c r="U25" s="1">
        <v>38899</v>
      </c>
      <c r="V25">
        <v>1287</v>
      </c>
      <c r="W25" t="s">
        <v>14</v>
      </c>
      <c r="AA25" s="3">
        <v>39356</v>
      </c>
      <c r="AB25" s="5">
        <v>1507</v>
      </c>
      <c r="AC25" s="5">
        <v>72966</v>
      </c>
      <c r="AD25" s="5">
        <v>51812</v>
      </c>
      <c r="AE25" s="5"/>
      <c r="AF25" s="5">
        <v>126285</v>
      </c>
      <c r="AI25" s="1">
        <v>38687</v>
      </c>
      <c r="AJ25">
        <v>58394</v>
      </c>
      <c r="AK25" t="s">
        <v>22</v>
      </c>
      <c r="AN25" s="3">
        <v>39022</v>
      </c>
      <c r="AO25" s="5">
        <v>12948</v>
      </c>
      <c r="AP25" s="5"/>
      <c r="AQ25" s="5">
        <v>96093</v>
      </c>
      <c r="AR25" s="5"/>
      <c r="AS25" s="5">
        <v>109041</v>
      </c>
      <c r="AW25" s="1">
        <v>38687</v>
      </c>
      <c r="AX25">
        <v>26896</v>
      </c>
      <c r="AY25" t="s">
        <v>23</v>
      </c>
      <c r="BB25" s="3">
        <v>39022</v>
      </c>
      <c r="BC25" s="5">
        <v>16622</v>
      </c>
      <c r="BD25" s="5"/>
      <c r="BE25" s="5">
        <v>20834</v>
      </c>
      <c r="BF25" s="5"/>
      <c r="BG25" s="5"/>
      <c r="BH25" s="5">
        <v>37456</v>
      </c>
    </row>
    <row r="26" spans="1:60" x14ac:dyDescent="0.25">
      <c r="A26" s="1">
        <v>39052</v>
      </c>
      <c r="B26">
        <v>109560</v>
      </c>
      <c r="C26" t="s">
        <v>2</v>
      </c>
      <c r="J26" s="3">
        <v>39387</v>
      </c>
      <c r="K26" s="5">
        <v>22061</v>
      </c>
      <c r="L26" s="5"/>
      <c r="M26" s="5">
        <v>118469</v>
      </c>
      <c r="N26" s="5"/>
      <c r="O26" s="5"/>
      <c r="P26" s="5"/>
      <c r="Q26" s="5">
        <v>140530</v>
      </c>
      <c r="U26" s="1">
        <v>38930</v>
      </c>
      <c r="V26">
        <v>42532</v>
      </c>
      <c r="W26" t="s">
        <v>15</v>
      </c>
      <c r="AA26" s="3">
        <v>39387</v>
      </c>
      <c r="AB26" s="5">
        <v>1555</v>
      </c>
      <c r="AC26" s="5">
        <v>77897</v>
      </c>
      <c r="AD26" s="5">
        <v>61078</v>
      </c>
      <c r="AE26" s="5"/>
      <c r="AF26" s="5">
        <v>140530</v>
      </c>
      <c r="AI26" s="1">
        <v>38718</v>
      </c>
      <c r="AJ26">
        <v>96347</v>
      </c>
      <c r="AK26" t="s">
        <v>22</v>
      </c>
      <c r="AN26" s="3">
        <v>39052</v>
      </c>
      <c r="AO26" s="5">
        <v>17880</v>
      </c>
      <c r="AP26" s="5"/>
      <c r="AQ26" s="5">
        <v>107332</v>
      </c>
      <c r="AR26" s="5"/>
      <c r="AS26" s="5">
        <v>125212</v>
      </c>
      <c r="AW26" s="1">
        <v>38718</v>
      </c>
      <c r="AX26">
        <v>19087</v>
      </c>
      <c r="AY26" t="s">
        <v>22</v>
      </c>
      <c r="BB26" s="3">
        <v>39052</v>
      </c>
      <c r="BC26" s="5">
        <v>20654</v>
      </c>
      <c r="BD26" s="5"/>
      <c r="BE26" s="5">
        <v>21144</v>
      </c>
      <c r="BF26" s="5"/>
      <c r="BG26" s="5"/>
      <c r="BH26" s="5">
        <v>41798</v>
      </c>
    </row>
    <row r="27" spans="1:60" x14ac:dyDescent="0.25">
      <c r="A27" s="1">
        <v>39052</v>
      </c>
      <c r="B27">
        <v>18639</v>
      </c>
      <c r="C27" t="s">
        <v>3</v>
      </c>
      <c r="J27" s="3">
        <v>39417</v>
      </c>
      <c r="K27" s="5">
        <v>23242</v>
      </c>
      <c r="L27" s="5"/>
      <c r="M27" s="5">
        <v>108670</v>
      </c>
      <c r="N27" s="5"/>
      <c r="O27" s="5"/>
      <c r="P27" s="5"/>
      <c r="Q27" s="5">
        <v>131912</v>
      </c>
      <c r="U27" s="1">
        <v>38930</v>
      </c>
      <c r="V27">
        <v>74272</v>
      </c>
      <c r="W27" t="s">
        <v>16</v>
      </c>
      <c r="AA27" s="3">
        <v>39417</v>
      </c>
      <c r="AB27" s="5">
        <v>1580</v>
      </c>
      <c r="AC27" s="5">
        <v>69883</v>
      </c>
      <c r="AD27" s="5">
        <v>60449</v>
      </c>
      <c r="AE27" s="5"/>
      <c r="AF27" s="5">
        <v>131912</v>
      </c>
      <c r="AI27" s="1">
        <v>38718</v>
      </c>
      <c r="AJ27">
        <v>14686</v>
      </c>
      <c r="AK27" t="s">
        <v>23</v>
      </c>
      <c r="AN27" s="3">
        <v>39083</v>
      </c>
      <c r="AO27" s="5">
        <v>17232</v>
      </c>
      <c r="AP27" s="5"/>
      <c r="AQ27" s="5">
        <v>98456</v>
      </c>
      <c r="AR27" s="5"/>
      <c r="AS27" s="5">
        <v>115688</v>
      </c>
      <c r="AW27" s="1">
        <v>38718</v>
      </c>
      <c r="AX27">
        <v>20216</v>
      </c>
      <c r="AY27" t="s">
        <v>23</v>
      </c>
      <c r="BB27" s="3">
        <v>39083</v>
      </c>
      <c r="BC27" s="5">
        <v>19393</v>
      </c>
      <c r="BD27" s="5"/>
      <c r="BE27" s="5">
        <v>20779</v>
      </c>
      <c r="BF27" s="5"/>
      <c r="BG27" s="5"/>
      <c r="BH27" s="5">
        <v>40172</v>
      </c>
    </row>
    <row r="28" spans="1:60" x14ac:dyDescent="0.25">
      <c r="A28" s="1">
        <v>39083</v>
      </c>
      <c r="B28">
        <v>16054</v>
      </c>
      <c r="C28" t="s">
        <v>3</v>
      </c>
      <c r="J28" s="3">
        <v>39448</v>
      </c>
      <c r="K28" s="5">
        <v>25971</v>
      </c>
      <c r="L28" s="5"/>
      <c r="M28" s="5">
        <v>90455</v>
      </c>
      <c r="N28" s="5"/>
      <c r="O28" s="5"/>
      <c r="P28" s="5"/>
      <c r="Q28" s="5">
        <v>116426</v>
      </c>
      <c r="U28" s="1">
        <v>38930</v>
      </c>
      <c r="V28">
        <v>1273</v>
      </c>
      <c r="W28" t="s">
        <v>14</v>
      </c>
      <c r="AA28" s="3">
        <v>39448</v>
      </c>
      <c r="AB28" s="5">
        <v>1271</v>
      </c>
      <c r="AC28" s="5">
        <v>54557</v>
      </c>
      <c r="AD28" s="5">
        <v>60598</v>
      </c>
      <c r="AE28" s="5"/>
      <c r="AF28" s="5">
        <v>116426</v>
      </c>
      <c r="AI28" s="1">
        <v>38749</v>
      </c>
      <c r="AJ28">
        <v>93070</v>
      </c>
      <c r="AK28" t="s">
        <v>22</v>
      </c>
      <c r="AN28" s="3">
        <v>39114</v>
      </c>
      <c r="AO28" s="5">
        <v>21209</v>
      </c>
      <c r="AP28" s="5"/>
      <c r="AQ28" s="5">
        <v>99305</v>
      </c>
      <c r="AR28" s="5"/>
      <c r="AS28" s="5">
        <v>120514</v>
      </c>
      <c r="AW28" s="1">
        <v>38749</v>
      </c>
      <c r="AX28">
        <v>17037</v>
      </c>
      <c r="AY28" t="s">
        <v>22</v>
      </c>
      <c r="BB28" s="3">
        <v>39114</v>
      </c>
      <c r="BC28" s="5">
        <v>22776</v>
      </c>
      <c r="BD28" s="5"/>
      <c r="BE28" s="5">
        <v>21525</v>
      </c>
      <c r="BF28" s="5"/>
      <c r="BG28" s="5"/>
      <c r="BH28" s="5">
        <v>44301</v>
      </c>
    </row>
    <row r="29" spans="1:60" x14ac:dyDescent="0.25">
      <c r="A29" s="1">
        <v>39083</v>
      </c>
      <c r="B29">
        <v>90090</v>
      </c>
      <c r="C29" t="s">
        <v>2</v>
      </c>
      <c r="J29" s="3">
        <v>39479</v>
      </c>
      <c r="K29" s="5">
        <v>41508</v>
      </c>
      <c r="L29" s="5"/>
      <c r="M29" s="5">
        <v>124215</v>
      </c>
      <c r="N29" s="5"/>
      <c r="O29" s="5"/>
      <c r="P29" s="5"/>
      <c r="Q29" s="5">
        <v>165723</v>
      </c>
      <c r="U29" s="1">
        <v>38961</v>
      </c>
      <c r="V29">
        <v>43129</v>
      </c>
      <c r="W29" t="s">
        <v>15</v>
      </c>
      <c r="AA29" s="3">
        <v>39479</v>
      </c>
      <c r="AB29" s="5">
        <v>1484</v>
      </c>
      <c r="AC29" s="5">
        <v>72837</v>
      </c>
      <c r="AD29" s="5">
        <v>91402</v>
      </c>
      <c r="AE29" s="5"/>
      <c r="AF29" s="5">
        <v>165723</v>
      </c>
      <c r="AI29" s="1">
        <v>38749</v>
      </c>
      <c r="AJ29">
        <v>13545</v>
      </c>
      <c r="AK29" t="s">
        <v>23</v>
      </c>
      <c r="AN29" s="3">
        <v>39142</v>
      </c>
      <c r="AO29" s="5">
        <v>20923</v>
      </c>
      <c r="AP29" s="5"/>
      <c r="AQ29" s="5">
        <v>86895</v>
      </c>
      <c r="AR29" s="5"/>
      <c r="AS29" s="5">
        <v>107818</v>
      </c>
      <c r="AW29" s="1">
        <v>38749</v>
      </c>
      <c r="AX29">
        <v>16824</v>
      </c>
      <c r="AY29" t="s">
        <v>23</v>
      </c>
      <c r="BB29" s="3">
        <v>39142</v>
      </c>
      <c r="BC29" s="5">
        <v>22740</v>
      </c>
      <c r="BD29" s="5"/>
      <c r="BE29" s="5">
        <v>18020</v>
      </c>
      <c r="BF29" s="5"/>
      <c r="BG29" s="5"/>
      <c r="BH29" s="5">
        <v>40760</v>
      </c>
    </row>
    <row r="30" spans="1:60" x14ac:dyDescent="0.25">
      <c r="A30" s="1">
        <v>39114</v>
      </c>
      <c r="B30">
        <v>105785</v>
      </c>
      <c r="C30" t="s">
        <v>2</v>
      </c>
      <c r="J30" s="3">
        <v>39508</v>
      </c>
      <c r="K30" s="5">
        <v>49873</v>
      </c>
      <c r="L30" s="5"/>
      <c r="M30" s="5">
        <v>88535</v>
      </c>
      <c r="N30" s="5"/>
      <c r="O30" s="5"/>
      <c r="P30" s="5"/>
      <c r="Q30" s="5">
        <v>138408</v>
      </c>
      <c r="U30" s="1">
        <v>38961</v>
      </c>
      <c r="V30">
        <v>74289</v>
      </c>
      <c r="W30" t="s">
        <v>16</v>
      </c>
      <c r="AA30" s="3">
        <v>39508</v>
      </c>
      <c r="AB30" s="5">
        <v>1372</v>
      </c>
      <c r="AC30" s="5">
        <v>43659</v>
      </c>
      <c r="AD30" s="5">
        <v>93377</v>
      </c>
      <c r="AE30" s="5"/>
      <c r="AF30" s="5">
        <v>138408</v>
      </c>
      <c r="AI30" s="1">
        <v>38777</v>
      </c>
      <c r="AJ30">
        <v>77021</v>
      </c>
      <c r="AK30" t="s">
        <v>22</v>
      </c>
      <c r="AN30" s="3">
        <v>39173</v>
      </c>
      <c r="AO30" s="5">
        <v>18017</v>
      </c>
      <c r="AP30" s="5"/>
      <c r="AQ30" s="5">
        <v>93294</v>
      </c>
      <c r="AR30" s="5"/>
      <c r="AS30" s="5">
        <v>111311</v>
      </c>
      <c r="AW30" s="1">
        <v>38777</v>
      </c>
      <c r="AX30">
        <v>13255</v>
      </c>
      <c r="AY30" t="s">
        <v>22</v>
      </c>
      <c r="BB30" s="3">
        <v>39173</v>
      </c>
      <c r="BC30" s="5">
        <v>20586</v>
      </c>
      <c r="BD30" s="5"/>
      <c r="BE30" s="5">
        <v>18869</v>
      </c>
      <c r="BF30" s="5"/>
      <c r="BG30" s="5"/>
      <c r="BH30" s="5">
        <v>39455</v>
      </c>
    </row>
    <row r="31" spans="1:60" x14ac:dyDescent="0.25">
      <c r="A31" s="1">
        <v>39114</v>
      </c>
      <c r="B31">
        <v>23045</v>
      </c>
      <c r="C31" t="s">
        <v>3</v>
      </c>
      <c r="J31" s="3">
        <v>39539</v>
      </c>
      <c r="K31" s="5">
        <v>44733</v>
      </c>
      <c r="L31" s="5"/>
      <c r="M31" s="5">
        <v>98952</v>
      </c>
      <c r="N31" s="5"/>
      <c r="O31" s="5"/>
      <c r="P31" s="5"/>
      <c r="Q31" s="5">
        <v>143685</v>
      </c>
      <c r="U31" s="1">
        <v>38961</v>
      </c>
      <c r="V31">
        <v>1279</v>
      </c>
      <c r="W31" t="s">
        <v>14</v>
      </c>
      <c r="AA31" s="3">
        <v>39539</v>
      </c>
      <c r="AB31" s="5">
        <v>1368</v>
      </c>
      <c r="AC31" s="5">
        <v>50960</v>
      </c>
      <c r="AD31" s="5">
        <v>91357</v>
      </c>
      <c r="AE31" s="5"/>
      <c r="AF31" s="5">
        <v>143685</v>
      </c>
      <c r="AI31" s="1">
        <v>38777</v>
      </c>
      <c r="AJ31">
        <v>12671</v>
      </c>
      <c r="AK31" t="s">
        <v>23</v>
      </c>
      <c r="AN31" s="3">
        <v>39203</v>
      </c>
      <c r="AO31" s="5">
        <v>22875</v>
      </c>
      <c r="AP31" s="5"/>
      <c r="AQ31" s="5">
        <v>118081</v>
      </c>
      <c r="AR31" s="5"/>
      <c r="AS31" s="5">
        <v>140956</v>
      </c>
      <c r="AW31" s="1">
        <v>38777</v>
      </c>
      <c r="AX31">
        <v>14656</v>
      </c>
      <c r="AY31" t="s">
        <v>23</v>
      </c>
      <c r="BB31" s="3">
        <v>39203</v>
      </c>
      <c r="BC31" s="5">
        <v>25028</v>
      </c>
      <c r="BD31" s="5"/>
      <c r="BE31" s="5">
        <v>25321</v>
      </c>
      <c r="BF31" s="5"/>
      <c r="BG31" s="5"/>
      <c r="BH31" s="5">
        <v>50349</v>
      </c>
    </row>
    <row r="32" spans="1:60" x14ac:dyDescent="0.25">
      <c r="A32" s="1">
        <v>39142</v>
      </c>
      <c r="B32">
        <v>107547</v>
      </c>
      <c r="C32" t="s">
        <v>2</v>
      </c>
      <c r="J32" s="3">
        <v>39569</v>
      </c>
      <c r="K32" s="5">
        <v>41194</v>
      </c>
      <c r="L32" s="5"/>
      <c r="M32" s="5">
        <v>110414</v>
      </c>
      <c r="N32" s="5"/>
      <c r="O32" s="5"/>
      <c r="P32" s="5"/>
      <c r="Q32" s="5">
        <v>151608</v>
      </c>
      <c r="U32" s="1">
        <v>38991</v>
      </c>
      <c r="V32">
        <v>43075</v>
      </c>
      <c r="W32" t="s">
        <v>15</v>
      </c>
      <c r="AA32" s="3">
        <v>39569</v>
      </c>
      <c r="AB32" s="5">
        <v>1404</v>
      </c>
      <c r="AC32" s="5">
        <v>58452</v>
      </c>
      <c r="AD32" s="5">
        <v>91752</v>
      </c>
      <c r="AE32" s="5"/>
      <c r="AF32" s="5">
        <v>151608</v>
      </c>
      <c r="AI32" s="1">
        <v>38808</v>
      </c>
      <c r="AJ32">
        <v>86488</v>
      </c>
      <c r="AK32" t="s">
        <v>22</v>
      </c>
      <c r="AN32" s="3">
        <v>39234</v>
      </c>
      <c r="AO32" s="5">
        <v>24801</v>
      </c>
      <c r="AP32" s="5"/>
      <c r="AQ32" s="5">
        <v>122699</v>
      </c>
      <c r="AR32" s="5"/>
      <c r="AS32" s="5">
        <v>147500</v>
      </c>
      <c r="AW32" s="1">
        <v>38808</v>
      </c>
      <c r="AX32">
        <v>15658</v>
      </c>
      <c r="AY32" t="s">
        <v>22</v>
      </c>
      <c r="BB32" s="3">
        <v>39234</v>
      </c>
      <c r="BC32" s="5">
        <v>26551</v>
      </c>
      <c r="BD32" s="5"/>
      <c r="BE32" s="5">
        <v>27815</v>
      </c>
      <c r="BF32" s="5"/>
      <c r="BG32" s="5"/>
      <c r="BH32" s="5">
        <v>54366</v>
      </c>
    </row>
    <row r="33" spans="1:60" x14ac:dyDescent="0.25">
      <c r="A33" s="1">
        <v>39142</v>
      </c>
      <c r="B33">
        <v>21585</v>
      </c>
      <c r="C33" t="s">
        <v>3</v>
      </c>
      <c r="J33" s="3">
        <v>39600</v>
      </c>
      <c r="K33" s="5">
        <v>30865</v>
      </c>
      <c r="L33" s="5"/>
      <c r="M33" s="5">
        <v>108177</v>
      </c>
      <c r="N33" s="5"/>
      <c r="O33" s="5"/>
      <c r="P33" s="5"/>
      <c r="Q33" s="5">
        <v>139042</v>
      </c>
      <c r="U33" s="1">
        <v>38991</v>
      </c>
      <c r="V33">
        <v>59427</v>
      </c>
      <c r="W33" t="s">
        <v>16</v>
      </c>
      <c r="AA33" s="3">
        <v>39600</v>
      </c>
      <c r="AB33" s="5">
        <v>1370</v>
      </c>
      <c r="AC33" s="5">
        <v>67055</v>
      </c>
      <c r="AD33" s="5">
        <v>70617</v>
      </c>
      <c r="AE33" s="5"/>
      <c r="AF33" s="5">
        <v>139042</v>
      </c>
      <c r="AI33" s="1">
        <v>38808</v>
      </c>
      <c r="AJ33">
        <v>13588</v>
      </c>
      <c r="AK33" t="s">
        <v>23</v>
      </c>
      <c r="AN33" s="3">
        <v>39264</v>
      </c>
      <c r="AO33" s="5">
        <v>21810</v>
      </c>
      <c r="AP33" s="5"/>
      <c r="AQ33" s="5">
        <v>125488</v>
      </c>
      <c r="AR33" s="5"/>
      <c r="AS33" s="5">
        <v>147298</v>
      </c>
      <c r="AW33" s="1">
        <v>38808</v>
      </c>
      <c r="AX33">
        <v>16622</v>
      </c>
      <c r="AY33" t="s">
        <v>23</v>
      </c>
      <c r="BB33" s="3">
        <v>39264</v>
      </c>
      <c r="BC33" s="5">
        <v>26375</v>
      </c>
      <c r="BD33" s="5"/>
      <c r="BE33" s="5">
        <v>32290</v>
      </c>
      <c r="BF33" s="5"/>
      <c r="BG33" s="5"/>
      <c r="BH33" s="5">
        <v>58665</v>
      </c>
    </row>
    <row r="34" spans="1:60" x14ac:dyDescent="0.25">
      <c r="A34" s="1">
        <v>39173</v>
      </c>
      <c r="B34">
        <v>100318</v>
      </c>
      <c r="C34" t="s">
        <v>2</v>
      </c>
      <c r="J34" s="3">
        <v>39630</v>
      </c>
      <c r="K34" s="5">
        <v>15169</v>
      </c>
      <c r="L34" s="5"/>
      <c r="M34" s="5">
        <v>62302</v>
      </c>
      <c r="N34" s="5"/>
      <c r="O34" s="5"/>
      <c r="P34" s="5"/>
      <c r="Q34" s="5">
        <v>77471</v>
      </c>
      <c r="U34" s="1">
        <v>38991</v>
      </c>
      <c r="V34">
        <v>1152</v>
      </c>
      <c r="W34" t="s">
        <v>14</v>
      </c>
      <c r="AA34" s="3">
        <v>39630</v>
      </c>
      <c r="AB34" s="5">
        <v>427</v>
      </c>
      <c r="AC34" s="5">
        <v>41004</v>
      </c>
      <c r="AD34" s="5">
        <v>36040</v>
      </c>
      <c r="AE34" s="5"/>
      <c r="AF34" s="5">
        <v>77471</v>
      </c>
      <c r="AI34" s="1">
        <v>38838</v>
      </c>
      <c r="AJ34">
        <v>99743</v>
      </c>
      <c r="AK34" t="s">
        <v>22</v>
      </c>
      <c r="AN34" s="3">
        <v>39295</v>
      </c>
      <c r="AO34" s="5">
        <v>17435</v>
      </c>
      <c r="AP34" s="5"/>
      <c r="AQ34" s="5">
        <v>118350</v>
      </c>
      <c r="AR34" s="5"/>
      <c r="AS34" s="5">
        <v>135785</v>
      </c>
      <c r="AW34" s="1">
        <v>38838</v>
      </c>
      <c r="AX34">
        <v>20502</v>
      </c>
      <c r="AY34" t="s">
        <v>22</v>
      </c>
      <c r="BB34" s="3">
        <v>39295</v>
      </c>
      <c r="BC34" s="5">
        <v>21015</v>
      </c>
      <c r="BD34" s="5"/>
      <c r="BE34" s="5">
        <v>29663</v>
      </c>
      <c r="BF34" s="5"/>
      <c r="BG34" s="5"/>
      <c r="BH34" s="5">
        <v>50678</v>
      </c>
    </row>
    <row r="35" spans="1:60" x14ac:dyDescent="0.25">
      <c r="A35" s="1">
        <v>39173</v>
      </c>
      <c r="B35">
        <v>20927</v>
      </c>
      <c r="C35" t="s">
        <v>3</v>
      </c>
      <c r="J35" s="3">
        <v>39661</v>
      </c>
      <c r="K35" s="5">
        <v>12928</v>
      </c>
      <c r="L35" s="5"/>
      <c r="M35" s="5">
        <v>68339</v>
      </c>
      <c r="N35" s="5"/>
      <c r="O35" s="5"/>
      <c r="P35" s="5"/>
      <c r="Q35" s="5">
        <v>81267</v>
      </c>
      <c r="U35" s="1">
        <v>39022</v>
      </c>
      <c r="V35">
        <v>46704</v>
      </c>
      <c r="W35" t="s">
        <v>15</v>
      </c>
      <c r="AA35" s="3">
        <v>39661</v>
      </c>
      <c r="AB35" s="5">
        <v>419</v>
      </c>
      <c r="AC35" s="5">
        <v>47631</v>
      </c>
      <c r="AD35" s="5">
        <v>33217</v>
      </c>
      <c r="AE35" s="5"/>
      <c r="AF35" s="5">
        <v>81267</v>
      </c>
      <c r="AI35" s="1">
        <v>38838</v>
      </c>
      <c r="AJ35">
        <v>13902</v>
      </c>
      <c r="AK35" t="s">
        <v>23</v>
      </c>
      <c r="AN35" s="3">
        <v>39326</v>
      </c>
      <c r="AO35" s="5">
        <v>15467</v>
      </c>
      <c r="AP35" s="5"/>
      <c r="AQ35" s="5">
        <v>113663</v>
      </c>
      <c r="AR35" s="5"/>
      <c r="AS35" s="5">
        <v>129130</v>
      </c>
      <c r="AW35" s="1">
        <v>38838</v>
      </c>
      <c r="AX35">
        <v>19203</v>
      </c>
      <c r="AY35" t="s">
        <v>23</v>
      </c>
      <c r="BB35" s="3">
        <v>39326</v>
      </c>
      <c r="BC35" s="5">
        <v>16987</v>
      </c>
      <c r="BD35" s="5"/>
      <c r="BE35" s="5">
        <v>24698</v>
      </c>
      <c r="BF35" s="5"/>
      <c r="BG35" s="5"/>
      <c r="BH35" s="5">
        <v>41685</v>
      </c>
    </row>
    <row r="36" spans="1:60" x14ac:dyDescent="0.25">
      <c r="A36" s="1">
        <v>39203</v>
      </c>
      <c r="B36">
        <v>23119</v>
      </c>
      <c r="C36" t="s">
        <v>3</v>
      </c>
      <c r="J36" s="3">
        <v>39692</v>
      </c>
      <c r="K36" s="5">
        <v>11279</v>
      </c>
      <c r="L36" s="5"/>
      <c r="M36" s="5">
        <v>66445</v>
      </c>
      <c r="N36" s="5"/>
      <c r="O36" s="5"/>
      <c r="P36" s="5"/>
      <c r="Q36" s="5">
        <v>77724</v>
      </c>
      <c r="U36" s="1">
        <v>39022</v>
      </c>
      <c r="V36">
        <v>48845</v>
      </c>
      <c r="W36" t="s">
        <v>16</v>
      </c>
      <c r="AA36" s="3">
        <v>39692</v>
      </c>
      <c r="AB36" s="5">
        <v>409</v>
      </c>
      <c r="AC36" s="5">
        <v>47720</v>
      </c>
      <c r="AD36" s="5">
        <v>29595</v>
      </c>
      <c r="AE36" s="5"/>
      <c r="AF36" s="5">
        <v>77724</v>
      </c>
      <c r="AI36" s="1">
        <v>38869</v>
      </c>
      <c r="AJ36">
        <v>12297</v>
      </c>
      <c r="AK36" t="s">
        <v>23</v>
      </c>
      <c r="AN36" s="3">
        <v>39356</v>
      </c>
      <c r="AO36" s="5">
        <v>15255</v>
      </c>
      <c r="AP36" s="5"/>
      <c r="AQ36" s="5">
        <v>110255</v>
      </c>
      <c r="AR36" s="5"/>
      <c r="AS36" s="5">
        <v>125510</v>
      </c>
      <c r="AW36" s="1">
        <v>38869</v>
      </c>
      <c r="AX36">
        <v>19385</v>
      </c>
      <c r="AY36" t="s">
        <v>22</v>
      </c>
      <c r="BB36" s="3">
        <v>39356</v>
      </c>
      <c r="BC36" s="5">
        <v>18729</v>
      </c>
      <c r="BD36" s="5"/>
      <c r="BE36" s="5">
        <v>24976</v>
      </c>
      <c r="BF36" s="5"/>
      <c r="BG36" s="5"/>
      <c r="BH36" s="5">
        <v>43705</v>
      </c>
    </row>
    <row r="37" spans="1:60" x14ac:dyDescent="0.25">
      <c r="A37" s="1">
        <v>39203</v>
      </c>
      <c r="B37">
        <v>111446</v>
      </c>
      <c r="C37" t="s">
        <v>2</v>
      </c>
      <c r="J37" s="3">
        <v>39722</v>
      </c>
      <c r="K37" s="5">
        <v>9037</v>
      </c>
      <c r="L37" s="5"/>
      <c r="M37" s="5">
        <v>45734</v>
      </c>
      <c r="N37" s="5"/>
      <c r="O37" s="5"/>
      <c r="P37" s="5"/>
      <c r="Q37" s="5">
        <v>54771</v>
      </c>
      <c r="U37" s="1">
        <v>39022</v>
      </c>
      <c r="V37">
        <v>1107</v>
      </c>
      <c r="W37" t="s">
        <v>14</v>
      </c>
      <c r="AA37" s="3">
        <v>39722</v>
      </c>
      <c r="AB37" s="5">
        <v>177</v>
      </c>
      <c r="AC37" s="5">
        <v>31841</v>
      </c>
      <c r="AD37" s="5">
        <v>22753</v>
      </c>
      <c r="AE37" s="5"/>
      <c r="AF37" s="5">
        <v>54771</v>
      </c>
      <c r="AI37" s="1">
        <v>38869</v>
      </c>
      <c r="AJ37">
        <v>94688</v>
      </c>
      <c r="AK37" t="s">
        <v>22</v>
      </c>
      <c r="AN37" s="3">
        <v>39387</v>
      </c>
      <c r="AO37" s="5">
        <v>18097</v>
      </c>
      <c r="AP37" s="5"/>
      <c r="AQ37" s="5">
        <v>99633</v>
      </c>
      <c r="AR37" s="5"/>
      <c r="AS37" s="5">
        <v>117730</v>
      </c>
      <c r="AW37" s="1">
        <v>38869</v>
      </c>
      <c r="AX37">
        <v>16151</v>
      </c>
      <c r="AY37" t="s">
        <v>23</v>
      </c>
      <c r="BB37" s="3">
        <v>39387</v>
      </c>
      <c r="BC37" s="5">
        <v>20447</v>
      </c>
      <c r="BD37" s="5"/>
      <c r="BE37" s="5">
        <v>22959</v>
      </c>
      <c r="BF37" s="5"/>
      <c r="BG37" s="5"/>
      <c r="BH37" s="5">
        <v>43406</v>
      </c>
    </row>
    <row r="38" spans="1:60" x14ac:dyDescent="0.25">
      <c r="A38" s="1">
        <v>39234</v>
      </c>
      <c r="B38">
        <v>20337</v>
      </c>
      <c r="C38" t="s">
        <v>3</v>
      </c>
      <c r="J38" s="3">
        <v>39753</v>
      </c>
      <c r="K38" s="5">
        <v>13338</v>
      </c>
      <c r="L38" s="5"/>
      <c r="M38" s="5">
        <v>43655</v>
      </c>
      <c r="N38" s="5"/>
      <c r="O38" s="5"/>
      <c r="P38" s="5"/>
      <c r="Q38" s="5">
        <v>56993</v>
      </c>
      <c r="U38" s="1">
        <v>39052</v>
      </c>
      <c r="V38">
        <v>60968</v>
      </c>
      <c r="W38" t="s">
        <v>15</v>
      </c>
      <c r="AA38" s="3">
        <v>39753</v>
      </c>
      <c r="AB38" s="5">
        <v>407</v>
      </c>
      <c r="AC38" s="5">
        <v>28701</v>
      </c>
      <c r="AD38" s="5">
        <v>27885</v>
      </c>
      <c r="AE38" s="5"/>
      <c r="AF38" s="5">
        <v>56993</v>
      </c>
      <c r="AI38" s="1">
        <v>38899</v>
      </c>
      <c r="AJ38">
        <v>102712</v>
      </c>
      <c r="AK38" t="s">
        <v>22</v>
      </c>
      <c r="AN38" s="3">
        <v>39417</v>
      </c>
      <c r="AO38" s="5">
        <v>21973</v>
      </c>
      <c r="AP38" s="5"/>
      <c r="AQ38" s="5">
        <v>101090</v>
      </c>
      <c r="AR38" s="5"/>
      <c r="AS38" s="5">
        <v>123063</v>
      </c>
      <c r="AW38" s="1">
        <v>38899</v>
      </c>
      <c r="AX38">
        <v>21324</v>
      </c>
      <c r="AY38" t="s">
        <v>22</v>
      </c>
      <c r="BB38" s="3">
        <v>39417</v>
      </c>
      <c r="BC38" s="5">
        <v>25996</v>
      </c>
      <c r="BD38" s="5"/>
      <c r="BE38" s="5">
        <v>25043</v>
      </c>
      <c r="BF38" s="5"/>
      <c r="BG38" s="5"/>
      <c r="BH38" s="5">
        <v>51039</v>
      </c>
    </row>
    <row r="39" spans="1:60" x14ac:dyDescent="0.25">
      <c r="A39" s="1">
        <v>39234</v>
      </c>
      <c r="B39">
        <v>112135</v>
      </c>
      <c r="C39" t="s">
        <v>2</v>
      </c>
      <c r="J39" s="3">
        <v>39783</v>
      </c>
      <c r="K39" s="5">
        <v>12980</v>
      </c>
      <c r="L39" s="5"/>
      <c r="M39" s="5">
        <v>50259</v>
      </c>
      <c r="N39" s="5"/>
      <c r="O39" s="5"/>
      <c r="P39" s="5"/>
      <c r="Q39" s="5">
        <v>63239</v>
      </c>
      <c r="U39" s="1">
        <v>39052</v>
      </c>
      <c r="V39">
        <v>65808</v>
      </c>
      <c r="W39" t="s">
        <v>16</v>
      </c>
      <c r="AA39" s="3">
        <v>39783</v>
      </c>
      <c r="AB39" s="5">
        <v>375</v>
      </c>
      <c r="AC39" s="5">
        <v>34511</v>
      </c>
      <c r="AD39" s="5">
        <v>28353</v>
      </c>
      <c r="AE39" s="5"/>
      <c r="AF39" s="5">
        <v>63239</v>
      </c>
      <c r="AI39" s="1">
        <v>38899</v>
      </c>
      <c r="AJ39">
        <v>11912</v>
      </c>
      <c r="AK39" t="s">
        <v>23</v>
      </c>
      <c r="AN39" s="3">
        <v>39448</v>
      </c>
      <c r="AO39" s="5">
        <v>20897</v>
      </c>
      <c r="AP39" s="5"/>
      <c r="AQ39" s="5">
        <v>88196</v>
      </c>
      <c r="AR39" s="5"/>
      <c r="AS39" s="5">
        <v>109093</v>
      </c>
      <c r="AW39" s="1">
        <v>38899</v>
      </c>
      <c r="AX39">
        <v>15699</v>
      </c>
      <c r="AY39" t="s">
        <v>23</v>
      </c>
      <c r="BB39" s="3">
        <v>39448</v>
      </c>
      <c r="BC39" s="5">
        <v>25319</v>
      </c>
      <c r="BD39" s="5"/>
      <c r="BE39" s="5">
        <v>24510</v>
      </c>
      <c r="BF39" s="5"/>
      <c r="BG39" s="5"/>
      <c r="BH39" s="5">
        <v>49829</v>
      </c>
    </row>
    <row r="40" spans="1:60" x14ac:dyDescent="0.25">
      <c r="A40" s="1">
        <v>39264</v>
      </c>
      <c r="B40">
        <v>17646</v>
      </c>
      <c r="C40" t="s">
        <v>3</v>
      </c>
      <c r="J40" s="3">
        <v>39814</v>
      </c>
      <c r="K40" s="5">
        <v>20693</v>
      </c>
      <c r="L40" s="5"/>
      <c r="M40" s="5">
        <v>45008</v>
      </c>
      <c r="N40" s="5"/>
      <c r="O40" s="5"/>
      <c r="P40" s="5"/>
      <c r="Q40" s="5">
        <v>65701</v>
      </c>
      <c r="U40" s="1">
        <v>39052</v>
      </c>
      <c r="V40">
        <v>1423</v>
      </c>
      <c r="W40" t="s">
        <v>14</v>
      </c>
      <c r="AA40" s="3">
        <v>39814</v>
      </c>
      <c r="AB40" s="5">
        <v>397</v>
      </c>
      <c r="AC40" s="5">
        <v>28940</v>
      </c>
      <c r="AD40" s="5">
        <v>36364</v>
      </c>
      <c r="AE40" s="5"/>
      <c r="AF40" s="5">
        <v>65701</v>
      </c>
      <c r="AI40" s="1">
        <v>38930</v>
      </c>
      <c r="AJ40">
        <v>111389</v>
      </c>
      <c r="AK40" t="s">
        <v>22</v>
      </c>
      <c r="AN40" s="3">
        <v>39479</v>
      </c>
      <c r="AO40" s="5">
        <v>30555</v>
      </c>
      <c r="AP40" s="5"/>
      <c r="AQ40" s="5">
        <v>95942</v>
      </c>
      <c r="AR40" s="5"/>
      <c r="AS40" s="5">
        <v>126497</v>
      </c>
      <c r="AW40" s="1">
        <v>38930</v>
      </c>
      <c r="AX40">
        <v>21062</v>
      </c>
      <c r="AY40" t="s">
        <v>22</v>
      </c>
      <c r="BB40" s="3">
        <v>39479</v>
      </c>
      <c r="BC40" s="5">
        <v>27711</v>
      </c>
      <c r="BD40" s="5"/>
      <c r="BE40" s="5">
        <v>23884</v>
      </c>
      <c r="BF40" s="5"/>
      <c r="BG40" s="5"/>
      <c r="BH40" s="5">
        <v>51595</v>
      </c>
    </row>
    <row r="41" spans="1:60" x14ac:dyDescent="0.25">
      <c r="A41" s="1">
        <v>39264</v>
      </c>
      <c r="B41">
        <v>100566</v>
      </c>
      <c r="C41" t="s">
        <v>2</v>
      </c>
      <c r="J41" s="3">
        <v>39845</v>
      </c>
      <c r="K41" s="5">
        <v>60330</v>
      </c>
      <c r="L41" s="5"/>
      <c r="M41" s="5">
        <v>54314</v>
      </c>
      <c r="N41" s="5"/>
      <c r="O41" s="5"/>
      <c r="P41" s="5"/>
      <c r="Q41" s="5">
        <v>114644</v>
      </c>
      <c r="U41" s="1">
        <v>39083</v>
      </c>
      <c r="V41">
        <v>52621</v>
      </c>
      <c r="W41" t="s">
        <v>15</v>
      </c>
      <c r="AA41" s="3">
        <v>39845</v>
      </c>
      <c r="AB41" s="5">
        <v>1250</v>
      </c>
      <c r="AC41" s="5">
        <v>24431</v>
      </c>
      <c r="AD41" s="5">
        <v>88963</v>
      </c>
      <c r="AE41" s="5"/>
      <c r="AF41" s="5">
        <v>114644</v>
      </c>
      <c r="AI41" s="1">
        <v>38930</v>
      </c>
      <c r="AJ41">
        <v>11212</v>
      </c>
      <c r="AK41" t="s">
        <v>23</v>
      </c>
      <c r="AN41" s="3">
        <v>39508</v>
      </c>
      <c r="AO41" s="5">
        <v>34268</v>
      </c>
      <c r="AP41" s="5"/>
      <c r="AQ41" s="5">
        <v>78249</v>
      </c>
      <c r="AR41" s="5"/>
      <c r="AS41" s="5">
        <v>112517</v>
      </c>
      <c r="AW41" s="1">
        <v>38930</v>
      </c>
      <c r="AX41">
        <v>13990</v>
      </c>
      <c r="AY41" t="s">
        <v>23</v>
      </c>
      <c r="BB41" s="3">
        <v>39508</v>
      </c>
      <c r="BC41" s="5">
        <v>31314</v>
      </c>
      <c r="BD41" s="5"/>
      <c r="BE41" s="5">
        <v>20975</v>
      </c>
      <c r="BF41" s="5"/>
      <c r="BG41" s="5"/>
      <c r="BH41" s="5">
        <v>52289</v>
      </c>
    </row>
    <row r="42" spans="1:60" x14ac:dyDescent="0.25">
      <c r="A42" s="1">
        <v>39295</v>
      </c>
      <c r="B42">
        <v>17169</v>
      </c>
      <c r="C42" t="s">
        <v>3</v>
      </c>
      <c r="J42" s="3">
        <v>39873</v>
      </c>
      <c r="K42" s="5">
        <v>126468</v>
      </c>
      <c r="L42" s="5"/>
      <c r="M42" s="5">
        <v>90938</v>
      </c>
      <c r="N42" s="5"/>
      <c r="O42" s="5"/>
      <c r="P42" s="5"/>
      <c r="Q42" s="5">
        <v>217406</v>
      </c>
      <c r="U42" s="1">
        <v>39083</v>
      </c>
      <c r="V42">
        <v>52477</v>
      </c>
      <c r="W42" t="s">
        <v>16</v>
      </c>
      <c r="AA42" s="3">
        <v>39873</v>
      </c>
      <c r="AB42" s="5">
        <v>2318</v>
      </c>
      <c r="AC42" s="5">
        <v>27687</v>
      </c>
      <c r="AD42" s="5">
        <v>187401</v>
      </c>
      <c r="AE42" s="5"/>
      <c r="AF42" s="5">
        <v>217406</v>
      </c>
      <c r="AI42" s="1">
        <v>38961</v>
      </c>
      <c r="AJ42">
        <v>101464</v>
      </c>
      <c r="AK42" t="s">
        <v>22</v>
      </c>
      <c r="AN42" s="3">
        <v>39539</v>
      </c>
      <c r="AO42" s="5">
        <v>60058</v>
      </c>
      <c r="AP42" s="5"/>
      <c r="AQ42" s="5">
        <v>99187</v>
      </c>
      <c r="AR42" s="5"/>
      <c r="AS42" s="5">
        <v>159245</v>
      </c>
      <c r="AW42" s="1">
        <v>38961</v>
      </c>
      <c r="AX42">
        <v>18244</v>
      </c>
      <c r="AY42" t="s">
        <v>22</v>
      </c>
      <c r="BB42" s="3">
        <v>39539</v>
      </c>
      <c r="BC42" s="5">
        <v>42764</v>
      </c>
      <c r="BD42" s="5"/>
      <c r="BE42" s="5">
        <v>22787</v>
      </c>
      <c r="BF42" s="5"/>
      <c r="BG42" s="5"/>
      <c r="BH42" s="5">
        <v>65551</v>
      </c>
    </row>
    <row r="43" spans="1:60" x14ac:dyDescent="0.25">
      <c r="A43" s="1">
        <v>39295</v>
      </c>
      <c r="B43">
        <v>117065</v>
      </c>
      <c r="C43" t="s">
        <v>2</v>
      </c>
      <c r="J43" s="3">
        <v>39904</v>
      </c>
      <c r="K43" s="5">
        <v>91317</v>
      </c>
      <c r="L43" s="5">
        <v>286</v>
      </c>
      <c r="M43" s="5">
        <v>70127</v>
      </c>
      <c r="N43" s="5">
        <v>4758</v>
      </c>
      <c r="O43" s="5"/>
      <c r="P43" s="5"/>
      <c r="Q43" s="5">
        <v>166488</v>
      </c>
      <c r="U43" s="1">
        <v>39083</v>
      </c>
      <c r="V43">
        <v>1046</v>
      </c>
      <c r="W43" t="s">
        <v>14</v>
      </c>
      <c r="AA43" s="3">
        <v>39904</v>
      </c>
      <c r="AB43" s="5">
        <v>1785</v>
      </c>
      <c r="AC43" s="5">
        <v>24673</v>
      </c>
      <c r="AD43" s="5">
        <v>140030</v>
      </c>
      <c r="AE43" s="5"/>
      <c r="AF43" s="5">
        <v>166488</v>
      </c>
      <c r="AI43" s="1">
        <v>38961</v>
      </c>
      <c r="AJ43">
        <v>10662</v>
      </c>
      <c r="AK43" t="s">
        <v>23</v>
      </c>
      <c r="AN43" s="3">
        <v>39569</v>
      </c>
      <c r="AO43" s="5">
        <v>41596</v>
      </c>
      <c r="AP43" s="5"/>
      <c r="AQ43" s="5">
        <v>102401</v>
      </c>
      <c r="AR43" s="5"/>
      <c r="AS43" s="5">
        <v>143997</v>
      </c>
      <c r="AW43" s="1">
        <v>38961</v>
      </c>
      <c r="AX43">
        <v>12747</v>
      </c>
      <c r="AY43" t="s">
        <v>23</v>
      </c>
      <c r="BB43" s="3">
        <v>39569</v>
      </c>
      <c r="BC43" s="5">
        <v>31567</v>
      </c>
      <c r="BD43" s="5"/>
      <c r="BE43" s="5">
        <v>21383</v>
      </c>
      <c r="BF43" s="5"/>
      <c r="BG43" s="5"/>
      <c r="BH43" s="5">
        <v>52950</v>
      </c>
    </row>
    <row r="44" spans="1:60" x14ac:dyDescent="0.25">
      <c r="A44" s="1">
        <v>39326</v>
      </c>
      <c r="B44">
        <v>17527</v>
      </c>
      <c r="C44" t="s">
        <v>3</v>
      </c>
      <c r="J44" s="3">
        <v>39934</v>
      </c>
      <c r="K44" s="5">
        <v>25662</v>
      </c>
      <c r="L44" s="5">
        <v>5842</v>
      </c>
      <c r="M44" s="5">
        <v>67567</v>
      </c>
      <c r="N44" s="5">
        <v>51705</v>
      </c>
      <c r="O44" s="5"/>
      <c r="P44" s="5"/>
      <c r="Q44" s="5">
        <v>150776</v>
      </c>
      <c r="U44" s="1">
        <v>39114</v>
      </c>
      <c r="V44">
        <v>71070</v>
      </c>
      <c r="W44" t="s">
        <v>15</v>
      </c>
      <c r="AA44" s="3">
        <v>39934</v>
      </c>
      <c r="AB44" s="5">
        <v>2588</v>
      </c>
      <c r="AC44" s="5">
        <v>24641</v>
      </c>
      <c r="AD44" s="5">
        <v>123547</v>
      </c>
      <c r="AE44" s="5"/>
      <c r="AF44" s="5">
        <v>150776</v>
      </c>
      <c r="AI44" s="1">
        <v>38991</v>
      </c>
      <c r="AJ44">
        <v>102383</v>
      </c>
      <c r="AK44" t="s">
        <v>22</v>
      </c>
      <c r="AN44" s="3">
        <v>39600</v>
      </c>
      <c r="AO44" s="5">
        <v>38213</v>
      </c>
      <c r="AP44" s="5"/>
      <c r="AQ44" s="5">
        <v>98365</v>
      </c>
      <c r="AR44" s="5"/>
      <c r="AS44" s="5">
        <v>136578</v>
      </c>
      <c r="AW44" s="1">
        <v>38991</v>
      </c>
      <c r="AX44">
        <v>15647</v>
      </c>
      <c r="AY44" t="s">
        <v>23</v>
      </c>
      <c r="BB44" s="3">
        <v>39600</v>
      </c>
      <c r="BC44" s="5">
        <v>29505</v>
      </c>
      <c r="BD44" s="5"/>
      <c r="BE44" s="5">
        <v>22525</v>
      </c>
      <c r="BF44" s="5"/>
      <c r="BG44" s="5"/>
      <c r="BH44" s="5">
        <v>52030</v>
      </c>
    </row>
    <row r="45" spans="1:60" x14ac:dyDescent="0.25">
      <c r="A45" s="1">
        <v>39326</v>
      </c>
      <c r="B45">
        <v>136772</v>
      </c>
      <c r="C45" t="s">
        <v>2</v>
      </c>
      <c r="J45" s="3">
        <v>39965</v>
      </c>
      <c r="K45" s="5">
        <v>7053</v>
      </c>
      <c r="L45" s="5">
        <v>16517</v>
      </c>
      <c r="M45" s="5">
        <v>104095</v>
      </c>
      <c r="N45" s="5">
        <v>106391</v>
      </c>
      <c r="O45" s="5"/>
      <c r="P45" s="5"/>
      <c r="Q45" s="5">
        <v>234056</v>
      </c>
      <c r="U45" s="1">
        <v>39114</v>
      </c>
      <c r="V45">
        <v>56557</v>
      </c>
      <c r="W45" t="s">
        <v>16</v>
      </c>
      <c r="AA45" s="3">
        <v>39965</v>
      </c>
      <c r="AB45" s="5">
        <v>9453</v>
      </c>
      <c r="AC45" s="5">
        <v>41335</v>
      </c>
      <c r="AD45" s="5">
        <v>183268</v>
      </c>
      <c r="AE45" s="5"/>
      <c r="AF45" s="5">
        <v>234056</v>
      </c>
      <c r="AI45" s="1">
        <v>38991</v>
      </c>
      <c r="AJ45">
        <v>11537</v>
      </c>
      <c r="AK45" t="s">
        <v>23</v>
      </c>
      <c r="AN45" s="3">
        <v>39630</v>
      </c>
      <c r="AO45" s="5">
        <v>23471</v>
      </c>
      <c r="AP45" s="5"/>
      <c r="AQ45" s="5">
        <v>81925</v>
      </c>
      <c r="AR45" s="5"/>
      <c r="AS45" s="5">
        <v>105396</v>
      </c>
      <c r="AW45" s="1">
        <v>38991</v>
      </c>
      <c r="AX45">
        <v>21523</v>
      </c>
      <c r="AY45" t="s">
        <v>22</v>
      </c>
      <c r="BB45" s="3">
        <v>39630</v>
      </c>
      <c r="BC45" s="5">
        <v>22067</v>
      </c>
      <c r="BD45" s="5"/>
      <c r="BE45" s="5">
        <v>23075</v>
      </c>
      <c r="BF45" s="5"/>
      <c r="BG45" s="5"/>
      <c r="BH45" s="5">
        <v>45142</v>
      </c>
    </row>
    <row r="46" spans="1:60" x14ac:dyDescent="0.25">
      <c r="A46" s="1">
        <v>39356</v>
      </c>
      <c r="B46">
        <v>17939</v>
      </c>
      <c r="C46" t="s">
        <v>3</v>
      </c>
      <c r="J46" s="3">
        <v>39995</v>
      </c>
      <c r="K46" s="5">
        <v>781</v>
      </c>
      <c r="L46" s="5">
        <v>22075</v>
      </c>
      <c r="M46" s="5">
        <v>71014</v>
      </c>
      <c r="N46" s="5">
        <v>60337</v>
      </c>
      <c r="O46" s="5"/>
      <c r="P46" s="5"/>
      <c r="Q46" s="5">
        <v>154207</v>
      </c>
      <c r="U46" s="1">
        <v>39114</v>
      </c>
      <c r="V46">
        <v>1203</v>
      </c>
      <c r="W46" t="s">
        <v>14</v>
      </c>
      <c r="AA46" s="3">
        <v>39995</v>
      </c>
      <c r="AB46" s="5">
        <v>14498</v>
      </c>
      <c r="AC46" s="5">
        <v>32476</v>
      </c>
      <c r="AD46" s="5">
        <v>107233</v>
      </c>
      <c r="AE46" s="5"/>
      <c r="AF46" s="5">
        <v>154207</v>
      </c>
      <c r="AI46" s="1">
        <v>39022</v>
      </c>
      <c r="AJ46">
        <v>12948</v>
      </c>
      <c r="AK46" t="s">
        <v>23</v>
      </c>
      <c r="AN46" s="3">
        <v>39661</v>
      </c>
      <c r="AO46" s="5">
        <v>17448</v>
      </c>
      <c r="AP46" s="5"/>
      <c r="AQ46" s="5">
        <v>80739</v>
      </c>
      <c r="AR46" s="5"/>
      <c r="AS46" s="5">
        <v>98187</v>
      </c>
      <c r="AW46" s="1">
        <v>39022</v>
      </c>
      <c r="AX46">
        <v>20834</v>
      </c>
      <c r="AY46" t="s">
        <v>22</v>
      </c>
      <c r="BB46" s="3">
        <v>39661</v>
      </c>
      <c r="BC46" s="5">
        <v>15491</v>
      </c>
      <c r="BD46" s="5"/>
      <c r="BE46" s="5">
        <v>19612</v>
      </c>
      <c r="BF46" s="5"/>
      <c r="BG46" s="5"/>
      <c r="BH46" s="5">
        <v>35103</v>
      </c>
    </row>
    <row r="47" spans="1:60" x14ac:dyDescent="0.25">
      <c r="A47" s="1">
        <v>39356</v>
      </c>
      <c r="B47">
        <v>108346</v>
      </c>
      <c r="C47" t="s">
        <v>2</v>
      </c>
      <c r="J47" s="3">
        <v>40026</v>
      </c>
      <c r="K47" s="5">
        <v>173</v>
      </c>
      <c r="L47" s="5">
        <v>25210</v>
      </c>
      <c r="M47" s="5">
        <v>82357</v>
      </c>
      <c r="N47" s="5">
        <v>55906</v>
      </c>
      <c r="O47" s="5"/>
      <c r="P47" s="5"/>
      <c r="Q47" s="5">
        <v>163646</v>
      </c>
      <c r="U47" s="1">
        <v>39142</v>
      </c>
      <c r="V47">
        <v>67164</v>
      </c>
      <c r="W47" t="s">
        <v>15</v>
      </c>
      <c r="AA47" s="3">
        <v>40026</v>
      </c>
      <c r="AB47" s="5">
        <v>16086</v>
      </c>
      <c r="AC47" s="5">
        <v>42643</v>
      </c>
      <c r="AD47" s="5">
        <v>104917</v>
      </c>
      <c r="AE47" s="5"/>
      <c r="AF47" s="5">
        <v>163646</v>
      </c>
      <c r="AI47" s="1">
        <v>39022</v>
      </c>
      <c r="AJ47">
        <v>96093</v>
      </c>
      <c r="AK47" t="s">
        <v>22</v>
      </c>
      <c r="AN47" s="3">
        <v>39692</v>
      </c>
      <c r="AO47" s="5">
        <v>11582</v>
      </c>
      <c r="AP47" s="5"/>
      <c r="AQ47" s="5">
        <v>67217</v>
      </c>
      <c r="AR47" s="5"/>
      <c r="AS47" s="5">
        <v>78799</v>
      </c>
      <c r="AW47" s="1">
        <v>39022</v>
      </c>
      <c r="AX47">
        <v>16622</v>
      </c>
      <c r="AY47" t="s">
        <v>23</v>
      </c>
      <c r="BB47" s="3">
        <v>39692</v>
      </c>
      <c r="BC47" s="5">
        <v>10494</v>
      </c>
      <c r="BD47" s="5"/>
      <c r="BE47" s="5">
        <v>15980</v>
      </c>
      <c r="BF47" s="5"/>
      <c r="BG47" s="5"/>
      <c r="BH47" s="5">
        <v>26474</v>
      </c>
    </row>
    <row r="48" spans="1:60" x14ac:dyDescent="0.25">
      <c r="A48" s="1">
        <v>39387</v>
      </c>
      <c r="B48">
        <v>22061</v>
      </c>
      <c r="C48" t="s">
        <v>3</v>
      </c>
      <c r="J48" s="3">
        <v>40057</v>
      </c>
      <c r="K48" s="5">
        <v>258</v>
      </c>
      <c r="L48" s="5">
        <v>15667</v>
      </c>
      <c r="M48" s="5">
        <v>70570</v>
      </c>
      <c r="N48" s="5">
        <v>31910</v>
      </c>
      <c r="O48" s="5"/>
      <c r="P48" s="5"/>
      <c r="Q48" s="5">
        <v>118405</v>
      </c>
      <c r="U48" s="1">
        <v>39142</v>
      </c>
      <c r="V48">
        <v>60614</v>
      </c>
      <c r="W48" t="s">
        <v>16</v>
      </c>
      <c r="AA48" s="3">
        <v>40057</v>
      </c>
      <c r="AB48" s="5">
        <v>8996</v>
      </c>
      <c r="AC48" s="5">
        <v>41473</v>
      </c>
      <c r="AD48" s="5">
        <v>67936</v>
      </c>
      <c r="AE48" s="5"/>
      <c r="AF48" s="5">
        <v>118405</v>
      </c>
      <c r="AI48" s="1">
        <v>39052</v>
      </c>
      <c r="AJ48">
        <v>107332</v>
      </c>
      <c r="AK48" t="s">
        <v>22</v>
      </c>
      <c r="AN48" s="3">
        <v>39722</v>
      </c>
      <c r="AO48" s="5">
        <v>7202</v>
      </c>
      <c r="AP48" s="5"/>
      <c r="AQ48" s="5">
        <v>45117</v>
      </c>
      <c r="AR48" s="5"/>
      <c r="AS48" s="5">
        <v>52319</v>
      </c>
      <c r="AW48" s="1">
        <v>39052</v>
      </c>
      <c r="AX48">
        <v>20654</v>
      </c>
      <c r="AY48" t="s">
        <v>23</v>
      </c>
      <c r="BB48" s="3">
        <v>39722</v>
      </c>
      <c r="BC48" s="5">
        <v>8915</v>
      </c>
      <c r="BD48" s="5"/>
      <c r="BE48" s="5">
        <v>14635</v>
      </c>
      <c r="BF48" s="5"/>
      <c r="BG48" s="5"/>
      <c r="BH48" s="5">
        <v>23550</v>
      </c>
    </row>
    <row r="49" spans="1:60" x14ac:dyDescent="0.25">
      <c r="A49" s="1">
        <v>39387</v>
      </c>
      <c r="B49">
        <v>118469</v>
      </c>
      <c r="C49" t="s">
        <v>2</v>
      </c>
      <c r="J49" s="3">
        <v>40087</v>
      </c>
      <c r="K49" s="5">
        <v>1059</v>
      </c>
      <c r="L49" s="5">
        <v>12098</v>
      </c>
      <c r="M49" s="5">
        <v>61209</v>
      </c>
      <c r="N49" s="5">
        <v>23119</v>
      </c>
      <c r="O49" s="5"/>
      <c r="P49" s="5"/>
      <c r="Q49" s="5">
        <v>97485</v>
      </c>
      <c r="U49" s="1">
        <v>39142</v>
      </c>
      <c r="V49">
        <v>1354</v>
      </c>
      <c r="W49" t="s">
        <v>14</v>
      </c>
      <c r="AA49" s="3">
        <v>40087</v>
      </c>
      <c r="AB49" s="5">
        <v>6341</v>
      </c>
      <c r="AC49" s="5">
        <v>37039</v>
      </c>
      <c r="AD49" s="5">
        <v>54105</v>
      </c>
      <c r="AE49" s="5"/>
      <c r="AF49" s="5">
        <v>97485</v>
      </c>
      <c r="AI49" s="1">
        <v>39052</v>
      </c>
      <c r="AJ49">
        <v>17880</v>
      </c>
      <c r="AK49" t="s">
        <v>23</v>
      </c>
      <c r="AN49" s="3">
        <v>39753</v>
      </c>
      <c r="AO49" s="5">
        <v>10585</v>
      </c>
      <c r="AP49" s="5"/>
      <c r="AQ49" s="5">
        <v>50694</v>
      </c>
      <c r="AR49" s="5"/>
      <c r="AS49" s="5">
        <v>61279</v>
      </c>
      <c r="AW49" s="1">
        <v>39052</v>
      </c>
      <c r="AX49">
        <v>21144</v>
      </c>
      <c r="AY49" t="s">
        <v>22</v>
      </c>
      <c r="BB49" s="3">
        <v>39753</v>
      </c>
      <c r="BC49" s="5">
        <v>9826</v>
      </c>
      <c r="BD49" s="5"/>
      <c r="BE49" s="5">
        <v>14115</v>
      </c>
      <c r="BF49" s="5"/>
      <c r="BG49" s="5"/>
      <c r="BH49" s="5">
        <v>23941</v>
      </c>
    </row>
    <row r="50" spans="1:60" x14ac:dyDescent="0.25">
      <c r="A50" s="1">
        <v>39417</v>
      </c>
      <c r="B50">
        <v>23242</v>
      </c>
      <c r="C50" t="s">
        <v>3</v>
      </c>
      <c r="J50" s="3">
        <v>40118</v>
      </c>
      <c r="K50" s="5">
        <v>77</v>
      </c>
      <c r="L50" s="5">
        <v>16580</v>
      </c>
      <c r="M50" s="5">
        <v>54618</v>
      </c>
      <c r="N50" s="5">
        <v>22548</v>
      </c>
      <c r="O50" s="5"/>
      <c r="P50" s="5"/>
      <c r="Q50" s="5">
        <v>93823</v>
      </c>
      <c r="U50" s="1">
        <v>39173</v>
      </c>
      <c r="V50">
        <v>64185</v>
      </c>
      <c r="W50" t="s">
        <v>15</v>
      </c>
      <c r="AA50" s="3">
        <v>40118</v>
      </c>
      <c r="AB50" s="5">
        <v>8103</v>
      </c>
      <c r="AC50" s="5">
        <v>32297</v>
      </c>
      <c r="AD50" s="5">
        <v>53423</v>
      </c>
      <c r="AE50" s="5"/>
      <c r="AF50" s="5">
        <v>93823</v>
      </c>
      <c r="AI50" s="1">
        <v>39083</v>
      </c>
      <c r="AJ50">
        <v>17232</v>
      </c>
      <c r="AK50" t="s">
        <v>23</v>
      </c>
      <c r="AN50" s="3">
        <v>39783</v>
      </c>
      <c r="AO50" s="5">
        <v>15821</v>
      </c>
      <c r="AP50" s="5"/>
      <c r="AQ50" s="5">
        <v>52103</v>
      </c>
      <c r="AR50" s="5"/>
      <c r="AS50" s="5">
        <v>67924</v>
      </c>
      <c r="AW50" s="1">
        <v>39083</v>
      </c>
      <c r="AX50">
        <v>20779</v>
      </c>
      <c r="AY50" t="s">
        <v>22</v>
      </c>
      <c r="BB50" s="3">
        <v>39783</v>
      </c>
      <c r="BC50" s="5">
        <v>12743</v>
      </c>
      <c r="BD50" s="5"/>
      <c r="BE50" s="5">
        <v>15394</v>
      </c>
      <c r="BF50" s="5"/>
      <c r="BG50" s="5"/>
      <c r="BH50" s="5">
        <v>28137</v>
      </c>
    </row>
    <row r="51" spans="1:60" x14ac:dyDescent="0.25">
      <c r="A51" s="1">
        <v>39417</v>
      </c>
      <c r="B51">
        <v>108670</v>
      </c>
      <c r="C51" t="s">
        <v>2</v>
      </c>
      <c r="J51" s="3">
        <v>40148</v>
      </c>
      <c r="K51" s="5">
        <v>336</v>
      </c>
      <c r="L51" s="5">
        <v>25493</v>
      </c>
      <c r="M51" s="5">
        <v>70439</v>
      </c>
      <c r="N51" s="5">
        <v>30548</v>
      </c>
      <c r="O51" s="5"/>
      <c r="P51" s="5"/>
      <c r="Q51" s="5">
        <v>126816</v>
      </c>
      <c r="U51" s="1">
        <v>39173</v>
      </c>
      <c r="V51">
        <v>55862</v>
      </c>
      <c r="W51" t="s">
        <v>16</v>
      </c>
      <c r="AA51" s="3">
        <v>40148</v>
      </c>
      <c r="AB51" s="5">
        <v>12795</v>
      </c>
      <c r="AC51" s="5">
        <v>42345</v>
      </c>
      <c r="AD51" s="5">
        <v>71676</v>
      </c>
      <c r="AE51" s="5"/>
      <c r="AF51" s="5">
        <v>126816</v>
      </c>
      <c r="AI51" s="1">
        <v>39083</v>
      </c>
      <c r="AJ51">
        <v>98456</v>
      </c>
      <c r="AK51" t="s">
        <v>22</v>
      </c>
      <c r="AN51" s="3">
        <v>39814</v>
      </c>
      <c r="AO51" s="5">
        <v>7542</v>
      </c>
      <c r="AP51" s="5"/>
      <c r="AQ51" s="5">
        <v>32448</v>
      </c>
      <c r="AR51" s="5"/>
      <c r="AS51" s="5">
        <v>39990</v>
      </c>
      <c r="AW51" s="1">
        <v>39083</v>
      </c>
      <c r="AX51">
        <v>19393</v>
      </c>
      <c r="AY51" t="s">
        <v>23</v>
      </c>
      <c r="BB51" s="3">
        <v>39814</v>
      </c>
      <c r="BC51" s="5">
        <v>9484</v>
      </c>
      <c r="BD51" s="5"/>
      <c r="BE51" s="5">
        <v>11771</v>
      </c>
      <c r="BF51" s="5"/>
      <c r="BG51" s="5"/>
      <c r="BH51" s="5">
        <v>21255</v>
      </c>
    </row>
    <row r="52" spans="1:60" x14ac:dyDescent="0.25">
      <c r="A52" s="1">
        <v>39448</v>
      </c>
      <c r="B52">
        <v>25971</v>
      </c>
      <c r="C52" t="s">
        <v>3</v>
      </c>
      <c r="J52" s="3">
        <v>40179</v>
      </c>
      <c r="K52" s="5">
        <v>360</v>
      </c>
      <c r="L52" s="5">
        <v>24649</v>
      </c>
      <c r="M52" s="5">
        <v>51271</v>
      </c>
      <c r="N52" s="5">
        <v>24350</v>
      </c>
      <c r="O52" s="5"/>
      <c r="P52" s="5"/>
      <c r="Q52" s="5">
        <v>100630</v>
      </c>
      <c r="U52" s="1">
        <v>39173</v>
      </c>
      <c r="V52">
        <v>1198</v>
      </c>
      <c r="W52" t="s">
        <v>14</v>
      </c>
      <c r="AA52" s="3">
        <v>40179</v>
      </c>
      <c r="AB52" s="5">
        <v>12696</v>
      </c>
      <c r="AC52" s="5">
        <v>29955</v>
      </c>
      <c r="AD52" s="5">
        <v>57979</v>
      </c>
      <c r="AE52" s="5"/>
      <c r="AF52" s="5">
        <v>100630</v>
      </c>
      <c r="AI52" s="1">
        <v>39114</v>
      </c>
      <c r="AJ52">
        <v>21209</v>
      </c>
      <c r="AK52" t="s">
        <v>23</v>
      </c>
      <c r="AN52" s="3">
        <v>39845</v>
      </c>
      <c r="AO52" s="5">
        <v>32323</v>
      </c>
      <c r="AP52" s="5"/>
      <c r="AQ52" s="5">
        <v>52470</v>
      </c>
      <c r="AR52" s="5"/>
      <c r="AS52" s="5">
        <v>84793</v>
      </c>
      <c r="AW52" s="1">
        <v>39114</v>
      </c>
      <c r="AX52">
        <v>21525</v>
      </c>
      <c r="AY52" t="s">
        <v>22</v>
      </c>
      <c r="BB52" s="3">
        <v>39845</v>
      </c>
      <c r="BC52" s="5">
        <v>20177</v>
      </c>
      <c r="BD52" s="5"/>
      <c r="BE52" s="5">
        <v>15596</v>
      </c>
      <c r="BF52" s="5"/>
      <c r="BG52" s="5"/>
      <c r="BH52" s="5">
        <v>35773</v>
      </c>
    </row>
    <row r="53" spans="1:60" x14ac:dyDescent="0.25">
      <c r="A53" s="1">
        <v>39448</v>
      </c>
      <c r="B53">
        <v>90455</v>
      </c>
      <c r="C53" t="s">
        <v>2</v>
      </c>
      <c r="J53" s="3">
        <v>40210</v>
      </c>
      <c r="K53" s="5">
        <v>77</v>
      </c>
      <c r="L53" s="5">
        <v>26299</v>
      </c>
      <c r="M53" s="5">
        <v>51586</v>
      </c>
      <c r="N53" s="5">
        <v>28003</v>
      </c>
      <c r="O53" s="5"/>
      <c r="P53" s="5"/>
      <c r="Q53" s="5">
        <v>105965</v>
      </c>
      <c r="U53" s="1">
        <v>39203</v>
      </c>
      <c r="V53">
        <v>69464</v>
      </c>
      <c r="W53" t="s">
        <v>15</v>
      </c>
      <c r="AA53" s="3">
        <v>40210</v>
      </c>
      <c r="AB53" s="5">
        <v>13514</v>
      </c>
      <c r="AC53" s="5">
        <v>27636</v>
      </c>
      <c r="AD53" s="5">
        <v>64815</v>
      </c>
      <c r="AE53" s="5"/>
      <c r="AF53" s="5">
        <v>105965</v>
      </c>
      <c r="AI53" s="1">
        <v>39114</v>
      </c>
      <c r="AJ53">
        <v>99305</v>
      </c>
      <c r="AK53" t="s">
        <v>22</v>
      </c>
      <c r="AN53" s="3">
        <v>39873</v>
      </c>
      <c r="AO53" s="5">
        <v>81505</v>
      </c>
      <c r="AP53" s="5"/>
      <c r="AQ53" s="5">
        <v>58125</v>
      </c>
      <c r="AR53" s="5"/>
      <c r="AS53" s="5">
        <v>139630</v>
      </c>
      <c r="AW53" s="1">
        <v>39114</v>
      </c>
      <c r="AX53">
        <v>22776</v>
      </c>
      <c r="AY53" t="s">
        <v>23</v>
      </c>
      <c r="BB53" s="3">
        <v>39873</v>
      </c>
      <c r="BC53" s="5">
        <v>66165</v>
      </c>
      <c r="BD53" s="5"/>
      <c r="BE53" s="5">
        <v>17183</v>
      </c>
      <c r="BF53" s="5"/>
      <c r="BG53" s="5"/>
      <c r="BH53" s="5">
        <v>83348</v>
      </c>
    </row>
    <row r="54" spans="1:60" x14ac:dyDescent="0.25">
      <c r="A54" s="1">
        <v>39479</v>
      </c>
      <c r="B54">
        <v>41508</v>
      </c>
      <c r="C54" t="s">
        <v>3</v>
      </c>
      <c r="J54" s="3">
        <v>40238</v>
      </c>
      <c r="K54" s="5">
        <v>679</v>
      </c>
      <c r="L54" s="5">
        <v>21183</v>
      </c>
      <c r="M54" s="5">
        <v>56751</v>
      </c>
      <c r="N54" s="5">
        <v>25937</v>
      </c>
      <c r="O54" s="5"/>
      <c r="P54" s="5"/>
      <c r="Q54" s="5">
        <v>104550</v>
      </c>
      <c r="U54" s="1">
        <v>39203</v>
      </c>
      <c r="V54">
        <v>63827</v>
      </c>
      <c r="W54" t="s">
        <v>16</v>
      </c>
      <c r="AA54" s="3">
        <v>40238</v>
      </c>
      <c r="AB54" s="5">
        <v>11773</v>
      </c>
      <c r="AC54" s="5">
        <v>30875</v>
      </c>
      <c r="AD54" s="5">
        <v>61902</v>
      </c>
      <c r="AE54" s="5"/>
      <c r="AF54" s="5">
        <v>104550</v>
      </c>
      <c r="AI54" s="1">
        <v>39142</v>
      </c>
      <c r="AJ54">
        <v>86895</v>
      </c>
      <c r="AK54" t="s">
        <v>22</v>
      </c>
      <c r="AN54" s="3">
        <v>39904</v>
      </c>
      <c r="AO54" s="5">
        <v>104826</v>
      </c>
      <c r="AP54" s="5"/>
      <c r="AQ54" s="5">
        <v>72314</v>
      </c>
      <c r="AR54" s="5"/>
      <c r="AS54" s="5">
        <v>177140</v>
      </c>
      <c r="AW54" s="1">
        <v>39142</v>
      </c>
      <c r="AX54">
        <v>22740</v>
      </c>
      <c r="AY54" t="s">
        <v>23</v>
      </c>
      <c r="BB54" s="3">
        <v>39904</v>
      </c>
      <c r="BC54" s="5">
        <v>81476</v>
      </c>
      <c r="BD54" s="5"/>
      <c r="BE54" s="5">
        <v>19205</v>
      </c>
      <c r="BF54" s="5"/>
      <c r="BG54" s="5"/>
      <c r="BH54" s="5">
        <v>100681</v>
      </c>
    </row>
    <row r="55" spans="1:60" x14ac:dyDescent="0.25">
      <c r="A55" s="1">
        <v>39479</v>
      </c>
      <c r="B55">
        <v>124215</v>
      </c>
      <c r="C55" t="s">
        <v>2</v>
      </c>
      <c r="J55" s="3">
        <v>40269</v>
      </c>
      <c r="K55" s="5">
        <v>113</v>
      </c>
      <c r="L55" s="5">
        <v>19513</v>
      </c>
      <c r="M55" s="5">
        <v>37231</v>
      </c>
      <c r="N55" s="5">
        <v>14416</v>
      </c>
      <c r="O55" s="5"/>
      <c r="P55" s="5"/>
      <c r="Q55" s="5">
        <v>71273</v>
      </c>
      <c r="U55" s="1">
        <v>39203</v>
      </c>
      <c r="V55">
        <v>1274</v>
      </c>
      <c r="W55" t="s">
        <v>14</v>
      </c>
      <c r="AA55" s="3">
        <v>40269</v>
      </c>
      <c r="AB55" s="5">
        <v>10346</v>
      </c>
      <c r="AC55" s="5">
        <v>23058</v>
      </c>
      <c r="AD55" s="5">
        <v>37869</v>
      </c>
      <c r="AE55" s="5"/>
      <c r="AF55" s="5">
        <v>71273</v>
      </c>
      <c r="AI55" s="1">
        <v>39142</v>
      </c>
      <c r="AJ55">
        <v>20923</v>
      </c>
      <c r="AK55" t="s">
        <v>23</v>
      </c>
      <c r="AN55" s="3">
        <v>39934</v>
      </c>
      <c r="AO55" s="5">
        <v>108692</v>
      </c>
      <c r="AP55" s="5"/>
      <c r="AQ55" s="5">
        <v>87478</v>
      </c>
      <c r="AR55" s="5"/>
      <c r="AS55" s="5">
        <v>196170</v>
      </c>
      <c r="AW55" s="1">
        <v>39142</v>
      </c>
      <c r="AX55">
        <v>18020</v>
      </c>
      <c r="AY55" t="s">
        <v>22</v>
      </c>
      <c r="BB55" s="3">
        <v>39934</v>
      </c>
      <c r="BC55" s="5">
        <v>84588</v>
      </c>
      <c r="BD55" s="5"/>
      <c r="BE55" s="5">
        <v>22244</v>
      </c>
      <c r="BF55" s="5"/>
      <c r="BG55" s="5"/>
      <c r="BH55" s="5">
        <v>106832</v>
      </c>
    </row>
    <row r="56" spans="1:60" x14ac:dyDescent="0.25">
      <c r="A56" s="1">
        <v>39508</v>
      </c>
      <c r="B56">
        <v>49873</v>
      </c>
      <c r="C56" t="s">
        <v>3</v>
      </c>
      <c r="J56" s="3">
        <v>40299</v>
      </c>
      <c r="K56" s="5">
        <v>25</v>
      </c>
      <c r="L56" s="5">
        <v>17575</v>
      </c>
      <c r="M56" s="5">
        <v>46855</v>
      </c>
      <c r="N56" s="5">
        <v>15988</v>
      </c>
      <c r="O56" s="5"/>
      <c r="P56" s="5"/>
      <c r="Q56" s="5">
        <v>80443</v>
      </c>
      <c r="U56" s="1">
        <v>39234</v>
      </c>
      <c r="V56">
        <v>61490</v>
      </c>
      <c r="W56" t="s">
        <v>15</v>
      </c>
      <c r="AA56" s="3">
        <v>40299</v>
      </c>
      <c r="AB56" s="5">
        <v>9171</v>
      </c>
      <c r="AC56" s="5">
        <v>30710</v>
      </c>
      <c r="AD56" s="5">
        <v>40562</v>
      </c>
      <c r="AE56" s="5"/>
      <c r="AF56" s="5">
        <v>80443</v>
      </c>
      <c r="AI56" s="1">
        <v>39173</v>
      </c>
      <c r="AJ56">
        <v>18017</v>
      </c>
      <c r="AK56" t="s">
        <v>23</v>
      </c>
      <c r="AN56" s="3">
        <v>39965</v>
      </c>
      <c r="AO56" s="5"/>
      <c r="AP56" s="5">
        <v>10383</v>
      </c>
      <c r="AQ56" s="5">
        <v>80976</v>
      </c>
      <c r="AR56" s="5">
        <v>94312</v>
      </c>
      <c r="AS56" s="5">
        <v>185671</v>
      </c>
      <c r="AW56" s="1">
        <v>39173</v>
      </c>
      <c r="AX56">
        <v>20586</v>
      </c>
      <c r="AY56" t="s">
        <v>23</v>
      </c>
      <c r="BB56" s="3">
        <v>39965</v>
      </c>
      <c r="BC56" s="5"/>
      <c r="BD56" s="5">
        <v>22119</v>
      </c>
      <c r="BE56" s="5">
        <v>27796</v>
      </c>
      <c r="BF56" s="5">
        <v>81756</v>
      </c>
      <c r="BG56" s="5"/>
      <c r="BH56" s="5">
        <v>131671</v>
      </c>
    </row>
    <row r="57" spans="1:60" x14ac:dyDescent="0.25">
      <c r="A57" s="1">
        <v>39508</v>
      </c>
      <c r="B57">
        <v>88535</v>
      </c>
      <c r="C57" t="s">
        <v>2</v>
      </c>
      <c r="J57" s="3">
        <v>40330</v>
      </c>
      <c r="K57" s="5">
        <v>4</v>
      </c>
      <c r="L57" s="5">
        <v>19523</v>
      </c>
      <c r="M57" s="5">
        <v>55813</v>
      </c>
      <c r="N57" s="5">
        <v>14269</v>
      </c>
      <c r="O57" s="5"/>
      <c r="P57" s="5"/>
      <c r="Q57" s="5">
        <v>89609</v>
      </c>
      <c r="U57" s="1">
        <v>39234</v>
      </c>
      <c r="V57">
        <v>69687</v>
      </c>
      <c r="W57" t="s">
        <v>16</v>
      </c>
      <c r="AA57" s="3">
        <v>40330</v>
      </c>
      <c r="AB57" s="5">
        <v>10433</v>
      </c>
      <c r="AC57" s="5">
        <v>38377</v>
      </c>
      <c r="AD57" s="5">
        <v>40799</v>
      </c>
      <c r="AE57" s="5"/>
      <c r="AF57" s="5">
        <v>89609</v>
      </c>
      <c r="AI57" s="1">
        <v>39173</v>
      </c>
      <c r="AJ57">
        <v>93294</v>
      </c>
      <c r="AK57" t="s">
        <v>22</v>
      </c>
      <c r="AN57" s="3">
        <v>39995</v>
      </c>
      <c r="AO57" s="5"/>
      <c r="AP57" s="5">
        <v>16311</v>
      </c>
      <c r="AQ57" s="5">
        <v>82570</v>
      </c>
      <c r="AR57" s="5">
        <v>90531</v>
      </c>
      <c r="AS57" s="5">
        <v>189412</v>
      </c>
      <c r="AW57" s="1">
        <v>39173</v>
      </c>
      <c r="AX57">
        <v>18869</v>
      </c>
      <c r="AY57" t="s">
        <v>22</v>
      </c>
      <c r="BB57" s="3">
        <v>39995</v>
      </c>
      <c r="BC57" s="5"/>
      <c r="BD57" s="5">
        <v>39349</v>
      </c>
      <c r="BE57" s="5">
        <v>35162</v>
      </c>
      <c r="BF57" s="5">
        <v>98694</v>
      </c>
      <c r="BG57" s="5"/>
      <c r="BH57" s="5">
        <v>173205</v>
      </c>
    </row>
    <row r="58" spans="1:60" x14ac:dyDescent="0.25">
      <c r="A58" s="1">
        <v>39539</v>
      </c>
      <c r="B58">
        <v>98952</v>
      </c>
      <c r="C58" t="s">
        <v>2</v>
      </c>
      <c r="J58" s="3">
        <v>40360</v>
      </c>
      <c r="K58" s="5">
        <v>1</v>
      </c>
      <c r="L58" s="5">
        <v>19158</v>
      </c>
      <c r="M58" s="5">
        <v>50706</v>
      </c>
      <c r="N58" s="5">
        <v>13900</v>
      </c>
      <c r="O58" s="5"/>
      <c r="P58" s="5"/>
      <c r="Q58" s="5">
        <v>83765</v>
      </c>
      <c r="U58" s="1">
        <v>39234</v>
      </c>
      <c r="V58">
        <v>1295</v>
      </c>
      <c r="W58" t="s">
        <v>14</v>
      </c>
      <c r="AA58" s="3">
        <v>40360</v>
      </c>
      <c r="AB58" s="5">
        <v>9017</v>
      </c>
      <c r="AC58" s="5">
        <v>36953</v>
      </c>
      <c r="AD58" s="5">
        <v>37795</v>
      </c>
      <c r="AE58" s="5"/>
      <c r="AF58" s="5">
        <v>83765</v>
      </c>
      <c r="AI58" s="1">
        <v>39203</v>
      </c>
      <c r="AJ58">
        <v>118081</v>
      </c>
      <c r="AK58" t="s">
        <v>22</v>
      </c>
      <c r="AN58" s="3">
        <v>40026</v>
      </c>
      <c r="AO58" s="5"/>
      <c r="AP58" s="5">
        <v>25480</v>
      </c>
      <c r="AQ58" s="5">
        <v>89410</v>
      </c>
      <c r="AR58" s="5">
        <v>71783</v>
      </c>
      <c r="AS58" s="5">
        <v>186673</v>
      </c>
      <c r="AW58" s="1">
        <v>39203</v>
      </c>
      <c r="AX58">
        <v>25028</v>
      </c>
      <c r="AY58" t="s">
        <v>23</v>
      </c>
      <c r="BB58" s="3">
        <v>40026</v>
      </c>
      <c r="BC58" s="5"/>
      <c r="BD58" s="5">
        <v>41471</v>
      </c>
      <c r="BE58" s="5">
        <v>33907</v>
      </c>
      <c r="BF58" s="5">
        <v>79985</v>
      </c>
      <c r="BG58" s="5"/>
      <c r="BH58" s="5">
        <v>155363</v>
      </c>
    </row>
    <row r="59" spans="1:60" x14ac:dyDescent="0.25">
      <c r="A59" s="1">
        <v>39539</v>
      </c>
      <c r="B59">
        <v>44733</v>
      </c>
      <c r="C59" t="s">
        <v>3</v>
      </c>
      <c r="J59" s="3">
        <v>40391</v>
      </c>
      <c r="K59" s="5">
        <v>1120</v>
      </c>
      <c r="L59" s="5">
        <v>20121</v>
      </c>
      <c r="M59" s="5">
        <v>48810</v>
      </c>
      <c r="N59" s="5">
        <v>16488</v>
      </c>
      <c r="O59" s="5"/>
      <c r="P59" s="5"/>
      <c r="Q59" s="5">
        <v>86539</v>
      </c>
      <c r="U59" s="1">
        <v>39264</v>
      </c>
      <c r="V59">
        <v>53816</v>
      </c>
      <c r="W59" t="s">
        <v>15</v>
      </c>
      <c r="AA59" s="3">
        <v>40391</v>
      </c>
      <c r="AB59" s="5">
        <v>9218</v>
      </c>
      <c r="AC59" s="5">
        <v>32778</v>
      </c>
      <c r="AD59" s="5">
        <v>44543</v>
      </c>
      <c r="AE59" s="5"/>
      <c r="AF59" s="5">
        <v>86539</v>
      </c>
      <c r="AI59" s="1">
        <v>39203</v>
      </c>
      <c r="AJ59">
        <v>22875</v>
      </c>
      <c r="AK59" t="s">
        <v>23</v>
      </c>
      <c r="AN59" s="3">
        <v>40057</v>
      </c>
      <c r="AO59" s="5"/>
      <c r="AP59" s="5">
        <v>22620</v>
      </c>
      <c r="AQ59" s="5">
        <v>83867</v>
      </c>
      <c r="AR59" s="5">
        <v>45076</v>
      </c>
      <c r="AS59" s="5">
        <v>151563</v>
      </c>
      <c r="AW59" s="1">
        <v>39203</v>
      </c>
      <c r="AX59">
        <v>25321</v>
      </c>
      <c r="AY59" t="s">
        <v>22</v>
      </c>
      <c r="BB59" s="3">
        <v>40057</v>
      </c>
      <c r="BC59" s="5"/>
      <c r="BD59" s="5">
        <v>30038</v>
      </c>
      <c r="BE59" s="5">
        <v>25673</v>
      </c>
      <c r="BF59" s="5">
        <v>49944</v>
      </c>
      <c r="BG59" s="5"/>
      <c r="BH59" s="5">
        <v>105655</v>
      </c>
    </row>
    <row r="60" spans="1:60" x14ac:dyDescent="0.25">
      <c r="A60" s="1">
        <v>39569</v>
      </c>
      <c r="B60">
        <v>110414</v>
      </c>
      <c r="C60" t="s">
        <v>2</v>
      </c>
      <c r="J60" s="3">
        <v>40422</v>
      </c>
      <c r="K60" s="5">
        <v>326</v>
      </c>
      <c r="L60" s="5">
        <v>38354</v>
      </c>
      <c r="M60" s="5">
        <v>42017</v>
      </c>
      <c r="N60" s="5">
        <v>24337</v>
      </c>
      <c r="O60" s="5"/>
      <c r="P60" s="5"/>
      <c r="Q60" s="5">
        <v>105034</v>
      </c>
      <c r="U60" s="1">
        <v>39264</v>
      </c>
      <c r="V60">
        <v>63220</v>
      </c>
      <c r="W60" t="s">
        <v>16</v>
      </c>
      <c r="AA60" s="3">
        <v>40422</v>
      </c>
      <c r="AB60" s="5">
        <v>16012</v>
      </c>
      <c r="AC60" s="5">
        <v>25077</v>
      </c>
      <c r="AD60" s="5">
        <v>63945</v>
      </c>
      <c r="AE60" s="5"/>
      <c r="AF60" s="5">
        <v>105034</v>
      </c>
      <c r="AI60" s="1">
        <v>39234</v>
      </c>
      <c r="AJ60">
        <v>122699</v>
      </c>
      <c r="AK60" t="s">
        <v>22</v>
      </c>
      <c r="AN60" s="3">
        <v>40087</v>
      </c>
      <c r="AO60" s="5"/>
      <c r="AP60" s="5">
        <v>16406</v>
      </c>
      <c r="AQ60" s="5">
        <v>62931</v>
      </c>
      <c r="AR60" s="5">
        <v>24616</v>
      </c>
      <c r="AS60" s="5">
        <v>103953</v>
      </c>
      <c r="AW60" s="1">
        <v>39234</v>
      </c>
      <c r="AX60">
        <v>26551</v>
      </c>
      <c r="AY60" t="s">
        <v>23</v>
      </c>
      <c r="BB60" s="3">
        <v>40087</v>
      </c>
      <c r="BC60" s="5"/>
      <c r="BD60" s="5">
        <v>21784</v>
      </c>
      <c r="BE60" s="5">
        <v>25546</v>
      </c>
      <c r="BF60" s="5">
        <v>32936</v>
      </c>
      <c r="BG60" s="5"/>
      <c r="BH60" s="5">
        <v>80266</v>
      </c>
    </row>
    <row r="61" spans="1:60" x14ac:dyDescent="0.25">
      <c r="A61" s="1">
        <v>39569</v>
      </c>
      <c r="B61">
        <v>41194</v>
      </c>
      <c r="C61" t="s">
        <v>3</v>
      </c>
      <c r="J61" s="3">
        <v>40452</v>
      </c>
      <c r="K61" s="5">
        <v>3</v>
      </c>
      <c r="L61" s="5">
        <v>36203</v>
      </c>
      <c r="M61" s="5">
        <v>39705</v>
      </c>
      <c r="N61" s="5">
        <v>29103</v>
      </c>
      <c r="O61" s="5"/>
      <c r="P61" s="5"/>
      <c r="Q61" s="5">
        <v>105014</v>
      </c>
      <c r="U61" s="1">
        <v>39264</v>
      </c>
      <c r="V61">
        <v>1176</v>
      </c>
      <c r="W61" t="s">
        <v>14</v>
      </c>
      <c r="AA61" s="3">
        <v>40452</v>
      </c>
      <c r="AB61" s="5">
        <v>13956</v>
      </c>
      <c r="AC61" s="5">
        <v>21824</v>
      </c>
      <c r="AD61" s="5">
        <v>69234</v>
      </c>
      <c r="AE61" s="5"/>
      <c r="AF61" s="5">
        <v>105014</v>
      </c>
      <c r="AI61" s="1">
        <v>39234</v>
      </c>
      <c r="AJ61">
        <v>24801</v>
      </c>
      <c r="AK61" t="s">
        <v>23</v>
      </c>
      <c r="AN61" s="3">
        <v>40118</v>
      </c>
      <c r="AO61" s="5"/>
      <c r="AP61" s="5">
        <v>13051</v>
      </c>
      <c r="AQ61" s="5">
        <v>58846</v>
      </c>
      <c r="AR61" s="5">
        <v>20958</v>
      </c>
      <c r="AS61" s="5">
        <v>92855</v>
      </c>
      <c r="AW61" s="1">
        <v>39234</v>
      </c>
      <c r="AX61">
        <v>27815</v>
      </c>
      <c r="AY61" t="s">
        <v>22</v>
      </c>
      <c r="BB61" s="3">
        <v>40118</v>
      </c>
      <c r="BC61" s="5"/>
      <c r="BD61" s="5">
        <v>18281</v>
      </c>
      <c r="BE61" s="5">
        <v>24426</v>
      </c>
      <c r="BF61" s="5">
        <v>25969</v>
      </c>
      <c r="BG61" s="5"/>
      <c r="BH61" s="5">
        <v>68676</v>
      </c>
    </row>
    <row r="62" spans="1:60" x14ac:dyDescent="0.25">
      <c r="A62" s="1">
        <v>39600</v>
      </c>
      <c r="B62">
        <v>30865</v>
      </c>
      <c r="C62" t="s">
        <v>3</v>
      </c>
      <c r="J62" s="3">
        <v>40483</v>
      </c>
      <c r="K62" s="5">
        <v>24</v>
      </c>
      <c r="L62" s="5">
        <v>39308</v>
      </c>
      <c r="M62" s="5">
        <v>35585</v>
      </c>
      <c r="N62" s="5">
        <v>28907</v>
      </c>
      <c r="O62" s="5"/>
      <c r="P62" s="5"/>
      <c r="Q62" s="5">
        <v>103824</v>
      </c>
      <c r="U62" s="1">
        <v>39295</v>
      </c>
      <c r="V62">
        <v>55366</v>
      </c>
      <c r="W62" t="s">
        <v>15</v>
      </c>
      <c r="AA62" s="3">
        <v>40483</v>
      </c>
      <c r="AB62" s="5">
        <v>16014</v>
      </c>
      <c r="AC62" s="5">
        <v>19204</v>
      </c>
      <c r="AD62" s="5">
        <v>68606</v>
      </c>
      <c r="AE62" s="5"/>
      <c r="AF62" s="5">
        <v>103824</v>
      </c>
      <c r="AI62" s="1">
        <v>39264</v>
      </c>
      <c r="AJ62">
        <v>21810</v>
      </c>
      <c r="AK62" t="s">
        <v>23</v>
      </c>
      <c r="AN62" s="3">
        <v>40148</v>
      </c>
      <c r="AO62" s="5"/>
      <c r="AP62" s="5">
        <v>18179</v>
      </c>
      <c r="AQ62" s="5">
        <v>62802</v>
      </c>
      <c r="AR62" s="5">
        <v>26484</v>
      </c>
      <c r="AS62" s="5">
        <v>107465</v>
      </c>
      <c r="AW62" s="1">
        <v>39264</v>
      </c>
      <c r="AX62">
        <v>32290</v>
      </c>
      <c r="AY62" t="s">
        <v>22</v>
      </c>
      <c r="BB62" s="3">
        <v>40148</v>
      </c>
      <c r="BC62" s="5"/>
      <c r="BD62" s="5">
        <v>20048</v>
      </c>
      <c r="BE62" s="5">
        <v>26861</v>
      </c>
      <c r="BF62" s="5">
        <v>26137</v>
      </c>
      <c r="BG62" s="5"/>
      <c r="BH62" s="5">
        <v>73046</v>
      </c>
    </row>
    <row r="63" spans="1:60" x14ac:dyDescent="0.25">
      <c r="A63" s="1">
        <v>39600</v>
      </c>
      <c r="B63">
        <v>108177</v>
      </c>
      <c r="C63" t="s">
        <v>2</v>
      </c>
      <c r="J63" s="3">
        <v>40513</v>
      </c>
      <c r="K63" s="5">
        <v>3</v>
      </c>
      <c r="L63" s="5">
        <v>45723</v>
      </c>
      <c r="M63" s="5">
        <v>33399</v>
      </c>
      <c r="N63" s="5">
        <v>29330</v>
      </c>
      <c r="O63" s="5"/>
      <c r="P63" s="5"/>
      <c r="Q63" s="5">
        <v>108455</v>
      </c>
      <c r="U63" s="1">
        <v>39295</v>
      </c>
      <c r="V63">
        <v>77551</v>
      </c>
      <c r="W63" t="s">
        <v>16</v>
      </c>
      <c r="AA63" s="3">
        <v>40513</v>
      </c>
      <c r="AB63" s="5">
        <v>17737</v>
      </c>
      <c r="AC63" s="5">
        <v>17561</v>
      </c>
      <c r="AD63" s="5">
        <v>73157</v>
      </c>
      <c r="AE63" s="5"/>
      <c r="AF63" s="5">
        <v>108455</v>
      </c>
      <c r="AI63" s="1">
        <v>39264</v>
      </c>
      <c r="AJ63">
        <v>125488</v>
      </c>
      <c r="AK63" t="s">
        <v>22</v>
      </c>
      <c r="AN63" s="3">
        <v>40179</v>
      </c>
      <c r="AO63" s="5"/>
      <c r="AP63" s="5">
        <v>23590</v>
      </c>
      <c r="AQ63" s="5">
        <v>60390</v>
      </c>
      <c r="AR63" s="5">
        <v>27562</v>
      </c>
      <c r="AS63" s="5">
        <v>111542</v>
      </c>
      <c r="AW63" s="1">
        <v>39264</v>
      </c>
      <c r="AX63">
        <v>26375</v>
      </c>
      <c r="AY63" t="s">
        <v>23</v>
      </c>
      <c r="BB63" s="3">
        <v>40179</v>
      </c>
      <c r="BC63" s="5"/>
      <c r="BD63" s="5">
        <v>22598</v>
      </c>
      <c r="BE63" s="5">
        <v>27023</v>
      </c>
      <c r="BF63" s="5">
        <v>27335</v>
      </c>
      <c r="BG63" s="5"/>
      <c r="BH63" s="5">
        <v>76956</v>
      </c>
    </row>
    <row r="64" spans="1:60" x14ac:dyDescent="0.25">
      <c r="A64" s="1">
        <v>39630</v>
      </c>
      <c r="B64">
        <v>62302</v>
      </c>
      <c r="C64" t="s">
        <v>2</v>
      </c>
      <c r="J64" s="3">
        <v>40544</v>
      </c>
      <c r="K64" s="5"/>
      <c r="L64" s="5">
        <v>31180</v>
      </c>
      <c r="M64" s="5">
        <v>40868</v>
      </c>
      <c r="N64" s="5">
        <v>36053</v>
      </c>
      <c r="O64" s="5"/>
      <c r="P64" s="5"/>
      <c r="Q64" s="5">
        <v>108101</v>
      </c>
      <c r="U64" s="1">
        <v>39295</v>
      </c>
      <c r="V64">
        <v>1317</v>
      </c>
      <c r="W64" t="s">
        <v>14</v>
      </c>
      <c r="AA64" s="3">
        <v>40544</v>
      </c>
      <c r="AB64" s="5">
        <v>14937</v>
      </c>
      <c r="AC64" s="5">
        <v>21831</v>
      </c>
      <c r="AD64" s="5">
        <v>71333</v>
      </c>
      <c r="AE64" s="5"/>
      <c r="AF64" s="5">
        <v>108101</v>
      </c>
      <c r="AI64" s="1">
        <v>39295</v>
      </c>
      <c r="AJ64">
        <v>118350</v>
      </c>
      <c r="AK64" t="s">
        <v>22</v>
      </c>
      <c r="AN64" s="3">
        <v>40210</v>
      </c>
      <c r="AO64" s="5"/>
      <c r="AP64" s="5">
        <v>26564</v>
      </c>
      <c r="AQ64" s="5">
        <v>54738</v>
      </c>
      <c r="AR64" s="5">
        <v>29806</v>
      </c>
      <c r="AS64" s="5">
        <v>111108</v>
      </c>
      <c r="AW64" s="1">
        <v>39295</v>
      </c>
      <c r="AX64">
        <v>21015</v>
      </c>
      <c r="AY64" t="s">
        <v>23</v>
      </c>
      <c r="BB64" s="3">
        <v>40210</v>
      </c>
      <c r="BC64" s="5"/>
      <c r="BD64" s="5">
        <v>26006</v>
      </c>
      <c r="BE64" s="5">
        <v>24131</v>
      </c>
      <c r="BF64" s="5">
        <v>31066</v>
      </c>
      <c r="BG64" s="5"/>
      <c r="BH64" s="5">
        <v>81203</v>
      </c>
    </row>
    <row r="65" spans="1:60" x14ac:dyDescent="0.25">
      <c r="A65" s="1">
        <v>39630</v>
      </c>
      <c r="B65">
        <v>15169</v>
      </c>
      <c r="C65" t="s">
        <v>3</v>
      </c>
      <c r="J65" s="3">
        <v>40575</v>
      </c>
      <c r="K65" s="5">
        <v>150</v>
      </c>
      <c r="L65" s="5">
        <v>36604</v>
      </c>
      <c r="M65" s="5">
        <v>38825</v>
      </c>
      <c r="N65" s="5">
        <v>24920</v>
      </c>
      <c r="O65" s="5"/>
      <c r="P65" s="5"/>
      <c r="Q65" s="5">
        <v>100499</v>
      </c>
      <c r="U65" s="1">
        <v>39326</v>
      </c>
      <c r="V65">
        <v>55888</v>
      </c>
      <c r="W65" t="s">
        <v>15</v>
      </c>
      <c r="AA65" s="3">
        <v>40575</v>
      </c>
      <c r="AB65" s="5">
        <v>17490</v>
      </c>
      <c r="AC65" s="5">
        <v>22007</v>
      </c>
      <c r="AD65" s="5">
        <v>61002</v>
      </c>
      <c r="AE65" s="5"/>
      <c r="AF65" s="5">
        <v>100499</v>
      </c>
      <c r="AI65" s="1">
        <v>39295</v>
      </c>
      <c r="AJ65">
        <v>17435</v>
      </c>
      <c r="AK65" t="s">
        <v>23</v>
      </c>
      <c r="AN65" s="3">
        <v>40238</v>
      </c>
      <c r="AO65" s="5"/>
      <c r="AP65" s="5">
        <v>24648</v>
      </c>
      <c r="AQ65" s="5">
        <v>43730</v>
      </c>
      <c r="AR65" s="5">
        <v>25134</v>
      </c>
      <c r="AS65" s="5">
        <v>93512</v>
      </c>
      <c r="AW65" s="1">
        <v>39295</v>
      </c>
      <c r="AX65">
        <v>29663</v>
      </c>
      <c r="AY65" t="s">
        <v>22</v>
      </c>
      <c r="BB65" s="3">
        <v>40238</v>
      </c>
      <c r="BC65" s="5"/>
      <c r="BD65" s="5">
        <v>24778</v>
      </c>
      <c r="BE65" s="5">
        <v>15542</v>
      </c>
      <c r="BF65" s="5">
        <v>24996</v>
      </c>
      <c r="BG65" s="5"/>
      <c r="BH65" s="5">
        <v>65316</v>
      </c>
    </row>
    <row r="66" spans="1:60" x14ac:dyDescent="0.25">
      <c r="A66" s="1">
        <v>39661</v>
      </c>
      <c r="B66">
        <v>68339</v>
      </c>
      <c r="C66" t="s">
        <v>2</v>
      </c>
      <c r="J66" s="3">
        <v>40603</v>
      </c>
      <c r="K66" s="5">
        <v>2646</v>
      </c>
      <c r="L66" s="5">
        <v>19980</v>
      </c>
      <c r="M66" s="5">
        <v>29596</v>
      </c>
      <c r="N66" s="5">
        <v>11405</v>
      </c>
      <c r="O66" s="5"/>
      <c r="P66" s="5"/>
      <c r="Q66" s="5">
        <v>63627</v>
      </c>
      <c r="U66" s="1">
        <v>39326</v>
      </c>
      <c r="V66">
        <v>97102</v>
      </c>
      <c r="W66" t="s">
        <v>16</v>
      </c>
      <c r="AA66" s="3">
        <v>40603</v>
      </c>
      <c r="AB66" s="5">
        <v>10517</v>
      </c>
      <c r="AC66" s="5">
        <v>16260</v>
      </c>
      <c r="AD66" s="5">
        <v>36850</v>
      </c>
      <c r="AE66" s="5"/>
      <c r="AF66" s="5">
        <v>63627</v>
      </c>
      <c r="AI66" s="1">
        <v>39326</v>
      </c>
      <c r="AJ66">
        <v>113663</v>
      </c>
      <c r="AK66" t="s">
        <v>22</v>
      </c>
      <c r="AN66" s="3">
        <v>40269</v>
      </c>
      <c r="AO66" s="5"/>
      <c r="AP66" s="5">
        <v>17440</v>
      </c>
      <c r="AQ66" s="5">
        <v>42612</v>
      </c>
      <c r="AR66" s="5">
        <v>17800</v>
      </c>
      <c r="AS66" s="5">
        <v>77852</v>
      </c>
      <c r="AW66" s="1">
        <v>39326</v>
      </c>
      <c r="AX66">
        <v>24698</v>
      </c>
      <c r="AY66" t="s">
        <v>22</v>
      </c>
      <c r="BB66" s="3">
        <v>40269</v>
      </c>
      <c r="BC66" s="5"/>
      <c r="BD66" s="5">
        <v>19537</v>
      </c>
      <c r="BE66" s="5">
        <v>15025</v>
      </c>
      <c r="BF66" s="5">
        <v>16955</v>
      </c>
      <c r="BG66" s="5"/>
      <c r="BH66" s="5">
        <v>51517</v>
      </c>
    </row>
    <row r="67" spans="1:60" x14ac:dyDescent="0.25">
      <c r="A67" s="1">
        <v>39661</v>
      </c>
      <c r="B67">
        <v>12928</v>
      </c>
      <c r="C67" t="s">
        <v>3</v>
      </c>
      <c r="J67" s="3">
        <v>40634</v>
      </c>
      <c r="K67" s="5">
        <v>10</v>
      </c>
      <c r="L67" s="5">
        <v>18800</v>
      </c>
      <c r="M67" s="5">
        <v>24320</v>
      </c>
      <c r="N67" s="5">
        <v>9549</v>
      </c>
      <c r="O67" s="5"/>
      <c r="P67" s="5"/>
      <c r="Q67" s="5">
        <v>52679</v>
      </c>
      <c r="U67" s="1">
        <v>39326</v>
      </c>
      <c r="V67">
        <v>1309</v>
      </c>
      <c r="W67" t="s">
        <v>14</v>
      </c>
      <c r="AA67" s="3">
        <v>40634</v>
      </c>
      <c r="AB67" s="5">
        <v>9118</v>
      </c>
      <c r="AC67" s="5">
        <v>15307</v>
      </c>
      <c r="AD67" s="5">
        <v>28254</v>
      </c>
      <c r="AE67" s="5"/>
      <c r="AF67" s="5">
        <v>52679</v>
      </c>
      <c r="AI67" s="1">
        <v>39326</v>
      </c>
      <c r="AJ67">
        <v>15467</v>
      </c>
      <c r="AK67" t="s">
        <v>23</v>
      </c>
      <c r="AN67" s="3">
        <v>40299</v>
      </c>
      <c r="AO67" s="5"/>
      <c r="AP67" s="5">
        <v>21045</v>
      </c>
      <c r="AQ67" s="5">
        <v>46375</v>
      </c>
      <c r="AR67" s="5">
        <v>16829</v>
      </c>
      <c r="AS67" s="5">
        <v>84249</v>
      </c>
      <c r="AW67" s="1">
        <v>39326</v>
      </c>
      <c r="AX67">
        <v>16987</v>
      </c>
      <c r="AY67" t="s">
        <v>23</v>
      </c>
      <c r="BB67" s="3">
        <v>40299</v>
      </c>
      <c r="BC67" s="5"/>
      <c r="BD67" s="5">
        <v>23581</v>
      </c>
      <c r="BE67" s="5">
        <v>24751</v>
      </c>
      <c r="BF67" s="5">
        <v>23261</v>
      </c>
      <c r="BG67" s="5"/>
      <c r="BH67" s="5">
        <v>71593</v>
      </c>
    </row>
    <row r="68" spans="1:60" x14ac:dyDescent="0.25">
      <c r="A68" s="1">
        <v>39692</v>
      </c>
      <c r="B68">
        <v>66445</v>
      </c>
      <c r="C68" t="s">
        <v>2</v>
      </c>
      <c r="J68" s="3">
        <v>40664</v>
      </c>
      <c r="K68" s="5"/>
      <c r="L68" s="5">
        <v>12820</v>
      </c>
      <c r="M68" s="5">
        <v>26412</v>
      </c>
      <c r="N68" s="5">
        <v>7249</v>
      </c>
      <c r="O68" s="5"/>
      <c r="P68" s="5"/>
      <c r="Q68" s="5">
        <v>46481</v>
      </c>
      <c r="U68" s="1">
        <v>39356</v>
      </c>
      <c r="V68">
        <v>51812</v>
      </c>
      <c r="W68" t="s">
        <v>15</v>
      </c>
      <c r="AA68" s="3">
        <v>40664</v>
      </c>
      <c r="AB68" s="5">
        <v>5828</v>
      </c>
      <c r="AC68" s="5">
        <v>18349</v>
      </c>
      <c r="AD68" s="5">
        <v>22304</v>
      </c>
      <c r="AE68" s="5"/>
      <c r="AF68" s="5">
        <v>46481</v>
      </c>
      <c r="AI68" s="1">
        <v>39356</v>
      </c>
      <c r="AJ68">
        <v>110255</v>
      </c>
      <c r="AK68" t="s">
        <v>22</v>
      </c>
      <c r="AN68" s="3">
        <v>40330</v>
      </c>
      <c r="AO68" s="5"/>
      <c r="AP68" s="5">
        <v>19445</v>
      </c>
      <c r="AQ68" s="5">
        <v>49599</v>
      </c>
      <c r="AR68" s="5">
        <v>14699</v>
      </c>
      <c r="AS68" s="5">
        <v>83743</v>
      </c>
      <c r="AW68" s="1">
        <v>39356</v>
      </c>
      <c r="AX68">
        <v>24976</v>
      </c>
      <c r="AY68" t="s">
        <v>22</v>
      </c>
      <c r="BB68" s="3">
        <v>40330</v>
      </c>
      <c r="BC68" s="5"/>
      <c r="BD68" s="5">
        <v>21651</v>
      </c>
      <c r="BE68" s="5">
        <v>26297</v>
      </c>
      <c r="BF68" s="5">
        <v>19774</v>
      </c>
      <c r="BG68" s="5"/>
      <c r="BH68" s="5">
        <v>67722</v>
      </c>
    </row>
    <row r="69" spans="1:60" x14ac:dyDescent="0.25">
      <c r="A69" s="1">
        <v>39692</v>
      </c>
      <c r="B69">
        <v>11279</v>
      </c>
      <c r="C69" t="s">
        <v>3</v>
      </c>
      <c r="J69" s="3">
        <v>40695</v>
      </c>
      <c r="K69" s="5"/>
      <c r="L69" s="5">
        <v>12588</v>
      </c>
      <c r="M69" s="5">
        <v>32058</v>
      </c>
      <c r="N69" s="5">
        <v>7079</v>
      </c>
      <c r="O69" s="5"/>
      <c r="P69" s="5"/>
      <c r="Q69" s="5">
        <v>51725</v>
      </c>
      <c r="U69" s="1">
        <v>39356</v>
      </c>
      <c r="V69">
        <v>72966</v>
      </c>
      <c r="W69" t="s">
        <v>16</v>
      </c>
      <c r="AA69" s="3">
        <v>40695</v>
      </c>
      <c r="AB69" s="5">
        <v>5870</v>
      </c>
      <c r="AC69" s="5">
        <v>23616</v>
      </c>
      <c r="AD69" s="5">
        <v>22239</v>
      </c>
      <c r="AE69" s="5"/>
      <c r="AF69" s="5">
        <v>51725</v>
      </c>
      <c r="AI69" s="1">
        <v>39356</v>
      </c>
      <c r="AJ69">
        <v>15255</v>
      </c>
      <c r="AK69" t="s">
        <v>23</v>
      </c>
      <c r="AN69" s="3">
        <v>40360</v>
      </c>
      <c r="AO69" s="5"/>
      <c r="AP69" s="5">
        <v>15205</v>
      </c>
      <c r="AQ69" s="5">
        <v>51493</v>
      </c>
      <c r="AR69" s="5">
        <v>11907</v>
      </c>
      <c r="AS69" s="5">
        <v>78605</v>
      </c>
      <c r="AW69" s="1">
        <v>39356</v>
      </c>
      <c r="AX69">
        <v>18729</v>
      </c>
      <c r="AY69" t="s">
        <v>23</v>
      </c>
      <c r="BB69" s="3">
        <v>40360</v>
      </c>
      <c r="BC69" s="5"/>
      <c r="BD69" s="5">
        <v>17093</v>
      </c>
      <c r="BE69" s="5">
        <v>29344</v>
      </c>
      <c r="BF69" s="5">
        <v>16373</v>
      </c>
      <c r="BG69" s="5"/>
      <c r="BH69" s="5">
        <v>62810</v>
      </c>
    </row>
    <row r="70" spans="1:60" x14ac:dyDescent="0.25">
      <c r="A70" s="1">
        <v>39722</v>
      </c>
      <c r="B70">
        <v>9037</v>
      </c>
      <c r="C70" t="s">
        <v>3</v>
      </c>
      <c r="J70" s="3">
        <v>40725</v>
      </c>
      <c r="K70" s="5"/>
      <c r="L70" s="5">
        <v>11579</v>
      </c>
      <c r="M70" s="5">
        <v>25325</v>
      </c>
      <c r="N70" s="5">
        <v>5161</v>
      </c>
      <c r="O70" s="5"/>
      <c r="P70" s="5"/>
      <c r="Q70" s="5">
        <v>42065</v>
      </c>
      <c r="U70" s="1">
        <v>39356</v>
      </c>
      <c r="V70">
        <v>1507</v>
      </c>
      <c r="W70" t="s">
        <v>14</v>
      </c>
      <c r="AA70" s="3">
        <v>40725</v>
      </c>
      <c r="AB70" s="5">
        <v>6101</v>
      </c>
      <c r="AC70" s="5">
        <v>19009</v>
      </c>
      <c r="AD70" s="5">
        <v>16955</v>
      </c>
      <c r="AE70" s="5"/>
      <c r="AF70" s="5">
        <v>42065</v>
      </c>
      <c r="AI70" s="1">
        <v>39387</v>
      </c>
      <c r="AJ70">
        <v>99633</v>
      </c>
      <c r="AK70" t="s">
        <v>22</v>
      </c>
      <c r="AN70" s="3">
        <v>40391</v>
      </c>
      <c r="AO70" s="5"/>
      <c r="AP70" s="5">
        <v>21345</v>
      </c>
      <c r="AQ70" s="5">
        <v>55048</v>
      </c>
      <c r="AR70" s="5">
        <v>16456</v>
      </c>
      <c r="AS70" s="5">
        <v>92849</v>
      </c>
      <c r="AW70" s="1">
        <v>39387</v>
      </c>
      <c r="AX70">
        <v>20447</v>
      </c>
      <c r="AY70" t="s">
        <v>23</v>
      </c>
      <c r="BB70" s="3">
        <v>40391</v>
      </c>
      <c r="BC70" s="5"/>
      <c r="BD70" s="5">
        <v>19377</v>
      </c>
      <c r="BE70" s="5">
        <v>36104</v>
      </c>
      <c r="BF70" s="5">
        <v>22123</v>
      </c>
      <c r="BG70" s="5"/>
      <c r="BH70" s="5">
        <v>77604</v>
      </c>
    </row>
    <row r="71" spans="1:60" x14ac:dyDescent="0.25">
      <c r="A71" s="1">
        <v>39722</v>
      </c>
      <c r="B71">
        <v>45734</v>
      </c>
      <c r="C71" t="s">
        <v>2</v>
      </c>
      <c r="J71" s="3">
        <v>40756</v>
      </c>
      <c r="K71" s="5"/>
      <c r="L71" s="5">
        <v>13279</v>
      </c>
      <c r="M71" s="5">
        <v>34306</v>
      </c>
      <c r="N71" s="5">
        <v>8995</v>
      </c>
      <c r="O71" s="5"/>
      <c r="P71" s="5"/>
      <c r="Q71" s="5">
        <v>56580</v>
      </c>
      <c r="U71" s="1">
        <v>39387</v>
      </c>
      <c r="V71">
        <v>61078</v>
      </c>
      <c r="W71" t="s">
        <v>15</v>
      </c>
      <c r="AA71" s="3">
        <v>40756</v>
      </c>
      <c r="AB71" s="5">
        <v>6179</v>
      </c>
      <c r="AC71" s="5">
        <v>25639</v>
      </c>
      <c r="AD71" s="5">
        <v>24762</v>
      </c>
      <c r="AE71" s="5"/>
      <c r="AF71" s="5">
        <v>56580</v>
      </c>
      <c r="AI71" s="1">
        <v>39387</v>
      </c>
      <c r="AJ71">
        <v>18097</v>
      </c>
      <c r="AK71" t="s">
        <v>23</v>
      </c>
      <c r="AN71" s="3">
        <v>40422</v>
      </c>
      <c r="AO71" s="5"/>
      <c r="AP71" s="5">
        <v>28168</v>
      </c>
      <c r="AQ71" s="5">
        <v>40328</v>
      </c>
      <c r="AR71" s="5">
        <v>22322</v>
      </c>
      <c r="AS71" s="5">
        <v>90818</v>
      </c>
      <c r="AW71" s="1">
        <v>39387</v>
      </c>
      <c r="AX71">
        <v>22959</v>
      </c>
      <c r="AY71" t="s">
        <v>22</v>
      </c>
      <c r="BB71" s="3">
        <v>40422</v>
      </c>
      <c r="BC71" s="5"/>
      <c r="BD71" s="5">
        <v>25614</v>
      </c>
      <c r="BE71" s="5">
        <v>28611</v>
      </c>
      <c r="BF71" s="5">
        <v>34966</v>
      </c>
      <c r="BG71" s="5"/>
      <c r="BH71" s="5">
        <v>89191</v>
      </c>
    </row>
    <row r="72" spans="1:60" x14ac:dyDescent="0.25">
      <c r="A72" s="1">
        <v>39753</v>
      </c>
      <c r="B72">
        <v>13338</v>
      </c>
      <c r="C72" t="s">
        <v>3</v>
      </c>
      <c r="J72" s="3">
        <v>40787</v>
      </c>
      <c r="K72" s="5"/>
      <c r="L72" s="5">
        <v>15550</v>
      </c>
      <c r="M72" s="5">
        <v>35181</v>
      </c>
      <c r="N72" s="5">
        <v>9559</v>
      </c>
      <c r="O72" s="5"/>
      <c r="P72" s="5"/>
      <c r="Q72" s="5">
        <v>60290</v>
      </c>
      <c r="U72" s="1">
        <v>39387</v>
      </c>
      <c r="V72">
        <v>77897</v>
      </c>
      <c r="W72" t="s">
        <v>16</v>
      </c>
      <c r="AA72" s="3">
        <v>40787</v>
      </c>
      <c r="AB72" s="5">
        <v>7308</v>
      </c>
      <c r="AC72" s="5">
        <v>27102</v>
      </c>
      <c r="AD72" s="5">
        <v>25880</v>
      </c>
      <c r="AE72" s="5"/>
      <c r="AF72" s="5">
        <v>60290</v>
      </c>
      <c r="AI72" s="1">
        <v>39417</v>
      </c>
      <c r="AJ72">
        <v>101090</v>
      </c>
      <c r="AK72" t="s">
        <v>22</v>
      </c>
      <c r="AN72" s="3">
        <v>40452</v>
      </c>
      <c r="AO72" s="5"/>
      <c r="AP72" s="5">
        <v>33340</v>
      </c>
      <c r="AQ72" s="5">
        <v>41549</v>
      </c>
      <c r="AR72" s="5">
        <v>30002</v>
      </c>
      <c r="AS72" s="5">
        <v>104891</v>
      </c>
      <c r="AW72" s="1">
        <v>39417</v>
      </c>
      <c r="AX72">
        <v>25043</v>
      </c>
      <c r="AY72" t="s">
        <v>22</v>
      </c>
      <c r="BB72" s="3">
        <v>40452</v>
      </c>
      <c r="BC72" s="5"/>
      <c r="BD72" s="5">
        <v>35899</v>
      </c>
      <c r="BE72" s="5">
        <v>34726</v>
      </c>
      <c r="BF72" s="5">
        <v>54825</v>
      </c>
      <c r="BG72" s="5"/>
      <c r="BH72" s="5">
        <v>125450</v>
      </c>
    </row>
    <row r="73" spans="1:60" x14ac:dyDescent="0.25">
      <c r="A73" s="1">
        <v>39753</v>
      </c>
      <c r="B73">
        <v>43655</v>
      </c>
      <c r="C73" t="s">
        <v>2</v>
      </c>
      <c r="J73" s="3">
        <v>40817</v>
      </c>
      <c r="K73" s="5"/>
      <c r="L73" s="5">
        <v>16474</v>
      </c>
      <c r="M73" s="5">
        <v>28354</v>
      </c>
      <c r="N73" s="5">
        <v>15321</v>
      </c>
      <c r="O73" s="5"/>
      <c r="P73" s="5"/>
      <c r="Q73" s="5">
        <v>60149</v>
      </c>
      <c r="U73" s="1">
        <v>39387</v>
      </c>
      <c r="V73">
        <v>1555</v>
      </c>
      <c r="W73" t="s">
        <v>14</v>
      </c>
      <c r="AA73" s="3">
        <v>40817</v>
      </c>
      <c r="AB73" s="5">
        <v>7216</v>
      </c>
      <c r="AC73" s="5">
        <v>20424</v>
      </c>
      <c r="AD73" s="5">
        <v>32509</v>
      </c>
      <c r="AE73" s="5"/>
      <c r="AF73" s="5">
        <v>60149</v>
      </c>
      <c r="AI73" s="1">
        <v>39417</v>
      </c>
      <c r="AJ73">
        <v>21973</v>
      </c>
      <c r="AK73" t="s">
        <v>23</v>
      </c>
      <c r="AN73" s="3">
        <v>40483</v>
      </c>
      <c r="AO73" s="5"/>
      <c r="AP73" s="5">
        <v>38106</v>
      </c>
      <c r="AQ73" s="5">
        <v>37450</v>
      </c>
      <c r="AR73" s="5">
        <v>30869</v>
      </c>
      <c r="AS73" s="5">
        <v>106425</v>
      </c>
      <c r="AW73" s="1">
        <v>39417</v>
      </c>
      <c r="AX73">
        <v>25996</v>
      </c>
      <c r="AY73" t="s">
        <v>23</v>
      </c>
      <c r="BB73" s="3">
        <v>40483</v>
      </c>
      <c r="BC73" s="5"/>
      <c r="BD73" s="5">
        <v>39955</v>
      </c>
      <c r="BE73" s="5">
        <v>34796</v>
      </c>
      <c r="BF73" s="5">
        <v>65313</v>
      </c>
      <c r="BG73" s="5"/>
      <c r="BH73" s="5">
        <v>140064</v>
      </c>
    </row>
    <row r="74" spans="1:60" x14ac:dyDescent="0.25">
      <c r="A74" s="1">
        <v>39783</v>
      </c>
      <c r="B74">
        <v>12980</v>
      </c>
      <c r="C74" t="s">
        <v>3</v>
      </c>
      <c r="J74" s="3">
        <v>40848</v>
      </c>
      <c r="K74" s="5">
        <v>16</v>
      </c>
      <c r="L74" s="5">
        <v>15358</v>
      </c>
      <c r="M74" s="5">
        <v>22321</v>
      </c>
      <c r="N74" s="5">
        <v>16181</v>
      </c>
      <c r="O74" s="5"/>
      <c r="P74" s="5"/>
      <c r="Q74" s="5">
        <v>53876</v>
      </c>
      <c r="U74" s="1">
        <v>39417</v>
      </c>
      <c r="V74">
        <v>60449</v>
      </c>
      <c r="W74" t="s">
        <v>15</v>
      </c>
      <c r="AA74" s="3">
        <v>40848</v>
      </c>
      <c r="AB74" s="5">
        <v>6751</v>
      </c>
      <c r="AC74" s="5">
        <v>15277</v>
      </c>
      <c r="AD74" s="5">
        <v>31848</v>
      </c>
      <c r="AE74" s="5"/>
      <c r="AF74" s="5">
        <v>53876</v>
      </c>
      <c r="AI74" s="1">
        <v>39448</v>
      </c>
      <c r="AJ74">
        <v>88196</v>
      </c>
      <c r="AK74" t="s">
        <v>22</v>
      </c>
      <c r="AN74" s="3">
        <v>40513</v>
      </c>
      <c r="AO74" s="5"/>
      <c r="AP74" s="5">
        <v>43237</v>
      </c>
      <c r="AQ74" s="5">
        <v>38964</v>
      </c>
      <c r="AR74" s="5">
        <v>34888</v>
      </c>
      <c r="AS74" s="5">
        <v>117089</v>
      </c>
      <c r="AW74" s="1">
        <v>39448</v>
      </c>
      <c r="AX74">
        <v>25319</v>
      </c>
      <c r="AY74" t="s">
        <v>23</v>
      </c>
      <c r="BB74" s="3">
        <v>40513</v>
      </c>
      <c r="BC74" s="5"/>
      <c r="BD74" s="5">
        <v>43745</v>
      </c>
      <c r="BE74" s="5">
        <v>32088</v>
      </c>
      <c r="BF74" s="5">
        <v>68437</v>
      </c>
      <c r="BG74" s="5"/>
      <c r="BH74" s="5">
        <v>144270</v>
      </c>
    </row>
    <row r="75" spans="1:60" x14ac:dyDescent="0.25">
      <c r="A75" s="1">
        <v>39783</v>
      </c>
      <c r="B75">
        <v>50259</v>
      </c>
      <c r="C75" t="s">
        <v>2</v>
      </c>
      <c r="J75" s="3">
        <v>40878</v>
      </c>
      <c r="K75" s="5"/>
      <c r="L75" s="5">
        <v>17850</v>
      </c>
      <c r="M75" s="5">
        <v>12661</v>
      </c>
      <c r="N75" s="5">
        <v>13058</v>
      </c>
      <c r="O75" s="5"/>
      <c r="P75" s="5"/>
      <c r="Q75" s="5">
        <v>43569</v>
      </c>
      <c r="U75" s="1">
        <v>39417</v>
      </c>
      <c r="V75">
        <v>69883</v>
      </c>
      <c r="W75" t="s">
        <v>16</v>
      </c>
      <c r="AA75" s="3">
        <v>40878</v>
      </c>
      <c r="AB75" s="5">
        <v>5539</v>
      </c>
      <c r="AC75" s="5">
        <v>7570</v>
      </c>
      <c r="AD75" s="5">
        <v>30460</v>
      </c>
      <c r="AE75" s="5"/>
      <c r="AF75" s="5">
        <v>43569</v>
      </c>
      <c r="AI75" s="1">
        <v>39448</v>
      </c>
      <c r="AJ75">
        <v>20897</v>
      </c>
      <c r="AK75" t="s">
        <v>23</v>
      </c>
      <c r="AN75" s="3">
        <v>40544</v>
      </c>
      <c r="AO75" s="5"/>
      <c r="AP75" s="5">
        <v>44477</v>
      </c>
      <c r="AQ75" s="5">
        <v>36931</v>
      </c>
      <c r="AR75" s="5">
        <v>33215</v>
      </c>
      <c r="AS75" s="5">
        <v>114623</v>
      </c>
      <c r="AW75" s="1">
        <v>39448</v>
      </c>
      <c r="AX75">
        <v>24510</v>
      </c>
      <c r="AY75" t="s">
        <v>22</v>
      </c>
      <c r="BB75" s="3">
        <v>40544</v>
      </c>
      <c r="BC75" s="5"/>
      <c r="BD75" s="5">
        <v>44688</v>
      </c>
      <c r="BE75" s="5">
        <v>31798</v>
      </c>
      <c r="BF75" s="5">
        <v>71391</v>
      </c>
      <c r="BG75" s="5"/>
      <c r="BH75" s="5">
        <v>147877</v>
      </c>
    </row>
    <row r="76" spans="1:60" x14ac:dyDescent="0.25">
      <c r="A76" s="1">
        <v>39814</v>
      </c>
      <c r="B76">
        <v>20693</v>
      </c>
      <c r="C76" t="s">
        <v>3</v>
      </c>
      <c r="J76" s="3">
        <v>40909</v>
      </c>
      <c r="K76" s="5"/>
      <c r="L76" s="5">
        <v>21469</v>
      </c>
      <c r="M76" s="5">
        <v>26095</v>
      </c>
      <c r="N76" s="5">
        <v>21613</v>
      </c>
      <c r="O76" s="5"/>
      <c r="P76" s="5"/>
      <c r="Q76" s="5">
        <v>69177</v>
      </c>
      <c r="U76" s="1">
        <v>39417</v>
      </c>
      <c r="V76">
        <v>1580</v>
      </c>
      <c r="W76" t="s">
        <v>14</v>
      </c>
      <c r="AA76" s="3">
        <v>40909</v>
      </c>
      <c r="AB76" s="5">
        <v>12378</v>
      </c>
      <c r="AC76" s="5">
        <v>16546</v>
      </c>
      <c r="AD76" s="5">
        <v>40253</v>
      </c>
      <c r="AE76" s="5"/>
      <c r="AF76" s="5">
        <v>69177</v>
      </c>
      <c r="AI76" s="1">
        <v>39479</v>
      </c>
      <c r="AJ76">
        <v>30555</v>
      </c>
      <c r="AK76" t="s">
        <v>23</v>
      </c>
      <c r="AN76" s="3">
        <v>40575</v>
      </c>
      <c r="AO76" s="5"/>
      <c r="AP76" s="5">
        <v>37322</v>
      </c>
      <c r="AQ76" s="5">
        <v>41383</v>
      </c>
      <c r="AR76" s="5">
        <v>30768</v>
      </c>
      <c r="AS76" s="5">
        <v>109473</v>
      </c>
      <c r="AW76" s="1">
        <v>39479</v>
      </c>
      <c r="AX76">
        <v>27711</v>
      </c>
      <c r="AY76" t="s">
        <v>23</v>
      </c>
      <c r="BB76" s="3">
        <v>40575</v>
      </c>
      <c r="BC76" s="5"/>
      <c r="BD76" s="5">
        <v>43163</v>
      </c>
      <c r="BE76" s="5">
        <v>32165</v>
      </c>
      <c r="BF76" s="5">
        <v>61672</v>
      </c>
      <c r="BG76" s="5"/>
      <c r="BH76" s="5">
        <v>137000</v>
      </c>
    </row>
    <row r="77" spans="1:60" x14ac:dyDescent="0.25">
      <c r="A77" s="1">
        <v>39814</v>
      </c>
      <c r="B77">
        <v>45008</v>
      </c>
      <c r="C77" t="s">
        <v>2</v>
      </c>
      <c r="J77" s="3">
        <v>40940</v>
      </c>
      <c r="K77" s="5"/>
      <c r="L77" s="5">
        <v>19436</v>
      </c>
      <c r="M77" s="5">
        <v>35310</v>
      </c>
      <c r="N77" s="5">
        <v>35057</v>
      </c>
      <c r="O77" s="5"/>
      <c r="P77" s="5"/>
      <c r="Q77" s="5">
        <v>89803</v>
      </c>
      <c r="U77" s="1">
        <v>39448</v>
      </c>
      <c r="V77">
        <v>60598</v>
      </c>
      <c r="W77" t="s">
        <v>15</v>
      </c>
      <c r="AA77" s="3">
        <v>40940</v>
      </c>
      <c r="AB77" s="5">
        <v>9871</v>
      </c>
      <c r="AC77" s="5">
        <v>20135</v>
      </c>
      <c r="AD77" s="5">
        <v>59797</v>
      </c>
      <c r="AE77" s="5"/>
      <c r="AF77" s="5">
        <v>89803</v>
      </c>
      <c r="AI77" s="1">
        <v>39479</v>
      </c>
      <c r="AJ77">
        <v>95942</v>
      </c>
      <c r="AK77" t="s">
        <v>22</v>
      </c>
      <c r="AN77" s="3">
        <v>40603</v>
      </c>
      <c r="AO77" s="5"/>
      <c r="AP77" s="5">
        <v>32289</v>
      </c>
      <c r="AQ77" s="5">
        <v>32412</v>
      </c>
      <c r="AR77" s="5">
        <v>20081</v>
      </c>
      <c r="AS77" s="5">
        <v>84782</v>
      </c>
      <c r="AW77" s="1">
        <v>39479</v>
      </c>
      <c r="AX77">
        <v>23884</v>
      </c>
      <c r="AY77" t="s">
        <v>22</v>
      </c>
      <c r="BB77" s="3">
        <v>40603</v>
      </c>
      <c r="BC77" s="5"/>
      <c r="BD77" s="5">
        <v>37615</v>
      </c>
      <c r="BE77" s="5">
        <v>20587</v>
      </c>
      <c r="BF77" s="5">
        <v>39380</v>
      </c>
      <c r="BG77" s="5"/>
      <c r="BH77" s="5">
        <v>97582</v>
      </c>
    </row>
    <row r="78" spans="1:60" x14ac:dyDescent="0.25">
      <c r="A78" s="1">
        <v>39845</v>
      </c>
      <c r="B78">
        <v>60330</v>
      </c>
      <c r="C78" t="s">
        <v>3</v>
      </c>
      <c r="J78" s="3">
        <v>40969</v>
      </c>
      <c r="K78" s="5"/>
      <c r="L78" s="5">
        <v>29010</v>
      </c>
      <c r="M78" s="5">
        <v>26813</v>
      </c>
      <c r="N78" s="5">
        <v>28239</v>
      </c>
      <c r="O78" s="5"/>
      <c r="P78" s="5"/>
      <c r="Q78" s="5">
        <v>84062</v>
      </c>
      <c r="U78" s="1">
        <v>39448</v>
      </c>
      <c r="V78">
        <v>54557</v>
      </c>
      <c r="W78" t="s">
        <v>16</v>
      </c>
      <c r="AA78" s="3">
        <v>40969</v>
      </c>
      <c r="AB78" s="5">
        <v>16508</v>
      </c>
      <c r="AC78" s="5">
        <v>14854</v>
      </c>
      <c r="AD78" s="5">
        <v>52700</v>
      </c>
      <c r="AE78" s="5"/>
      <c r="AF78" s="5">
        <v>84062</v>
      </c>
      <c r="AI78" s="1">
        <v>39508</v>
      </c>
      <c r="AJ78">
        <v>78249</v>
      </c>
      <c r="AK78" t="s">
        <v>22</v>
      </c>
      <c r="AN78" s="3">
        <v>40634</v>
      </c>
      <c r="AO78" s="5"/>
      <c r="AP78" s="5">
        <v>21224</v>
      </c>
      <c r="AQ78" s="5">
        <v>22609</v>
      </c>
      <c r="AR78" s="5">
        <v>10793</v>
      </c>
      <c r="AS78" s="5">
        <v>54626</v>
      </c>
      <c r="AW78" s="1">
        <v>39508</v>
      </c>
      <c r="AX78">
        <v>20975</v>
      </c>
      <c r="AY78" t="s">
        <v>22</v>
      </c>
      <c r="BB78" s="3">
        <v>40634</v>
      </c>
      <c r="BC78" s="5"/>
      <c r="BD78" s="5">
        <v>30023</v>
      </c>
      <c r="BE78" s="5">
        <v>22676</v>
      </c>
      <c r="BF78" s="5">
        <v>28893</v>
      </c>
      <c r="BG78" s="5"/>
      <c r="BH78" s="5">
        <v>81592</v>
      </c>
    </row>
    <row r="79" spans="1:60" x14ac:dyDescent="0.25">
      <c r="A79" s="1">
        <v>39845</v>
      </c>
      <c r="B79">
        <v>54314</v>
      </c>
      <c r="C79" t="s">
        <v>2</v>
      </c>
      <c r="J79" s="3">
        <v>41000</v>
      </c>
      <c r="K79" s="5"/>
      <c r="L79" s="5">
        <v>18814</v>
      </c>
      <c r="M79" s="5">
        <v>37089</v>
      </c>
      <c r="N79" s="5">
        <v>30739</v>
      </c>
      <c r="O79" s="5"/>
      <c r="P79" s="5"/>
      <c r="Q79" s="5">
        <v>86642</v>
      </c>
      <c r="U79" s="1">
        <v>39448</v>
      </c>
      <c r="V79">
        <v>1271</v>
      </c>
      <c r="W79" t="s">
        <v>14</v>
      </c>
      <c r="AA79" s="3">
        <v>41000</v>
      </c>
      <c r="AB79" s="5">
        <v>12108</v>
      </c>
      <c r="AC79" s="5">
        <v>22249</v>
      </c>
      <c r="AD79" s="5">
        <v>52285</v>
      </c>
      <c r="AE79" s="5"/>
      <c r="AF79" s="5">
        <v>86642</v>
      </c>
      <c r="AI79" s="1">
        <v>39508</v>
      </c>
      <c r="AJ79">
        <v>34268</v>
      </c>
      <c r="AK79" t="s">
        <v>23</v>
      </c>
      <c r="AN79" s="3">
        <v>40664</v>
      </c>
      <c r="AO79" s="5"/>
      <c r="AP79" s="5">
        <v>14491</v>
      </c>
      <c r="AQ79" s="5">
        <v>29809</v>
      </c>
      <c r="AR79" s="5">
        <v>9553</v>
      </c>
      <c r="AS79" s="5">
        <v>53853</v>
      </c>
      <c r="AW79" s="1">
        <v>39508</v>
      </c>
      <c r="AX79">
        <v>31314</v>
      </c>
      <c r="AY79" t="s">
        <v>23</v>
      </c>
      <c r="BB79" s="3">
        <v>40664</v>
      </c>
      <c r="BC79" s="5"/>
      <c r="BD79" s="5">
        <v>30663</v>
      </c>
      <c r="BE79" s="5">
        <v>27054</v>
      </c>
      <c r="BF79" s="5">
        <v>23356</v>
      </c>
      <c r="BG79" s="5"/>
      <c r="BH79" s="5">
        <v>81073</v>
      </c>
    </row>
    <row r="80" spans="1:60" x14ac:dyDescent="0.25">
      <c r="A80" s="1">
        <v>39873</v>
      </c>
      <c r="B80">
        <v>126468</v>
      </c>
      <c r="C80" t="s">
        <v>3</v>
      </c>
      <c r="J80" s="3">
        <v>41030</v>
      </c>
      <c r="K80" s="5">
        <v>28</v>
      </c>
      <c r="L80" s="5">
        <v>22353</v>
      </c>
      <c r="M80" s="5">
        <v>26357</v>
      </c>
      <c r="N80" s="5">
        <v>17578</v>
      </c>
      <c r="O80" s="5"/>
      <c r="P80" s="5"/>
      <c r="Q80" s="5">
        <v>66316</v>
      </c>
      <c r="U80" s="1">
        <v>39479</v>
      </c>
      <c r="V80">
        <v>91402</v>
      </c>
      <c r="W80" t="s">
        <v>15</v>
      </c>
      <c r="AA80" s="3">
        <v>41030</v>
      </c>
      <c r="AB80" s="5">
        <v>12394</v>
      </c>
      <c r="AC80" s="5">
        <v>16856</v>
      </c>
      <c r="AD80" s="5">
        <v>37066</v>
      </c>
      <c r="AE80" s="5"/>
      <c r="AF80" s="5">
        <v>66316</v>
      </c>
      <c r="AI80" s="1">
        <v>39539</v>
      </c>
      <c r="AJ80">
        <v>60058</v>
      </c>
      <c r="AK80" t="s">
        <v>23</v>
      </c>
      <c r="AN80" s="3">
        <v>40695</v>
      </c>
      <c r="AO80" s="5"/>
      <c r="AP80" s="5">
        <v>13261</v>
      </c>
      <c r="AQ80" s="5">
        <v>30453</v>
      </c>
      <c r="AR80" s="5">
        <v>7592</v>
      </c>
      <c r="AS80" s="5">
        <v>51306</v>
      </c>
      <c r="AW80" s="1">
        <v>39539</v>
      </c>
      <c r="AX80">
        <v>22787</v>
      </c>
      <c r="AY80" t="s">
        <v>22</v>
      </c>
      <c r="BB80" s="3">
        <v>40695</v>
      </c>
      <c r="BC80" s="5"/>
      <c r="BD80" s="5">
        <v>26665</v>
      </c>
      <c r="BE80" s="5">
        <v>26124</v>
      </c>
      <c r="BF80" s="5">
        <v>16989</v>
      </c>
      <c r="BG80" s="5"/>
      <c r="BH80" s="5">
        <v>69778</v>
      </c>
    </row>
    <row r="81" spans="1:60" x14ac:dyDescent="0.25">
      <c r="A81" s="1">
        <v>39873</v>
      </c>
      <c r="B81">
        <v>90938</v>
      </c>
      <c r="C81" t="s">
        <v>2</v>
      </c>
      <c r="J81" s="3">
        <v>41061</v>
      </c>
      <c r="K81" s="5"/>
      <c r="L81" s="5">
        <v>23679</v>
      </c>
      <c r="M81" s="5">
        <v>49421</v>
      </c>
      <c r="N81" s="5">
        <v>25831</v>
      </c>
      <c r="O81" s="5"/>
      <c r="P81" s="5"/>
      <c r="Q81" s="5">
        <v>98931</v>
      </c>
      <c r="U81" s="1">
        <v>39479</v>
      </c>
      <c r="V81">
        <v>72837</v>
      </c>
      <c r="W81" t="s">
        <v>16</v>
      </c>
      <c r="AA81" s="3">
        <v>41061</v>
      </c>
      <c r="AB81" s="5">
        <v>15626</v>
      </c>
      <c r="AC81" s="5">
        <v>37261</v>
      </c>
      <c r="AD81" s="5">
        <v>46044</v>
      </c>
      <c r="AE81" s="5"/>
      <c r="AF81" s="5">
        <v>98931</v>
      </c>
      <c r="AI81" s="1">
        <v>39539</v>
      </c>
      <c r="AJ81">
        <v>99187</v>
      </c>
      <c r="AK81" t="s">
        <v>22</v>
      </c>
      <c r="AN81" s="3">
        <v>40725</v>
      </c>
      <c r="AO81" s="5"/>
      <c r="AP81" s="5">
        <v>11117</v>
      </c>
      <c r="AQ81" s="5">
        <v>31433</v>
      </c>
      <c r="AR81" s="5">
        <v>6380</v>
      </c>
      <c r="AS81" s="5">
        <v>48930</v>
      </c>
      <c r="AW81" s="1">
        <v>39539</v>
      </c>
      <c r="AX81">
        <v>42764</v>
      </c>
      <c r="AY81" t="s">
        <v>23</v>
      </c>
      <c r="BB81" s="3">
        <v>40725</v>
      </c>
      <c r="BC81" s="5"/>
      <c r="BD81" s="5">
        <v>24085</v>
      </c>
      <c r="BE81" s="5">
        <v>30974</v>
      </c>
      <c r="BF81" s="5">
        <v>15387</v>
      </c>
      <c r="BG81" s="5"/>
      <c r="BH81" s="5">
        <v>70446</v>
      </c>
    </row>
    <row r="82" spans="1:60" x14ac:dyDescent="0.25">
      <c r="A82" s="1">
        <v>39904</v>
      </c>
      <c r="B82">
        <v>91317</v>
      </c>
      <c r="C82" t="s">
        <v>3</v>
      </c>
      <c r="J82" s="3">
        <v>41091</v>
      </c>
      <c r="K82" s="5"/>
      <c r="L82" s="5">
        <v>21930</v>
      </c>
      <c r="M82" s="5">
        <v>37815</v>
      </c>
      <c r="N82" s="5">
        <v>18827</v>
      </c>
      <c r="O82" s="5"/>
      <c r="P82" s="5"/>
      <c r="Q82" s="5">
        <v>78572</v>
      </c>
      <c r="U82" s="1">
        <v>39479</v>
      </c>
      <c r="V82">
        <v>1484</v>
      </c>
      <c r="W82" t="s">
        <v>14</v>
      </c>
      <c r="AA82" s="3">
        <v>41091</v>
      </c>
      <c r="AB82" s="5">
        <v>14877</v>
      </c>
      <c r="AC82" s="5">
        <v>26911</v>
      </c>
      <c r="AD82" s="5">
        <v>36784</v>
      </c>
      <c r="AE82" s="5"/>
      <c r="AF82" s="5">
        <v>78572</v>
      </c>
      <c r="AI82" s="1">
        <v>39569</v>
      </c>
      <c r="AJ82">
        <v>102401</v>
      </c>
      <c r="AK82" t="s">
        <v>22</v>
      </c>
      <c r="AN82" s="3">
        <v>40756</v>
      </c>
      <c r="AO82" s="5"/>
      <c r="AP82" s="5">
        <v>12492</v>
      </c>
      <c r="AQ82" s="5">
        <v>41640</v>
      </c>
      <c r="AR82" s="5">
        <v>8952</v>
      </c>
      <c r="AS82" s="5">
        <v>63084</v>
      </c>
      <c r="AW82" s="1">
        <v>39569</v>
      </c>
      <c r="AX82">
        <v>21383</v>
      </c>
      <c r="AY82" t="s">
        <v>22</v>
      </c>
      <c r="BB82" s="3">
        <v>40756</v>
      </c>
      <c r="BC82" s="5"/>
      <c r="BD82" s="5">
        <v>26981</v>
      </c>
      <c r="BE82" s="5">
        <v>35877</v>
      </c>
      <c r="BF82" s="5">
        <v>16908</v>
      </c>
      <c r="BG82" s="5"/>
      <c r="BH82" s="5">
        <v>79766</v>
      </c>
    </row>
    <row r="83" spans="1:60" x14ac:dyDescent="0.25">
      <c r="A83" s="1">
        <v>39904</v>
      </c>
      <c r="B83">
        <v>4758</v>
      </c>
      <c r="C83" t="s">
        <v>4</v>
      </c>
      <c r="J83" s="3">
        <v>41122</v>
      </c>
      <c r="K83" s="5"/>
      <c r="L83" s="5">
        <v>25715</v>
      </c>
      <c r="M83" s="5">
        <v>51040</v>
      </c>
      <c r="N83" s="5">
        <v>26774</v>
      </c>
      <c r="O83" s="5"/>
      <c r="P83" s="5"/>
      <c r="Q83" s="5">
        <v>103529</v>
      </c>
      <c r="U83" s="1">
        <v>39508</v>
      </c>
      <c r="V83">
        <v>93377</v>
      </c>
      <c r="W83" t="s">
        <v>15</v>
      </c>
      <c r="AA83" s="3">
        <v>41122</v>
      </c>
      <c r="AB83" s="5">
        <v>13702</v>
      </c>
      <c r="AC83" s="5">
        <v>37843</v>
      </c>
      <c r="AD83" s="5">
        <v>51984</v>
      </c>
      <c r="AE83" s="5"/>
      <c r="AF83" s="5">
        <v>103529</v>
      </c>
      <c r="AI83" s="1">
        <v>39569</v>
      </c>
      <c r="AJ83">
        <v>41596</v>
      </c>
      <c r="AK83" t="s">
        <v>23</v>
      </c>
      <c r="AN83" s="3">
        <v>40787</v>
      </c>
      <c r="AO83" s="5"/>
      <c r="AP83" s="5">
        <v>14123</v>
      </c>
      <c r="AQ83" s="5">
        <v>37088</v>
      </c>
      <c r="AR83" s="5">
        <v>9875</v>
      </c>
      <c r="AS83" s="5">
        <v>61086</v>
      </c>
      <c r="AW83" s="1">
        <v>39569</v>
      </c>
      <c r="AX83">
        <v>31567</v>
      </c>
      <c r="AY83" t="s">
        <v>23</v>
      </c>
      <c r="BB83" s="3">
        <v>40787</v>
      </c>
      <c r="BC83" s="5"/>
      <c r="BD83" s="5">
        <v>26476</v>
      </c>
      <c r="BE83" s="5">
        <v>34579</v>
      </c>
      <c r="BF83" s="5">
        <v>18583</v>
      </c>
      <c r="BG83" s="5"/>
      <c r="BH83" s="5">
        <v>79638</v>
      </c>
    </row>
    <row r="84" spans="1:60" x14ac:dyDescent="0.25">
      <c r="A84" s="1">
        <v>39904</v>
      </c>
      <c r="B84">
        <v>286</v>
      </c>
      <c r="C84" t="s">
        <v>5</v>
      </c>
      <c r="J84" s="3">
        <v>41153</v>
      </c>
      <c r="K84" s="5"/>
      <c r="L84" s="5">
        <v>20098</v>
      </c>
      <c r="M84" s="5">
        <v>34014</v>
      </c>
      <c r="N84" s="5">
        <v>25041</v>
      </c>
      <c r="O84" s="5"/>
      <c r="P84" s="5"/>
      <c r="Q84" s="5">
        <v>79153</v>
      </c>
      <c r="U84" s="1">
        <v>39508</v>
      </c>
      <c r="V84">
        <v>43659</v>
      </c>
      <c r="W84" t="s">
        <v>16</v>
      </c>
      <c r="AA84" s="3">
        <v>41153</v>
      </c>
      <c r="AB84" s="5">
        <v>11344</v>
      </c>
      <c r="AC84" s="5">
        <v>23418</v>
      </c>
      <c r="AD84" s="5">
        <v>44391</v>
      </c>
      <c r="AE84" s="5"/>
      <c r="AF84" s="5">
        <v>79153</v>
      </c>
      <c r="AI84" s="1">
        <v>39600</v>
      </c>
      <c r="AJ84">
        <v>38213</v>
      </c>
      <c r="AK84" t="s">
        <v>23</v>
      </c>
      <c r="AN84" s="3">
        <v>40817</v>
      </c>
      <c r="AO84" s="5"/>
      <c r="AP84" s="5">
        <v>14084</v>
      </c>
      <c r="AQ84" s="5">
        <v>36313</v>
      </c>
      <c r="AR84" s="5">
        <v>11433</v>
      </c>
      <c r="AS84" s="5">
        <v>61830</v>
      </c>
      <c r="AW84" s="1">
        <v>39600</v>
      </c>
      <c r="AX84">
        <v>29505</v>
      </c>
      <c r="AY84" t="s">
        <v>23</v>
      </c>
      <c r="BB84" s="3">
        <v>40817</v>
      </c>
      <c r="BC84" s="5"/>
      <c r="BD84" s="5">
        <v>26683</v>
      </c>
      <c r="BE84" s="5">
        <v>40512</v>
      </c>
      <c r="BF84" s="5">
        <v>25002</v>
      </c>
      <c r="BG84" s="5"/>
      <c r="BH84" s="5">
        <v>92197</v>
      </c>
    </row>
    <row r="85" spans="1:60" x14ac:dyDescent="0.25">
      <c r="A85" s="1">
        <v>39904</v>
      </c>
      <c r="B85">
        <v>70127</v>
      </c>
      <c r="C85" t="s">
        <v>2</v>
      </c>
      <c r="J85" s="3">
        <v>41183</v>
      </c>
      <c r="K85" s="5"/>
      <c r="L85" s="5">
        <v>23340</v>
      </c>
      <c r="M85" s="5">
        <v>50866</v>
      </c>
      <c r="N85" s="5">
        <v>38833</v>
      </c>
      <c r="O85" s="5"/>
      <c r="P85" s="5"/>
      <c r="Q85" s="5">
        <v>113039</v>
      </c>
      <c r="U85" s="1">
        <v>39508</v>
      </c>
      <c r="V85">
        <v>1372</v>
      </c>
      <c r="W85" t="s">
        <v>14</v>
      </c>
      <c r="AA85" s="3">
        <v>41183</v>
      </c>
      <c r="AB85" s="5">
        <v>12699</v>
      </c>
      <c r="AC85" s="5">
        <v>34325</v>
      </c>
      <c r="AD85" s="5">
        <v>66015</v>
      </c>
      <c r="AE85" s="5"/>
      <c r="AF85" s="5">
        <v>113039</v>
      </c>
      <c r="AI85" s="1">
        <v>39600</v>
      </c>
      <c r="AJ85">
        <v>98365</v>
      </c>
      <c r="AK85" t="s">
        <v>22</v>
      </c>
      <c r="AN85" s="3">
        <v>40848</v>
      </c>
      <c r="AO85" s="5"/>
      <c r="AP85" s="5">
        <v>17551</v>
      </c>
      <c r="AQ85" s="5">
        <v>32247</v>
      </c>
      <c r="AR85" s="5">
        <v>22206</v>
      </c>
      <c r="AS85" s="5">
        <v>72004</v>
      </c>
      <c r="AW85" s="1">
        <v>39600</v>
      </c>
      <c r="AX85">
        <v>22525</v>
      </c>
      <c r="AY85" t="s">
        <v>22</v>
      </c>
      <c r="BB85" s="3">
        <v>40848</v>
      </c>
      <c r="BC85" s="5"/>
      <c r="BD85" s="5">
        <v>28920</v>
      </c>
      <c r="BE85" s="5">
        <v>39519</v>
      </c>
      <c r="BF85" s="5">
        <v>40035</v>
      </c>
      <c r="BG85" s="5"/>
      <c r="BH85" s="5">
        <v>108474</v>
      </c>
    </row>
    <row r="86" spans="1:60" x14ac:dyDescent="0.25">
      <c r="A86" s="1">
        <v>39934</v>
      </c>
      <c r="B86">
        <v>25662</v>
      </c>
      <c r="C86" t="s">
        <v>3</v>
      </c>
      <c r="J86" s="3">
        <v>41214</v>
      </c>
      <c r="K86" s="5">
        <v>1190</v>
      </c>
      <c r="L86" s="5">
        <v>40576</v>
      </c>
      <c r="M86" s="5">
        <v>70841</v>
      </c>
      <c r="N86" s="5">
        <v>49783</v>
      </c>
      <c r="O86" s="5"/>
      <c r="P86" s="5"/>
      <c r="Q86" s="5">
        <v>162390</v>
      </c>
      <c r="U86" s="1">
        <v>39539</v>
      </c>
      <c r="V86">
        <v>91357</v>
      </c>
      <c r="W86" t="s">
        <v>15</v>
      </c>
      <c r="AA86" s="3">
        <v>41214</v>
      </c>
      <c r="AB86" s="5">
        <v>21038</v>
      </c>
      <c r="AC86" s="5">
        <v>46278</v>
      </c>
      <c r="AD86" s="5">
        <v>95074</v>
      </c>
      <c r="AE86" s="5"/>
      <c r="AF86" s="5">
        <v>162390</v>
      </c>
      <c r="AI86" s="1">
        <v>39630</v>
      </c>
      <c r="AJ86">
        <v>81925</v>
      </c>
      <c r="AK86" t="s">
        <v>22</v>
      </c>
      <c r="AN86" s="3">
        <v>40878</v>
      </c>
      <c r="AO86" s="5"/>
      <c r="AP86" s="5">
        <v>20154</v>
      </c>
      <c r="AQ86" s="5">
        <v>24462</v>
      </c>
      <c r="AR86" s="5">
        <v>21822</v>
      </c>
      <c r="AS86" s="5">
        <v>66438</v>
      </c>
      <c r="AW86" s="1">
        <v>39630</v>
      </c>
      <c r="AX86">
        <v>23075</v>
      </c>
      <c r="AY86" t="s">
        <v>22</v>
      </c>
      <c r="BB86" s="3">
        <v>40878</v>
      </c>
      <c r="BC86" s="5"/>
      <c r="BD86" s="5">
        <v>35167</v>
      </c>
      <c r="BE86" s="5">
        <v>45073</v>
      </c>
      <c r="BF86" s="5">
        <v>62449</v>
      </c>
      <c r="BG86" s="5"/>
      <c r="BH86" s="5">
        <v>142689</v>
      </c>
    </row>
    <row r="87" spans="1:60" x14ac:dyDescent="0.25">
      <c r="A87" s="1">
        <v>39934</v>
      </c>
      <c r="B87">
        <v>51705</v>
      </c>
      <c r="C87" t="s">
        <v>4</v>
      </c>
      <c r="J87" s="3">
        <v>41244</v>
      </c>
      <c r="K87" s="5">
        <v>7</v>
      </c>
      <c r="L87" s="5">
        <v>16073</v>
      </c>
      <c r="M87" s="5">
        <v>26902</v>
      </c>
      <c r="N87" s="5">
        <v>23978</v>
      </c>
      <c r="O87" s="5"/>
      <c r="P87" s="5"/>
      <c r="Q87" s="5">
        <v>66960</v>
      </c>
      <c r="U87" s="1">
        <v>39539</v>
      </c>
      <c r="V87">
        <v>50960</v>
      </c>
      <c r="W87" t="s">
        <v>16</v>
      </c>
      <c r="AA87" s="3">
        <v>41244</v>
      </c>
      <c r="AB87" s="5">
        <v>8801</v>
      </c>
      <c r="AC87" s="5">
        <v>16571</v>
      </c>
      <c r="AD87" s="5">
        <v>41588</v>
      </c>
      <c r="AE87" s="5"/>
      <c r="AF87" s="5">
        <v>66960</v>
      </c>
      <c r="AI87" s="1">
        <v>39630</v>
      </c>
      <c r="AJ87">
        <v>23471</v>
      </c>
      <c r="AK87" t="s">
        <v>23</v>
      </c>
      <c r="AN87" s="3">
        <v>40909</v>
      </c>
      <c r="AO87" s="5"/>
      <c r="AP87" s="5">
        <v>21857</v>
      </c>
      <c r="AQ87" s="5">
        <v>25527</v>
      </c>
      <c r="AR87" s="5">
        <v>22762</v>
      </c>
      <c r="AS87" s="5">
        <v>70146</v>
      </c>
      <c r="AW87" s="1">
        <v>39630</v>
      </c>
      <c r="AX87">
        <v>22067</v>
      </c>
      <c r="AY87" t="s">
        <v>23</v>
      </c>
      <c r="BB87" s="3">
        <v>40909</v>
      </c>
      <c r="BC87" s="5"/>
      <c r="BD87" s="5">
        <v>36302</v>
      </c>
      <c r="BE87" s="5">
        <v>43789</v>
      </c>
      <c r="BF87" s="5">
        <v>69339</v>
      </c>
      <c r="BG87" s="5"/>
      <c r="BH87" s="5">
        <v>149430</v>
      </c>
    </row>
    <row r="88" spans="1:60" x14ac:dyDescent="0.25">
      <c r="A88" s="1">
        <v>39934</v>
      </c>
      <c r="B88">
        <v>5842</v>
      </c>
      <c r="C88" t="s">
        <v>5</v>
      </c>
      <c r="J88" s="3">
        <v>41275</v>
      </c>
      <c r="K88" s="5"/>
      <c r="L88" s="5">
        <v>31891</v>
      </c>
      <c r="M88" s="5">
        <v>42899</v>
      </c>
      <c r="N88" s="5">
        <v>39760</v>
      </c>
      <c r="O88" s="5"/>
      <c r="P88" s="5"/>
      <c r="Q88" s="5">
        <v>114550</v>
      </c>
      <c r="U88" s="1">
        <v>39539</v>
      </c>
      <c r="V88">
        <v>1368</v>
      </c>
      <c r="W88" t="s">
        <v>14</v>
      </c>
      <c r="AA88" s="3">
        <v>41275</v>
      </c>
      <c r="AB88" s="5">
        <v>15956</v>
      </c>
      <c r="AC88" s="5">
        <v>25177</v>
      </c>
      <c r="AD88" s="5">
        <v>73417</v>
      </c>
      <c r="AE88" s="5"/>
      <c r="AF88" s="5">
        <v>114550</v>
      </c>
      <c r="AI88" s="1">
        <v>39661</v>
      </c>
      <c r="AJ88">
        <v>80739</v>
      </c>
      <c r="AK88" t="s">
        <v>22</v>
      </c>
      <c r="AN88" s="3">
        <v>40940</v>
      </c>
      <c r="AO88" s="5"/>
      <c r="AP88" s="5">
        <v>18923</v>
      </c>
      <c r="AQ88" s="5">
        <v>30765</v>
      </c>
      <c r="AR88" s="5">
        <v>25465</v>
      </c>
      <c r="AS88" s="5">
        <v>75153</v>
      </c>
      <c r="AW88" s="1">
        <v>39661</v>
      </c>
      <c r="AX88">
        <v>15491</v>
      </c>
      <c r="AY88" t="s">
        <v>23</v>
      </c>
      <c r="BB88" s="3">
        <v>40940</v>
      </c>
      <c r="BC88" s="5"/>
      <c r="BD88" s="5">
        <v>37421</v>
      </c>
      <c r="BE88" s="5">
        <v>45234</v>
      </c>
      <c r="BF88" s="5">
        <v>68368</v>
      </c>
      <c r="BG88" s="5"/>
      <c r="BH88" s="5">
        <v>151023</v>
      </c>
    </row>
    <row r="89" spans="1:60" x14ac:dyDescent="0.25">
      <c r="A89" s="1">
        <v>39934</v>
      </c>
      <c r="B89">
        <v>67567</v>
      </c>
      <c r="C89" t="s">
        <v>2</v>
      </c>
      <c r="J89" s="3">
        <v>41306</v>
      </c>
      <c r="K89" s="5"/>
      <c r="L89" s="5">
        <v>28858</v>
      </c>
      <c r="M89" s="5">
        <v>41255</v>
      </c>
      <c r="N89" s="5">
        <v>38300</v>
      </c>
      <c r="O89" s="5"/>
      <c r="P89" s="5"/>
      <c r="Q89" s="5">
        <v>108413</v>
      </c>
      <c r="U89" s="1">
        <v>39569</v>
      </c>
      <c r="V89">
        <v>91752</v>
      </c>
      <c r="W89" t="s">
        <v>15</v>
      </c>
      <c r="AA89" s="3">
        <v>41306</v>
      </c>
      <c r="AB89" s="5">
        <v>14922</v>
      </c>
      <c r="AC89" s="5">
        <v>25580</v>
      </c>
      <c r="AD89" s="5">
        <v>67911</v>
      </c>
      <c r="AE89" s="5"/>
      <c r="AF89" s="5">
        <v>108413</v>
      </c>
      <c r="AI89" s="1">
        <v>39661</v>
      </c>
      <c r="AJ89">
        <v>17448</v>
      </c>
      <c r="AK89" t="s">
        <v>23</v>
      </c>
      <c r="AN89" s="3">
        <v>40969</v>
      </c>
      <c r="AO89" s="5"/>
      <c r="AP89" s="5">
        <v>20650</v>
      </c>
      <c r="AQ89" s="5">
        <v>21029</v>
      </c>
      <c r="AR89" s="5">
        <v>22392</v>
      </c>
      <c r="AS89" s="5">
        <v>64071</v>
      </c>
      <c r="AW89" s="1">
        <v>39661</v>
      </c>
      <c r="AX89">
        <v>19612</v>
      </c>
      <c r="AY89" t="s">
        <v>22</v>
      </c>
      <c r="BB89" s="3">
        <v>40969</v>
      </c>
      <c r="BC89" s="5"/>
      <c r="BD89" s="5">
        <v>41993</v>
      </c>
      <c r="BE89" s="5">
        <v>37294</v>
      </c>
      <c r="BF89" s="5">
        <v>74896</v>
      </c>
      <c r="BG89" s="5"/>
      <c r="BH89" s="5">
        <v>154183</v>
      </c>
    </row>
    <row r="90" spans="1:60" x14ac:dyDescent="0.25">
      <c r="A90" s="1">
        <v>39965</v>
      </c>
      <c r="B90">
        <v>7053</v>
      </c>
      <c r="C90" t="s">
        <v>3</v>
      </c>
      <c r="J90" s="3">
        <v>41334</v>
      </c>
      <c r="K90" s="5">
        <v>8</v>
      </c>
      <c r="L90" s="5">
        <v>30621</v>
      </c>
      <c r="M90" s="5">
        <v>48881</v>
      </c>
      <c r="N90" s="5">
        <v>48117</v>
      </c>
      <c r="O90" s="5"/>
      <c r="P90" s="5"/>
      <c r="Q90" s="5">
        <v>127627</v>
      </c>
      <c r="U90" s="1">
        <v>39569</v>
      </c>
      <c r="V90">
        <v>58452</v>
      </c>
      <c r="W90" t="s">
        <v>16</v>
      </c>
      <c r="AA90" s="3">
        <v>41334</v>
      </c>
      <c r="AB90" s="5">
        <v>16099</v>
      </c>
      <c r="AC90" s="5">
        <v>28914</v>
      </c>
      <c r="AD90" s="5">
        <v>82614</v>
      </c>
      <c r="AE90" s="5"/>
      <c r="AF90" s="5">
        <v>127627</v>
      </c>
      <c r="AI90" s="1">
        <v>39692</v>
      </c>
      <c r="AJ90">
        <v>11582</v>
      </c>
      <c r="AK90" t="s">
        <v>23</v>
      </c>
      <c r="AN90" s="3">
        <v>41000</v>
      </c>
      <c r="AO90" s="5"/>
      <c r="AP90" s="5">
        <v>23750</v>
      </c>
      <c r="AQ90" s="5">
        <v>20238</v>
      </c>
      <c r="AR90" s="5">
        <v>22169</v>
      </c>
      <c r="AS90" s="5">
        <v>66157</v>
      </c>
      <c r="AW90" s="1">
        <v>39692</v>
      </c>
      <c r="AX90">
        <v>10494</v>
      </c>
      <c r="AY90" t="s">
        <v>23</v>
      </c>
      <c r="BB90" s="3">
        <v>41000</v>
      </c>
      <c r="BC90" s="5"/>
      <c r="BD90" s="5">
        <v>46599</v>
      </c>
      <c r="BE90" s="5">
        <v>43130</v>
      </c>
      <c r="BF90" s="5">
        <v>87727</v>
      </c>
      <c r="BG90" s="5"/>
      <c r="BH90" s="5">
        <v>177456</v>
      </c>
    </row>
    <row r="91" spans="1:60" x14ac:dyDescent="0.25">
      <c r="A91" s="1">
        <v>39965</v>
      </c>
      <c r="B91">
        <v>106391</v>
      </c>
      <c r="C91" t="s">
        <v>4</v>
      </c>
      <c r="J91" s="3">
        <v>41365</v>
      </c>
      <c r="K91" s="5">
        <v>7</v>
      </c>
      <c r="L91" s="5">
        <v>33414</v>
      </c>
      <c r="M91" s="5">
        <v>53226</v>
      </c>
      <c r="N91" s="5">
        <v>40468</v>
      </c>
      <c r="O91" s="5"/>
      <c r="P91" s="5"/>
      <c r="Q91" s="5">
        <v>127115</v>
      </c>
      <c r="U91" s="1">
        <v>39569</v>
      </c>
      <c r="V91">
        <v>1404</v>
      </c>
      <c r="W91" t="s">
        <v>14</v>
      </c>
      <c r="AA91" s="3">
        <v>41365</v>
      </c>
      <c r="AB91" s="5">
        <v>16803</v>
      </c>
      <c r="AC91" s="5">
        <v>35275</v>
      </c>
      <c r="AD91" s="5">
        <v>75037</v>
      </c>
      <c r="AE91" s="5"/>
      <c r="AF91" s="5">
        <v>127115</v>
      </c>
      <c r="AI91" s="1">
        <v>39692</v>
      </c>
      <c r="AJ91">
        <v>67217</v>
      </c>
      <c r="AK91" t="s">
        <v>22</v>
      </c>
      <c r="AN91" s="3">
        <v>41030</v>
      </c>
      <c r="AO91" s="5"/>
      <c r="AP91" s="5">
        <v>22147</v>
      </c>
      <c r="AQ91" s="5">
        <v>24408</v>
      </c>
      <c r="AR91" s="5">
        <v>21904</v>
      </c>
      <c r="AS91" s="5">
        <v>68459</v>
      </c>
      <c r="AW91" s="1">
        <v>39692</v>
      </c>
      <c r="AX91">
        <v>15980</v>
      </c>
      <c r="AY91" t="s">
        <v>22</v>
      </c>
      <c r="BB91" s="3">
        <v>41030</v>
      </c>
      <c r="BC91" s="5"/>
      <c r="BD91" s="5">
        <v>44701</v>
      </c>
      <c r="BE91" s="5">
        <v>56078</v>
      </c>
      <c r="BF91" s="5">
        <v>83635</v>
      </c>
      <c r="BG91" s="5"/>
      <c r="BH91" s="5">
        <v>184414</v>
      </c>
    </row>
    <row r="92" spans="1:60" x14ac:dyDescent="0.25">
      <c r="A92" s="1">
        <v>39965</v>
      </c>
      <c r="B92">
        <v>16517</v>
      </c>
      <c r="C92" t="s">
        <v>5</v>
      </c>
      <c r="J92" s="3">
        <v>41395</v>
      </c>
      <c r="K92" s="5">
        <v>88</v>
      </c>
      <c r="L92" s="5">
        <v>28554</v>
      </c>
      <c r="M92" s="5">
        <v>49248</v>
      </c>
      <c r="N92" s="5">
        <v>26944</v>
      </c>
      <c r="O92" s="5"/>
      <c r="P92" s="5"/>
      <c r="Q92" s="5">
        <v>104834</v>
      </c>
      <c r="U92" s="1">
        <v>39600</v>
      </c>
      <c r="V92">
        <v>70617</v>
      </c>
      <c r="W92" t="s">
        <v>15</v>
      </c>
      <c r="AA92" s="3">
        <v>41395</v>
      </c>
      <c r="AB92" s="5">
        <v>15227</v>
      </c>
      <c r="AC92" s="5">
        <v>34586</v>
      </c>
      <c r="AD92" s="5">
        <v>55021</v>
      </c>
      <c r="AE92" s="5"/>
      <c r="AF92" s="5">
        <v>104834</v>
      </c>
      <c r="AI92" s="1">
        <v>39722</v>
      </c>
      <c r="AJ92">
        <v>45117</v>
      </c>
      <c r="AK92" t="s">
        <v>22</v>
      </c>
      <c r="AN92" s="3">
        <v>41061</v>
      </c>
      <c r="AO92" s="5"/>
      <c r="AP92" s="5">
        <v>20132</v>
      </c>
      <c r="AQ92" s="5">
        <v>32500</v>
      </c>
      <c r="AR92" s="5">
        <v>18591</v>
      </c>
      <c r="AS92" s="5">
        <v>71223</v>
      </c>
      <c r="AW92" s="1">
        <v>39722</v>
      </c>
      <c r="AX92">
        <v>8915</v>
      </c>
      <c r="AY92" t="s">
        <v>23</v>
      </c>
      <c r="BB92" s="3">
        <v>41061</v>
      </c>
      <c r="BC92" s="5"/>
      <c r="BD92" s="5">
        <v>41557</v>
      </c>
      <c r="BE92" s="5">
        <v>54558</v>
      </c>
      <c r="BF92" s="5">
        <v>66120</v>
      </c>
      <c r="BG92" s="5"/>
      <c r="BH92" s="5">
        <v>162235</v>
      </c>
    </row>
    <row r="93" spans="1:60" x14ac:dyDescent="0.25">
      <c r="A93" s="1">
        <v>39965</v>
      </c>
      <c r="B93">
        <v>104095</v>
      </c>
      <c r="C93" t="s">
        <v>2</v>
      </c>
      <c r="J93" s="3">
        <v>41426</v>
      </c>
      <c r="K93" s="5">
        <v>19</v>
      </c>
      <c r="L93" s="5">
        <v>30201</v>
      </c>
      <c r="M93" s="5">
        <v>62348</v>
      </c>
      <c r="N93" s="5">
        <v>33375</v>
      </c>
      <c r="O93" s="5"/>
      <c r="P93" s="5"/>
      <c r="Q93" s="5">
        <v>125943</v>
      </c>
      <c r="U93" s="1">
        <v>39600</v>
      </c>
      <c r="V93">
        <v>67055</v>
      </c>
      <c r="W93" t="s">
        <v>16</v>
      </c>
      <c r="AA93" s="3">
        <v>41426</v>
      </c>
      <c r="AB93" s="5">
        <v>14816</v>
      </c>
      <c r="AC93" s="5">
        <v>44700</v>
      </c>
      <c r="AD93" s="5">
        <v>66427</v>
      </c>
      <c r="AE93" s="5"/>
      <c r="AF93" s="5">
        <v>125943</v>
      </c>
      <c r="AI93" s="1">
        <v>39722</v>
      </c>
      <c r="AJ93">
        <v>7202</v>
      </c>
      <c r="AK93" t="s">
        <v>23</v>
      </c>
      <c r="AN93" s="3">
        <v>41091</v>
      </c>
      <c r="AO93" s="5"/>
      <c r="AP93" s="5">
        <v>20818</v>
      </c>
      <c r="AQ93" s="5">
        <v>40914</v>
      </c>
      <c r="AR93" s="5">
        <v>20169</v>
      </c>
      <c r="AS93" s="5">
        <v>81901</v>
      </c>
      <c r="AW93" s="1">
        <v>39722</v>
      </c>
      <c r="AX93">
        <v>14635</v>
      </c>
      <c r="AY93" t="s">
        <v>22</v>
      </c>
      <c r="BB93" s="3">
        <v>41091</v>
      </c>
      <c r="BC93" s="5"/>
      <c r="BD93" s="5">
        <v>42169</v>
      </c>
      <c r="BE93" s="5">
        <v>63132</v>
      </c>
      <c r="BF93" s="5">
        <v>58704</v>
      </c>
      <c r="BG93" s="5"/>
      <c r="BH93" s="5">
        <v>164005</v>
      </c>
    </row>
    <row r="94" spans="1:60" x14ac:dyDescent="0.25">
      <c r="A94" s="1">
        <v>39995</v>
      </c>
      <c r="B94">
        <v>781</v>
      </c>
      <c r="C94" t="s">
        <v>3</v>
      </c>
      <c r="J94" s="3">
        <v>41456</v>
      </c>
      <c r="K94" s="5"/>
      <c r="L94" s="5">
        <v>22463</v>
      </c>
      <c r="M94" s="5">
        <v>52562</v>
      </c>
      <c r="N94" s="5">
        <v>26413</v>
      </c>
      <c r="O94" s="5"/>
      <c r="P94" s="5"/>
      <c r="Q94" s="5">
        <v>101438</v>
      </c>
      <c r="U94" s="1">
        <v>39600</v>
      </c>
      <c r="V94">
        <v>1370</v>
      </c>
      <c r="W94" t="s">
        <v>14</v>
      </c>
      <c r="AA94" s="3">
        <v>41456</v>
      </c>
      <c r="AB94" s="5">
        <v>11331</v>
      </c>
      <c r="AC94" s="5">
        <v>39068</v>
      </c>
      <c r="AD94" s="5">
        <v>51039</v>
      </c>
      <c r="AE94" s="5"/>
      <c r="AF94" s="5">
        <v>101438</v>
      </c>
      <c r="AI94" s="1">
        <v>39753</v>
      </c>
      <c r="AJ94">
        <v>10585</v>
      </c>
      <c r="AK94" t="s">
        <v>23</v>
      </c>
      <c r="AN94" s="3">
        <v>41122</v>
      </c>
      <c r="AO94" s="5"/>
      <c r="AP94" s="5">
        <v>21157</v>
      </c>
      <c r="AQ94" s="5">
        <v>40188</v>
      </c>
      <c r="AR94" s="5">
        <v>20467</v>
      </c>
      <c r="AS94" s="5">
        <v>81812</v>
      </c>
      <c r="AW94" s="1">
        <v>39753</v>
      </c>
      <c r="AX94">
        <v>14115</v>
      </c>
      <c r="AY94" t="s">
        <v>22</v>
      </c>
      <c r="BB94" s="3">
        <v>41122</v>
      </c>
      <c r="BC94" s="5"/>
      <c r="BD94" s="5">
        <v>42658</v>
      </c>
      <c r="BE94" s="5">
        <v>71358</v>
      </c>
      <c r="BF94" s="5">
        <v>68002</v>
      </c>
      <c r="BG94" s="5"/>
      <c r="BH94" s="5">
        <v>182018</v>
      </c>
    </row>
    <row r="95" spans="1:60" x14ac:dyDescent="0.25">
      <c r="A95" s="1">
        <v>39995</v>
      </c>
      <c r="B95">
        <v>60337</v>
      </c>
      <c r="C95" t="s">
        <v>4</v>
      </c>
      <c r="J95" s="3">
        <v>41487</v>
      </c>
      <c r="K95" s="5">
        <v>1</v>
      </c>
      <c r="L95" s="5">
        <v>18785</v>
      </c>
      <c r="M95" s="5">
        <v>62201</v>
      </c>
      <c r="N95" s="5">
        <v>23108</v>
      </c>
      <c r="O95" s="5"/>
      <c r="P95" s="5"/>
      <c r="Q95" s="5">
        <v>104095</v>
      </c>
      <c r="U95" s="1">
        <v>39630</v>
      </c>
      <c r="V95">
        <v>36040</v>
      </c>
      <c r="W95" t="s">
        <v>15</v>
      </c>
      <c r="AA95" s="3">
        <v>41487</v>
      </c>
      <c r="AB95" s="5">
        <v>9920</v>
      </c>
      <c r="AC95" s="5">
        <v>47444</v>
      </c>
      <c r="AD95" s="5">
        <v>46731</v>
      </c>
      <c r="AE95" s="5"/>
      <c r="AF95" s="5">
        <v>104095</v>
      </c>
      <c r="AI95" s="1">
        <v>39753</v>
      </c>
      <c r="AJ95">
        <v>50694</v>
      </c>
      <c r="AK95" t="s">
        <v>22</v>
      </c>
      <c r="AN95" s="3">
        <v>41153</v>
      </c>
      <c r="AO95" s="5"/>
      <c r="AP95" s="5">
        <v>23362</v>
      </c>
      <c r="AQ95" s="5">
        <v>43003</v>
      </c>
      <c r="AR95" s="5">
        <v>25359</v>
      </c>
      <c r="AS95" s="5">
        <v>91724</v>
      </c>
      <c r="AW95" s="1">
        <v>39753</v>
      </c>
      <c r="AX95">
        <v>9826</v>
      </c>
      <c r="AY95" t="s">
        <v>23</v>
      </c>
      <c r="BB95" s="3">
        <v>41153</v>
      </c>
      <c r="BC95" s="5"/>
      <c r="BD95" s="5">
        <v>60637</v>
      </c>
      <c r="BE95" s="5">
        <v>64773</v>
      </c>
      <c r="BF95" s="5">
        <v>62940</v>
      </c>
      <c r="BG95" s="5"/>
      <c r="BH95" s="5">
        <v>188350</v>
      </c>
    </row>
    <row r="96" spans="1:60" x14ac:dyDescent="0.25">
      <c r="A96" s="1">
        <v>39995</v>
      </c>
      <c r="B96">
        <v>22075</v>
      </c>
      <c r="C96" t="s">
        <v>5</v>
      </c>
      <c r="J96" s="3">
        <v>41518</v>
      </c>
      <c r="K96" s="5">
        <v>90</v>
      </c>
      <c r="L96" s="5">
        <v>16394</v>
      </c>
      <c r="M96" s="5">
        <v>44797</v>
      </c>
      <c r="N96" s="5">
        <v>12617</v>
      </c>
      <c r="O96" s="5"/>
      <c r="P96" s="5"/>
      <c r="Q96" s="5">
        <v>73898</v>
      </c>
      <c r="U96" s="1">
        <v>39630</v>
      </c>
      <c r="V96">
        <v>41004</v>
      </c>
      <c r="W96" t="s">
        <v>16</v>
      </c>
      <c r="AA96" s="3">
        <v>41518</v>
      </c>
      <c r="AB96" s="5">
        <v>8504</v>
      </c>
      <c r="AC96" s="5">
        <v>35267</v>
      </c>
      <c r="AD96" s="5">
        <v>30127</v>
      </c>
      <c r="AE96" s="5"/>
      <c r="AF96" s="5">
        <v>73898</v>
      </c>
      <c r="AI96" s="1">
        <v>39783</v>
      </c>
      <c r="AJ96">
        <v>15821</v>
      </c>
      <c r="AK96" t="s">
        <v>23</v>
      </c>
      <c r="AN96" s="3">
        <v>41183</v>
      </c>
      <c r="AO96" s="5"/>
      <c r="AP96" s="5">
        <v>24936</v>
      </c>
      <c r="AQ96" s="5">
        <v>47014</v>
      </c>
      <c r="AR96" s="5">
        <v>33904</v>
      </c>
      <c r="AS96" s="5">
        <v>105854</v>
      </c>
      <c r="AW96" s="1">
        <v>39783</v>
      </c>
      <c r="AX96">
        <v>15394</v>
      </c>
      <c r="AY96" t="s">
        <v>22</v>
      </c>
      <c r="BB96" s="3">
        <v>41183</v>
      </c>
      <c r="BC96" s="5"/>
      <c r="BD96" s="5">
        <v>67250</v>
      </c>
      <c r="BE96" s="5">
        <v>66759</v>
      </c>
      <c r="BF96" s="5">
        <v>77943</v>
      </c>
      <c r="BG96" s="5"/>
      <c r="BH96" s="5">
        <v>211952</v>
      </c>
    </row>
    <row r="97" spans="1:60" x14ac:dyDescent="0.25">
      <c r="A97" s="1">
        <v>39995</v>
      </c>
      <c r="B97">
        <v>71014</v>
      </c>
      <c r="C97" t="s">
        <v>2</v>
      </c>
      <c r="J97" s="3">
        <v>41548</v>
      </c>
      <c r="K97" s="5"/>
      <c r="L97" s="5">
        <v>13595</v>
      </c>
      <c r="M97" s="5">
        <v>41608</v>
      </c>
      <c r="N97" s="5">
        <v>8614</v>
      </c>
      <c r="O97" s="5"/>
      <c r="P97" s="5"/>
      <c r="Q97" s="5">
        <v>63817</v>
      </c>
      <c r="U97" s="1">
        <v>39630</v>
      </c>
      <c r="V97">
        <v>427</v>
      </c>
      <c r="W97" t="s">
        <v>14</v>
      </c>
      <c r="AA97" s="3">
        <v>41548</v>
      </c>
      <c r="AB97" s="5">
        <v>7408</v>
      </c>
      <c r="AC97" s="5">
        <v>33777</v>
      </c>
      <c r="AD97" s="5">
        <v>22632</v>
      </c>
      <c r="AE97" s="5"/>
      <c r="AF97" s="5">
        <v>63817</v>
      </c>
      <c r="AI97" s="1">
        <v>39783</v>
      </c>
      <c r="AJ97">
        <v>52103</v>
      </c>
      <c r="AK97" t="s">
        <v>22</v>
      </c>
      <c r="AN97" s="3">
        <v>41214</v>
      </c>
      <c r="AO97" s="5"/>
      <c r="AP97" s="5">
        <v>26328</v>
      </c>
      <c r="AQ97" s="5">
        <v>49817</v>
      </c>
      <c r="AR97" s="5">
        <v>40037</v>
      </c>
      <c r="AS97" s="5">
        <v>116182</v>
      </c>
      <c r="AW97" s="1">
        <v>39783</v>
      </c>
      <c r="AX97">
        <v>12743</v>
      </c>
      <c r="AY97" t="s">
        <v>23</v>
      </c>
      <c r="BB97" s="3">
        <v>41214</v>
      </c>
      <c r="BC97" s="5"/>
      <c r="BD97" s="5">
        <v>63599</v>
      </c>
      <c r="BE97" s="5">
        <v>54797</v>
      </c>
      <c r="BF97" s="5">
        <v>67527</v>
      </c>
      <c r="BG97" s="5"/>
      <c r="BH97" s="5">
        <v>185923</v>
      </c>
    </row>
    <row r="98" spans="1:60" x14ac:dyDescent="0.25">
      <c r="A98" s="1">
        <v>40026</v>
      </c>
      <c r="B98">
        <v>173</v>
      </c>
      <c r="C98" t="s">
        <v>3</v>
      </c>
      <c r="J98" s="3">
        <v>41579</v>
      </c>
      <c r="K98" s="5">
        <v>969</v>
      </c>
      <c r="L98" s="5">
        <v>12144</v>
      </c>
      <c r="M98" s="5">
        <v>50491</v>
      </c>
      <c r="N98" s="5">
        <v>7821</v>
      </c>
      <c r="O98" s="5"/>
      <c r="P98" s="5"/>
      <c r="Q98" s="5">
        <v>71425</v>
      </c>
      <c r="U98" s="1">
        <v>39661</v>
      </c>
      <c r="V98">
        <v>33217</v>
      </c>
      <c r="W98" t="s">
        <v>15</v>
      </c>
      <c r="AA98" s="3">
        <v>41579</v>
      </c>
      <c r="AB98" s="5">
        <v>6199</v>
      </c>
      <c r="AC98" s="5">
        <v>40694</v>
      </c>
      <c r="AD98" s="5">
        <v>24532</v>
      </c>
      <c r="AE98" s="5"/>
      <c r="AF98" s="5">
        <v>71425</v>
      </c>
      <c r="AI98" s="1">
        <v>39814</v>
      </c>
      <c r="AJ98">
        <v>32448</v>
      </c>
      <c r="AK98" t="s">
        <v>22</v>
      </c>
      <c r="AN98" s="3">
        <v>41244</v>
      </c>
      <c r="AO98" s="5"/>
      <c r="AP98" s="5">
        <v>29752</v>
      </c>
      <c r="AQ98" s="5">
        <v>49997</v>
      </c>
      <c r="AR98" s="5">
        <v>40485</v>
      </c>
      <c r="AS98" s="5">
        <v>120234</v>
      </c>
      <c r="AW98" s="1">
        <v>39814</v>
      </c>
      <c r="AX98">
        <v>9484</v>
      </c>
      <c r="AY98" t="s">
        <v>23</v>
      </c>
      <c r="BB98" s="3">
        <v>41244</v>
      </c>
      <c r="BC98" s="5"/>
      <c r="BD98" s="5">
        <v>74296</v>
      </c>
      <c r="BE98" s="5">
        <v>58892</v>
      </c>
      <c r="BF98" s="5">
        <v>83263</v>
      </c>
      <c r="BG98" s="5"/>
      <c r="BH98" s="5">
        <v>216451</v>
      </c>
    </row>
    <row r="99" spans="1:60" x14ac:dyDescent="0.25">
      <c r="A99" s="1">
        <v>40026</v>
      </c>
      <c r="B99">
        <v>55906</v>
      </c>
      <c r="C99" t="s">
        <v>4</v>
      </c>
      <c r="J99" s="3">
        <v>41609</v>
      </c>
      <c r="K99" s="5">
        <v>1125</v>
      </c>
      <c r="L99" s="5">
        <v>8436</v>
      </c>
      <c r="M99" s="5">
        <v>51152</v>
      </c>
      <c r="N99" s="5">
        <v>9232</v>
      </c>
      <c r="O99" s="5"/>
      <c r="P99" s="5"/>
      <c r="Q99" s="5">
        <v>69945</v>
      </c>
      <c r="U99" s="1">
        <v>39661</v>
      </c>
      <c r="V99">
        <v>47631</v>
      </c>
      <c r="W99" t="s">
        <v>16</v>
      </c>
      <c r="AA99" s="3">
        <v>41609</v>
      </c>
      <c r="AB99" s="5">
        <v>3859</v>
      </c>
      <c r="AC99" s="5">
        <v>40788</v>
      </c>
      <c r="AD99" s="5">
        <v>25298</v>
      </c>
      <c r="AE99" s="5"/>
      <c r="AF99" s="5">
        <v>69945</v>
      </c>
      <c r="AI99" s="1">
        <v>39814</v>
      </c>
      <c r="AJ99">
        <v>7542</v>
      </c>
      <c r="AK99" t="s">
        <v>23</v>
      </c>
      <c r="AN99" s="3">
        <v>41275</v>
      </c>
      <c r="AO99" s="5"/>
      <c r="AP99" s="5">
        <v>26820</v>
      </c>
      <c r="AQ99" s="5">
        <v>39735</v>
      </c>
      <c r="AR99" s="5">
        <v>36497</v>
      </c>
      <c r="AS99" s="5">
        <v>103052</v>
      </c>
      <c r="AW99" s="1">
        <v>39814</v>
      </c>
      <c r="AX99">
        <v>11771</v>
      </c>
      <c r="AY99" t="s">
        <v>22</v>
      </c>
      <c r="BB99" s="3">
        <v>41275</v>
      </c>
      <c r="BC99" s="5"/>
      <c r="BD99" s="5">
        <v>70012</v>
      </c>
      <c r="BE99" s="5">
        <v>58734</v>
      </c>
      <c r="BF99" s="5">
        <v>84096</v>
      </c>
      <c r="BG99" s="5"/>
      <c r="BH99" s="5">
        <v>212842</v>
      </c>
    </row>
    <row r="100" spans="1:60" x14ac:dyDescent="0.25">
      <c r="A100" s="1">
        <v>40026</v>
      </c>
      <c r="B100">
        <v>25210</v>
      </c>
      <c r="C100" t="s">
        <v>5</v>
      </c>
      <c r="J100" s="3">
        <v>41640</v>
      </c>
      <c r="K100" s="5"/>
      <c r="L100" s="5">
        <v>10673</v>
      </c>
      <c r="M100" s="5">
        <v>41585</v>
      </c>
      <c r="N100" s="5">
        <v>8940</v>
      </c>
      <c r="O100" s="5"/>
      <c r="P100" s="5"/>
      <c r="Q100" s="5">
        <v>61198</v>
      </c>
      <c r="U100" s="1">
        <v>39661</v>
      </c>
      <c r="V100">
        <v>419</v>
      </c>
      <c r="W100" t="s">
        <v>14</v>
      </c>
      <c r="AA100" s="3">
        <v>41640</v>
      </c>
      <c r="AB100" s="5">
        <v>5345</v>
      </c>
      <c r="AC100" s="5">
        <v>32552</v>
      </c>
      <c r="AD100" s="5">
        <v>23301</v>
      </c>
      <c r="AE100" s="5"/>
      <c r="AF100" s="5">
        <v>61198</v>
      </c>
      <c r="AI100" s="1">
        <v>39845</v>
      </c>
      <c r="AJ100">
        <v>32323</v>
      </c>
      <c r="AK100" t="s">
        <v>23</v>
      </c>
      <c r="AN100" s="3">
        <v>41306</v>
      </c>
      <c r="AO100" s="5"/>
      <c r="AP100" s="5">
        <v>27439</v>
      </c>
      <c r="AQ100" s="5">
        <v>44263</v>
      </c>
      <c r="AR100" s="5">
        <v>41281</v>
      </c>
      <c r="AS100" s="5">
        <v>112983</v>
      </c>
      <c r="AW100" s="1">
        <v>39845</v>
      </c>
      <c r="AX100">
        <v>15596</v>
      </c>
      <c r="AY100" t="s">
        <v>22</v>
      </c>
      <c r="BB100" s="3">
        <v>41306</v>
      </c>
      <c r="BC100" s="5"/>
      <c r="BD100" s="5">
        <v>71858</v>
      </c>
      <c r="BE100" s="5">
        <v>56759</v>
      </c>
      <c r="BF100" s="5">
        <v>83542</v>
      </c>
      <c r="BG100" s="5"/>
      <c r="BH100" s="5">
        <v>212159</v>
      </c>
    </row>
    <row r="101" spans="1:60" x14ac:dyDescent="0.25">
      <c r="A101" s="1">
        <v>40026</v>
      </c>
      <c r="B101">
        <v>82357</v>
      </c>
      <c r="C101" t="s">
        <v>2</v>
      </c>
      <c r="J101" s="3">
        <v>41671</v>
      </c>
      <c r="K101" s="5"/>
      <c r="L101" s="5">
        <v>9613</v>
      </c>
      <c r="M101" s="5">
        <v>40661</v>
      </c>
      <c r="N101" s="5">
        <v>7816</v>
      </c>
      <c r="O101" s="5">
        <v>433</v>
      </c>
      <c r="P101" s="5"/>
      <c r="Q101" s="5">
        <v>58523</v>
      </c>
      <c r="U101" s="1">
        <v>39692</v>
      </c>
      <c r="V101">
        <v>29595</v>
      </c>
      <c r="W101" t="s">
        <v>15</v>
      </c>
      <c r="AA101" s="3">
        <v>41671</v>
      </c>
      <c r="AB101" s="5">
        <v>4712</v>
      </c>
      <c r="AC101" s="5">
        <v>32575</v>
      </c>
      <c r="AD101" s="5">
        <v>21236</v>
      </c>
      <c r="AE101" s="5"/>
      <c r="AF101" s="5">
        <v>58523</v>
      </c>
      <c r="AI101" s="1">
        <v>39845</v>
      </c>
      <c r="AJ101">
        <v>52470</v>
      </c>
      <c r="AK101" t="s">
        <v>22</v>
      </c>
      <c r="AN101" s="3">
        <v>41334</v>
      </c>
      <c r="AO101" s="5"/>
      <c r="AP101" s="5">
        <v>29625</v>
      </c>
      <c r="AQ101" s="5">
        <v>42586</v>
      </c>
      <c r="AR101" s="5">
        <v>45862</v>
      </c>
      <c r="AS101" s="5">
        <v>118073</v>
      </c>
      <c r="AW101" s="1">
        <v>39845</v>
      </c>
      <c r="AX101">
        <v>20177</v>
      </c>
      <c r="AY101" t="s">
        <v>23</v>
      </c>
      <c r="BB101" s="3">
        <v>41334</v>
      </c>
      <c r="BC101" s="5"/>
      <c r="BD101" s="5">
        <v>73084</v>
      </c>
      <c r="BE101" s="5">
        <v>42223</v>
      </c>
      <c r="BF101" s="5">
        <v>80177</v>
      </c>
      <c r="BG101" s="5"/>
      <c r="BH101" s="5">
        <v>195484</v>
      </c>
    </row>
    <row r="102" spans="1:60" x14ac:dyDescent="0.25">
      <c r="A102" s="1">
        <v>40057</v>
      </c>
      <c r="B102">
        <v>258</v>
      </c>
      <c r="C102" t="s">
        <v>3</v>
      </c>
      <c r="J102" s="3">
        <v>41699</v>
      </c>
      <c r="K102" s="5">
        <v>16</v>
      </c>
      <c r="L102" s="5">
        <v>2000</v>
      </c>
      <c r="M102" s="5">
        <v>31931</v>
      </c>
      <c r="N102" s="5">
        <v>2610</v>
      </c>
      <c r="O102" s="5">
        <v>7802</v>
      </c>
      <c r="P102" s="5"/>
      <c r="Q102" s="5">
        <v>44359</v>
      </c>
      <c r="U102" s="1">
        <v>39692</v>
      </c>
      <c r="V102">
        <v>47720</v>
      </c>
      <c r="W102" t="s">
        <v>16</v>
      </c>
      <c r="AA102" s="3">
        <v>41699</v>
      </c>
      <c r="AB102" s="5">
        <v>3157</v>
      </c>
      <c r="AC102" s="5">
        <v>25292</v>
      </c>
      <c r="AD102" s="5">
        <v>15910</v>
      </c>
      <c r="AE102" s="5"/>
      <c r="AF102" s="5">
        <v>44359</v>
      </c>
      <c r="AI102" s="1">
        <v>39873</v>
      </c>
      <c r="AJ102">
        <v>58125</v>
      </c>
      <c r="AK102" t="s">
        <v>22</v>
      </c>
      <c r="AN102" s="3">
        <v>41365</v>
      </c>
      <c r="AO102" s="5"/>
      <c r="AP102" s="5">
        <v>29886</v>
      </c>
      <c r="AQ102" s="5">
        <v>46377</v>
      </c>
      <c r="AR102" s="5">
        <v>40421</v>
      </c>
      <c r="AS102" s="5">
        <v>116684</v>
      </c>
      <c r="AW102" s="1">
        <v>39873</v>
      </c>
      <c r="AX102">
        <v>66165</v>
      </c>
      <c r="AY102" t="s">
        <v>23</v>
      </c>
      <c r="BB102" s="3">
        <v>41365</v>
      </c>
      <c r="BC102" s="5"/>
      <c r="BD102" s="5">
        <v>64077</v>
      </c>
      <c r="BE102" s="5">
        <v>39632</v>
      </c>
      <c r="BF102" s="5">
        <v>62542</v>
      </c>
      <c r="BG102" s="5"/>
      <c r="BH102" s="5">
        <v>166251</v>
      </c>
    </row>
    <row r="103" spans="1:60" x14ac:dyDescent="0.25">
      <c r="A103" s="1">
        <v>40057</v>
      </c>
      <c r="B103">
        <v>31910</v>
      </c>
      <c r="C103" t="s">
        <v>4</v>
      </c>
      <c r="J103" s="3">
        <v>41730</v>
      </c>
      <c r="K103" s="5"/>
      <c r="L103" s="5">
        <v>203</v>
      </c>
      <c r="M103" s="5">
        <v>41535</v>
      </c>
      <c r="N103" s="5">
        <v>488</v>
      </c>
      <c r="O103" s="5">
        <v>13317</v>
      </c>
      <c r="P103" s="5"/>
      <c r="Q103" s="5">
        <v>55543</v>
      </c>
      <c r="U103" s="1">
        <v>39692</v>
      </c>
      <c r="V103">
        <v>409</v>
      </c>
      <c r="W103" t="s">
        <v>14</v>
      </c>
      <c r="AA103" s="3">
        <v>41730</v>
      </c>
      <c r="AB103" s="5">
        <v>3338</v>
      </c>
      <c r="AC103" s="5">
        <v>33556</v>
      </c>
      <c r="AD103" s="5">
        <v>18649</v>
      </c>
      <c r="AE103" s="5"/>
      <c r="AF103" s="5">
        <v>55543</v>
      </c>
      <c r="AI103" s="1">
        <v>39873</v>
      </c>
      <c r="AJ103">
        <v>81505</v>
      </c>
      <c r="AK103" t="s">
        <v>23</v>
      </c>
      <c r="AN103" s="3">
        <v>41395</v>
      </c>
      <c r="AO103" s="5"/>
      <c r="AP103" s="5">
        <v>30220</v>
      </c>
      <c r="AQ103" s="5">
        <v>47960</v>
      </c>
      <c r="AR103" s="5">
        <v>30711</v>
      </c>
      <c r="AS103" s="5">
        <v>108891</v>
      </c>
      <c r="AW103" s="1">
        <v>39873</v>
      </c>
      <c r="AX103">
        <v>17183</v>
      </c>
      <c r="AY103" t="s">
        <v>22</v>
      </c>
      <c r="BB103" s="3">
        <v>41395</v>
      </c>
      <c r="BC103" s="5"/>
      <c r="BD103" s="5">
        <v>66704</v>
      </c>
      <c r="BE103" s="5">
        <v>60513</v>
      </c>
      <c r="BF103" s="5">
        <v>70534</v>
      </c>
      <c r="BG103" s="5"/>
      <c r="BH103" s="5">
        <v>197751</v>
      </c>
    </row>
    <row r="104" spans="1:60" x14ac:dyDescent="0.25">
      <c r="A104" s="1">
        <v>40057</v>
      </c>
      <c r="B104">
        <v>15667</v>
      </c>
      <c r="C104" t="s">
        <v>5</v>
      </c>
      <c r="J104" s="3">
        <v>41760</v>
      </c>
      <c r="K104" s="5"/>
      <c r="L104" s="5">
        <v>50</v>
      </c>
      <c r="M104" s="5">
        <v>44793</v>
      </c>
      <c r="N104" s="5">
        <v>144</v>
      </c>
      <c r="O104" s="5">
        <v>13013</v>
      </c>
      <c r="P104" s="5"/>
      <c r="Q104" s="5">
        <v>58000</v>
      </c>
      <c r="U104" s="1">
        <v>39722</v>
      </c>
      <c r="V104">
        <v>22753</v>
      </c>
      <c r="W104" t="s">
        <v>15</v>
      </c>
      <c r="AA104" s="3">
        <v>41760</v>
      </c>
      <c r="AB104" s="5">
        <v>2957</v>
      </c>
      <c r="AC104" s="5">
        <v>36971</v>
      </c>
      <c r="AD104" s="5">
        <v>18072</v>
      </c>
      <c r="AE104" s="5"/>
      <c r="AF104" s="5">
        <v>58000</v>
      </c>
      <c r="AI104" s="1">
        <v>39904</v>
      </c>
      <c r="AJ104">
        <v>72314</v>
      </c>
      <c r="AK104" t="s">
        <v>22</v>
      </c>
      <c r="AN104" s="3">
        <v>41426</v>
      </c>
      <c r="AO104" s="5"/>
      <c r="AP104" s="5">
        <v>28244</v>
      </c>
      <c r="AQ104" s="5">
        <v>48520</v>
      </c>
      <c r="AR104" s="5">
        <v>26806</v>
      </c>
      <c r="AS104" s="5">
        <v>103570</v>
      </c>
      <c r="AW104" s="1">
        <v>39904</v>
      </c>
      <c r="AX104">
        <v>81476</v>
      </c>
      <c r="AY104" t="s">
        <v>23</v>
      </c>
      <c r="BB104" s="3">
        <v>41426</v>
      </c>
      <c r="BC104" s="5"/>
      <c r="BD104" s="5">
        <v>64185</v>
      </c>
      <c r="BE104" s="5">
        <v>70508</v>
      </c>
      <c r="BF104" s="5">
        <v>65961</v>
      </c>
      <c r="BG104" s="5"/>
      <c r="BH104" s="5">
        <v>200654</v>
      </c>
    </row>
    <row r="105" spans="1:60" x14ac:dyDescent="0.25">
      <c r="A105" s="1">
        <v>40057</v>
      </c>
      <c r="B105">
        <v>70570</v>
      </c>
      <c r="C105" t="s">
        <v>2</v>
      </c>
      <c r="J105" s="3">
        <v>41791</v>
      </c>
      <c r="K105" s="5"/>
      <c r="L105" s="5">
        <v>13</v>
      </c>
      <c r="M105" s="5">
        <v>52858</v>
      </c>
      <c r="N105" s="5">
        <v>15</v>
      </c>
      <c r="O105" s="5">
        <v>14294</v>
      </c>
      <c r="P105" s="5"/>
      <c r="Q105" s="5">
        <v>67180</v>
      </c>
      <c r="U105" s="1">
        <v>39722</v>
      </c>
      <c r="V105">
        <v>31841</v>
      </c>
      <c r="W105" t="s">
        <v>16</v>
      </c>
      <c r="AA105" s="3">
        <v>41791</v>
      </c>
      <c r="AB105" s="5">
        <v>3084</v>
      </c>
      <c r="AC105" s="5">
        <v>44546</v>
      </c>
      <c r="AD105" s="5">
        <v>19550</v>
      </c>
      <c r="AE105" s="5"/>
      <c r="AF105" s="5">
        <v>67180</v>
      </c>
      <c r="AI105" s="1">
        <v>39904</v>
      </c>
      <c r="AJ105">
        <v>104826</v>
      </c>
      <c r="AK105" t="s">
        <v>23</v>
      </c>
      <c r="AN105" s="3">
        <v>41456</v>
      </c>
      <c r="AO105" s="5"/>
      <c r="AP105" s="5">
        <v>26787</v>
      </c>
      <c r="AQ105" s="5">
        <v>62247</v>
      </c>
      <c r="AR105" s="5">
        <v>32722</v>
      </c>
      <c r="AS105" s="5">
        <v>121756</v>
      </c>
      <c r="AW105" s="1">
        <v>39904</v>
      </c>
      <c r="AX105">
        <v>19205</v>
      </c>
      <c r="AY105" t="s">
        <v>22</v>
      </c>
      <c r="BB105" s="3">
        <v>41456</v>
      </c>
      <c r="BC105" s="5"/>
      <c r="BD105" s="5">
        <v>62288</v>
      </c>
      <c r="BE105" s="5">
        <v>80327</v>
      </c>
      <c r="BF105" s="5">
        <v>61838</v>
      </c>
      <c r="BG105" s="5"/>
      <c r="BH105" s="5">
        <v>204453</v>
      </c>
    </row>
    <row r="106" spans="1:60" x14ac:dyDescent="0.25">
      <c r="A106" s="1">
        <v>40087</v>
      </c>
      <c r="B106">
        <v>1059</v>
      </c>
      <c r="C106" t="s">
        <v>3</v>
      </c>
      <c r="J106" s="3">
        <v>41821</v>
      </c>
      <c r="K106" s="5"/>
      <c r="L106" s="5">
        <v>10</v>
      </c>
      <c r="M106" s="5">
        <v>55463</v>
      </c>
      <c r="N106" s="5">
        <v>20</v>
      </c>
      <c r="O106" s="5">
        <v>13253</v>
      </c>
      <c r="P106" s="5"/>
      <c r="Q106" s="5">
        <v>68746</v>
      </c>
      <c r="U106" s="1">
        <v>39722</v>
      </c>
      <c r="V106">
        <v>177</v>
      </c>
      <c r="W106" t="s">
        <v>14</v>
      </c>
      <c r="AA106" s="3">
        <v>41821</v>
      </c>
      <c r="AB106" s="5">
        <v>2342</v>
      </c>
      <c r="AC106" s="5">
        <v>47158</v>
      </c>
      <c r="AD106" s="5">
        <v>19246</v>
      </c>
      <c r="AE106" s="5"/>
      <c r="AF106" s="5">
        <v>68746</v>
      </c>
      <c r="AI106" s="1">
        <v>39934</v>
      </c>
      <c r="AJ106">
        <v>87478</v>
      </c>
      <c r="AK106" t="s">
        <v>22</v>
      </c>
      <c r="AN106" s="3">
        <v>41487</v>
      </c>
      <c r="AO106" s="5"/>
      <c r="AP106" s="5">
        <v>23013</v>
      </c>
      <c r="AQ106" s="5">
        <v>60521</v>
      </c>
      <c r="AR106" s="5">
        <v>27485</v>
      </c>
      <c r="AS106" s="5">
        <v>111019</v>
      </c>
      <c r="AW106" s="1">
        <v>39934</v>
      </c>
      <c r="AX106">
        <v>84588</v>
      </c>
      <c r="AY106" t="s">
        <v>23</v>
      </c>
      <c r="BB106" s="3">
        <v>41487</v>
      </c>
      <c r="BC106" s="5"/>
      <c r="BD106" s="5">
        <v>57439</v>
      </c>
      <c r="BE106" s="5">
        <v>86838</v>
      </c>
      <c r="BF106" s="5">
        <v>54706</v>
      </c>
      <c r="BG106" s="5"/>
      <c r="BH106" s="5">
        <v>198983</v>
      </c>
    </row>
    <row r="107" spans="1:60" x14ac:dyDescent="0.25">
      <c r="A107" s="1">
        <v>40087</v>
      </c>
      <c r="B107">
        <v>23119</v>
      </c>
      <c r="C107" t="s">
        <v>4</v>
      </c>
      <c r="J107" s="3">
        <v>41852</v>
      </c>
      <c r="K107" s="5"/>
      <c r="L107" s="5">
        <v>25</v>
      </c>
      <c r="M107" s="5">
        <v>74711</v>
      </c>
      <c r="N107" s="5">
        <v>4942</v>
      </c>
      <c r="O107" s="5">
        <v>15355</v>
      </c>
      <c r="P107" s="5"/>
      <c r="Q107" s="5">
        <v>95033</v>
      </c>
      <c r="U107" s="1">
        <v>39753</v>
      </c>
      <c r="V107">
        <v>27885</v>
      </c>
      <c r="W107" t="s">
        <v>15</v>
      </c>
      <c r="AA107" s="3">
        <v>41852</v>
      </c>
      <c r="AB107" s="5">
        <v>2219</v>
      </c>
      <c r="AC107" s="5">
        <v>58661</v>
      </c>
      <c r="AD107" s="5">
        <v>34153</v>
      </c>
      <c r="AE107" s="5"/>
      <c r="AF107" s="5">
        <v>95033</v>
      </c>
      <c r="AI107" s="1">
        <v>39934</v>
      </c>
      <c r="AJ107">
        <v>108692</v>
      </c>
      <c r="AK107" t="s">
        <v>23</v>
      </c>
      <c r="AN107" s="3">
        <v>41518</v>
      </c>
      <c r="AO107" s="5"/>
      <c r="AP107" s="5">
        <v>20541</v>
      </c>
      <c r="AQ107" s="5">
        <v>56082</v>
      </c>
      <c r="AR107" s="5">
        <v>19112</v>
      </c>
      <c r="AS107" s="5">
        <v>95735</v>
      </c>
      <c r="AW107" s="1">
        <v>39934</v>
      </c>
      <c r="AX107">
        <v>22244</v>
      </c>
      <c r="AY107" t="s">
        <v>22</v>
      </c>
      <c r="BB107" s="3">
        <v>41518</v>
      </c>
      <c r="BC107" s="5"/>
      <c r="BD107" s="5">
        <v>49678</v>
      </c>
      <c r="BE107" s="5">
        <v>91301</v>
      </c>
      <c r="BF107" s="5">
        <v>43768</v>
      </c>
      <c r="BG107" s="5"/>
      <c r="BH107" s="5">
        <v>184747</v>
      </c>
    </row>
    <row r="108" spans="1:60" x14ac:dyDescent="0.25">
      <c r="A108" s="1">
        <v>40087</v>
      </c>
      <c r="B108">
        <v>12098</v>
      </c>
      <c r="C108" t="s">
        <v>5</v>
      </c>
      <c r="J108" s="3">
        <v>41883</v>
      </c>
      <c r="K108" s="5">
        <v>1</v>
      </c>
      <c r="L108" s="5">
        <v>11</v>
      </c>
      <c r="M108" s="5">
        <v>65252</v>
      </c>
      <c r="N108" s="5">
        <v>1198</v>
      </c>
      <c r="O108" s="5">
        <v>16781</v>
      </c>
      <c r="P108" s="5"/>
      <c r="Q108" s="5">
        <v>83243</v>
      </c>
      <c r="U108" s="1">
        <v>39753</v>
      </c>
      <c r="V108">
        <v>28701</v>
      </c>
      <c r="W108" t="s">
        <v>16</v>
      </c>
      <c r="AA108" s="3">
        <v>41883</v>
      </c>
      <c r="AB108" s="5">
        <v>2631</v>
      </c>
      <c r="AC108" s="5">
        <v>53474</v>
      </c>
      <c r="AD108" s="5">
        <v>27138</v>
      </c>
      <c r="AE108" s="5"/>
      <c r="AF108" s="5">
        <v>83243</v>
      </c>
      <c r="AI108" s="1">
        <v>39965</v>
      </c>
      <c r="AJ108">
        <v>10383</v>
      </c>
      <c r="AK108" t="s">
        <v>25</v>
      </c>
      <c r="AN108" s="3">
        <v>41548</v>
      </c>
      <c r="AO108" s="5"/>
      <c r="AP108" s="5">
        <v>15993</v>
      </c>
      <c r="AQ108" s="5">
        <v>49157</v>
      </c>
      <c r="AR108" s="5">
        <v>11604</v>
      </c>
      <c r="AS108" s="5">
        <v>76754</v>
      </c>
      <c r="AW108" s="1">
        <v>39965</v>
      </c>
      <c r="AX108">
        <v>81756</v>
      </c>
      <c r="AY108" t="s">
        <v>24</v>
      </c>
      <c r="BB108" s="3">
        <v>41548</v>
      </c>
      <c r="BC108" s="5"/>
      <c r="BD108" s="5">
        <v>40554</v>
      </c>
      <c r="BE108" s="5">
        <v>91705</v>
      </c>
      <c r="BF108" s="5">
        <v>30822</v>
      </c>
      <c r="BG108" s="5"/>
      <c r="BH108" s="5">
        <v>163081</v>
      </c>
    </row>
    <row r="109" spans="1:60" x14ac:dyDescent="0.25">
      <c r="A109" s="1">
        <v>40087</v>
      </c>
      <c r="B109">
        <v>61209</v>
      </c>
      <c r="C109" t="s">
        <v>2</v>
      </c>
      <c r="J109" s="3">
        <v>41913</v>
      </c>
      <c r="K109" s="5"/>
      <c r="L109" s="5">
        <v>33</v>
      </c>
      <c r="M109" s="5">
        <v>64996</v>
      </c>
      <c r="N109" s="5">
        <v>302</v>
      </c>
      <c r="O109" s="5">
        <v>18205</v>
      </c>
      <c r="P109" s="5"/>
      <c r="Q109" s="5">
        <v>83536</v>
      </c>
      <c r="U109" s="1">
        <v>39753</v>
      </c>
      <c r="V109">
        <v>407</v>
      </c>
      <c r="W109" t="s">
        <v>14</v>
      </c>
      <c r="AA109" s="3">
        <v>41913</v>
      </c>
      <c r="AB109" s="5">
        <v>2568</v>
      </c>
      <c r="AC109" s="5">
        <v>52441</v>
      </c>
      <c r="AD109" s="5">
        <v>28527</v>
      </c>
      <c r="AE109" s="5"/>
      <c r="AF109" s="5">
        <v>83536</v>
      </c>
      <c r="AI109" s="1">
        <v>39965</v>
      </c>
      <c r="AJ109">
        <v>94312</v>
      </c>
      <c r="AK109" t="s">
        <v>24</v>
      </c>
      <c r="AN109" s="3">
        <v>41579</v>
      </c>
      <c r="AO109" s="5"/>
      <c r="AP109" s="5">
        <v>12082</v>
      </c>
      <c r="AQ109" s="5">
        <v>41646</v>
      </c>
      <c r="AR109" s="5">
        <v>7900</v>
      </c>
      <c r="AS109" s="5">
        <v>61628</v>
      </c>
      <c r="AW109" s="1">
        <v>39965</v>
      </c>
      <c r="AX109">
        <v>27796</v>
      </c>
      <c r="AY109" t="s">
        <v>22</v>
      </c>
      <c r="BB109" s="3">
        <v>41579</v>
      </c>
      <c r="BC109" s="5"/>
      <c r="BD109" s="5">
        <v>33744</v>
      </c>
      <c r="BE109" s="5">
        <v>77750</v>
      </c>
      <c r="BF109" s="5">
        <v>21446</v>
      </c>
      <c r="BG109" s="5"/>
      <c r="BH109" s="5">
        <v>132940</v>
      </c>
    </row>
    <row r="110" spans="1:60" x14ac:dyDescent="0.25">
      <c r="A110" s="1">
        <v>40118</v>
      </c>
      <c r="B110">
        <v>77</v>
      </c>
      <c r="C110" t="s">
        <v>3</v>
      </c>
      <c r="J110" s="3">
        <v>41944</v>
      </c>
      <c r="K110" s="5">
        <v>3</v>
      </c>
      <c r="L110" s="5">
        <v>15</v>
      </c>
      <c r="M110" s="5">
        <v>60127</v>
      </c>
      <c r="N110" s="5">
        <v>67</v>
      </c>
      <c r="O110" s="5">
        <v>17771</v>
      </c>
      <c r="P110" s="5"/>
      <c r="Q110" s="5">
        <v>77983</v>
      </c>
      <c r="U110" s="1">
        <v>39783</v>
      </c>
      <c r="V110">
        <v>28353</v>
      </c>
      <c r="W110" t="s">
        <v>15</v>
      </c>
      <c r="AA110" s="3">
        <v>41944</v>
      </c>
      <c r="AB110" s="5">
        <v>2198</v>
      </c>
      <c r="AC110" s="5">
        <v>48167</v>
      </c>
      <c r="AD110" s="5">
        <v>27618</v>
      </c>
      <c r="AE110" s="5"/>
      <c r="AF110" s="5">
        <v>77983</v>
      </c>
      <c r="AI110" s="1">
        <v>39965</v>
      </c>
      <c r="AJ110">
        <v>80976</v>
      </c>
      <c r="AK110" t="s">
        <v>22</v>
      </c>
      <c r="AN110" s="3">
        <v>41609</v>
      </c>
      <c r="AO110" s="5"/>
      <c r="AP110" s="5">
        <v>10922</v>
      </c>
      <c r="AQ110" s="5">
        <v>45669</v>
      </c>
      <c r="AR110" s="5">
        <v>8033</v>
      </c>
      <c r="AS110" s="5">
        <v>64624</v>
      </c>
      <c r="AW110" s="1">
        <v>39965</v>
      </c>
      <c r="AX110">
        <v>22119</v>
      </c>
      <c r="AY110" t="s">
        <v>25</v>
      </c>
      <c r="BB110" s="3">
        <v>41609</v>
      </c>
      <c r="BC110" s="5"/>
      <c r="BD110" s="5">
        <v>32773</v>
      </c>
      <c r="BE110" s="5">
        <v>71683</v>
      </c>
      <c r="BF110" s="5">
        <v>19444</v>
      </c>
      <c r="BG110" s="5"/>
      <c r="BH110" s="5">
        <v>123900</v>
      </c>
    </row>
    <row r="111" spans="1:60" x14ac:dyDescent="0.25">
      <c r="A111" s="1">
        <v>40118</v>
      </c>
      <c r="B111">
        <v>22548</v>
      </c>
      <c r="C111" t="s">
        <v>4</v>
      </c>
      <c r="J111" s="3">
        <v>41974</v>
      </c>
      <c r="K111" s="5">
        <v>1</v>
      </c>
      <c r="L111" s="5">
        <v>1</v>
      </c>
      <c r="M111" s="5">
        <v>48738</v>
      </c>
      <c r="N111" s="5">
        <v>18</v>
      </c>
      <c r="O111" s="5">
        <v>20639</v>
      </c>
      <c r="P111" s="5"/>
      <c r="Q111" s="5">
        <v>69397</v>
      </c>
      <c r="U111" s="1">
        <v>39783</v>
      </c>
      <c r="V111">
        <v>34511</v>
      </c>
      <c r="W111" t="s">
        <v>16</v>
      </c>
      <c r="AA111" s="3">
        <v>41974</v>
      </c>
      <c r="AB111" s="5">
        <v>2266</v>
      </c>
      <c r="AC111" s="5">
        <v>37180</v>
      </c>
      <c r="AD111" s="5">
        <v>29951</v>
      </c>
      <c r="AE111" s="5"/>
      <c r="AF111" s="5">
        <v>69397</v>
      </c>
      <c r="AI111" s="1">
        <v>39995</v>
      </c>
      <c r="AJ111">
        <v>82570</v>
      </c>
      <c r="AK111" t="s">
        <v>22</v>
      </c>
      <c r="AN111" s="3">
        <v>41640</v>
      </c>
      <c r="AO111" s="5"/>
      <c r="AP111" s="5">
        <v>9751</v>
      </c>
      <c r="AQ111" s="5">
        <v>45740</v>
      </c>
      <c r="AR111" s="5">
        <v>9674</v>
      </c>
      <c r="AS111" s="5">
        <v>65165</v>
      </c>
      <c r="AW111" s="1">
        <v>39995</v>
      </c>
      <c r="AX111">
        <v>98694</v>
      </c>
      <c r="AY111" t="s">
        <v>24</v>
      </c>
      <c r="BB111" s="3">
        <v>41640</v>
      </c>
      <c r="BC111" s="5"/>
      <c r="BD111" s="5">
        <v>28222</v>
      </c>
      <c r="BE111" s="5">
        <v>55718</v>
      </c>
      <c r="BF111" s="5">
        <v>18437</v>
      </c>
      <c r="BG111" s="5"/>
      <c r="BH111" s="5">
        <v>102377</v>
      </c>
    </row>
    <row r="112" spans="1:60" x14ac:dyDescent="0.25">
      <c r="A112" s="1">
        <v>40118</v>
      </c>
      <c r="B112">
        <v>16580</v>
      </c>
      <c r="C112" t="s">
        <v>5</v>
      </c>
      <c r="J112" s="3">
        <v>42005</v>
      </c>
      <c r="K112" s="5">
        <v>1</v>
      </c>
      <c r="L112" s="5">
        <v>17</v>
      </c>
      <c r="M112" s="5">
        <v>49656</v>
      </c>
      <c r="N112" s="5">
        <v>67</v>
      </c>
      <c r="O112" s="5">
        <v>20018</v>
      </c>
      <c r="P112" s="5"/>
      <c r="Q112" s="5">
        <v>69759</v>
      </c>
      <c r="U112" s="1">
        <v>39783</v>
      </c>
      <c r="V112">
        <v>375</v>
      </c>
      <c r="W112" t="s">
        <v>14</v>
      </c>
      <c r="AA112" s="3">
        <v>42005</v>
      </c>
      <c r="AB112" s="5">
        <v>1926</v>
      </c>
      <c r="AC112" s="5">
        <v>37274</v>
      </c>
      <c r="AD112" s="5">
        <v>30559</v>
      </c>
      <c r="AE112" s="5"/>
      <c r="AF112" s="5">
        <v>69759</v>
      </c>
      <c r="AI112" s="1">
        <v>39995</v>
      </c>
      <c r="AJ112">
        <v>90531</v>
      </c>
      <c r="AK112" t="s">
        <v>24</v>
      </c>
      <c r="AN112" s="3">
        <v>41671</v>
      </c>
      <c r="AO112" s="5"/>
      <c r="AP112" s="5">
        <v>9671</v>
      </c>
      <c r="AQ112" s="5">
        <v>48083</v>
      </c>
      <c r="AR112" s="5">
        <v>9770</v>
      </c>
      <c r="AS112" s="5">
        <v>67524</v>
      </c>
      <c r="AW112" s="1">
        <v>39995</v>
      </c>
      <c r="AX112">
        <v>35162</v>
      </c>
      <c r="AY112" t="s">
        <v>22</v>
      </c>
      <c r="BB112" s="3">
        <v>41671</v>
      </c>
      <c r="BC112" s="5"/>
      <c r="BD112" s="5">
        <v>26633</v>
      </c>
      <c r="BE112" s="5">
        <v>56034</v>
      </c>
      <c r="BF112" s="5">
        <v>17008</v>
      </c>
      <c r="BG112" s="5"/>
      <c r="BH112" s="5">
        <v>99675</v>
      </c>
    </row>
    <row r="113" spans="1:60" x14ac:dyDescent="0.25">
      <c r="A113" s="1">
        <v>40118</v>
      </c>
      <c r="B113">
        <v>54618</v>
      </c>
      <c r="C113" t="s">
        <v>2</v>
      </c>
      <c r="J113" s="3">
        <v>42036</v>
      </c>
      <c r="K113" s="5">
        <v>9</v>
      </c>
      <c r="L113" s="5">
        <v>26</v>
      </c>
      <c r="M113" s="5">
        <v>63470</v>
      </c>
      <c r="N113" s="5">
        <v>7528</v>
      </c>
      <c r="O113" s="5">
        <v>26307</v>
      </c>
      <c r="P113" s="5"/>
      <c r="Q113" s="5">
        <v>97340</v>
      </c>
      <c r="U113" s="1">
        <v>39814</v>
      </c>
      <c r="V113">
        <v>36364</v>
      </c>
      <c r="W113" t="s">
        <v>15</v>
      </c>
      <c r="AA113" s="3">
        <v>42036</v>
      </c>
      <c r="AB113" s="5">
        <v>2211</v>
      </c>
      <c r="AC113" s="5">
        <v>41840</v>
      </c>
      <c r="AD113" s="5">
        <v>53289</v>
      </c>
      <c r="AE113" s="5"/>
      <c r="AF113" s="5">
        <v>97340</v>
      </c>
      <c r="AI113" s="1">
        <v>39995</v>
      </c>
      <c r="AJ113">
        <v>16311</v>
      </c>
      <c r="AK113" t="s">
        <v>25</v>
      </c>
      <c r="AN113" s="3">
        <v>41699</v>
      </c>
      <c r="AO113" s="5"/>
      <c r="AP113" s="5">
        <v>8095</v>
      </c>
      <c r="AQ113" s="5">
        <v>32180</v>
      </c>
      <c r="AR113" s="5">
        <v>6588</v>
      </c>
      <c r="AS113" s="5">
        <v>46863</v>
      </c>
      <c r="AW113" s="1">
        <v>39995</v>
      </c>
      <c r="AX113">
        <v>39349</v>
      </c>
      <c r="AY113" t="s">
        <v>25</v>
      </c>
      <c r="BB113" s="3">
        <v>41699</v>
      </c>
      <c r="BC113" s="5"/>
      <c r="BD113" s="5">
        <v>22506</v>
      </c>
      <c r="BE113" s="5">
        <v>39691</v>
      </c>
      <c r="BF113" s="5">
        <v>13934</v>
      </c>
      <c r="BG113" s="5"/>
      <c r="BH113" s="5">
        <v>76131</v>
      </c>
    </row>
    <row r="114" spans="1:60" x14ac:dyDescent="0.25">
      <c r="A114" s="1">
        <v>40148</v>
      </c>
      <c r="B114">
        <v>336</v>
      </c>
      <c r="C114" t="s">
        <v>3</v>
      </c>
      <c r="J114" s="3">
        <v>42064</v>
      </c>
      <c r="K114" s="5">
        <v>3319</v>
      </c>
      <c r="L114" s="5"/>
      <c r="M114" s="5">
        <v>43920</v>
      </c>
      <c r="N114" s="5">
        <v>34</v>
      </c>
      <c r="O114" s="5">
        <v>27603</v>
      </c>
      <c r="P114" s="5"/>
      <c r="Q114" s="5">
        <v>74876</v>
      </c>
      <c r="U114" s="1">
        <v>39814</v>
      </c>
      <c r="V114">
        <v>28940</v>
      </c>
      <c r="W114" t="s">
        <v>16</v>
      </c>
      <c r="AA114" s="3">
        <v>42064</v>
      </c>
      <c r="AB114" s="5">
        <v>1947</v>
      </c>
      <c r="AC114" s="5">
        <v>29926</v>
      </c>
      <c r="AD114" s="5">
        <v>43003</v>
      </c>
      <c r="AE114" s="5"/>
      <c r="AF114" s="5">
        <v>74876</v>
      </c>
      <c r="AI114" s="1">
        <v>40026</v>
      </c>
      <c r="AJ114">
        <v>89410</v>
      </c>
      <c r="AK114" t="s">
        <v>22</v>
      </c>
      <c r="AN114" s="3">
        <v>41730</v>
      </c>
      <c r="AO114" s="5"/>
      <c r="AP114" s="5">
        <v>3315</v>
      </c>
      <c r="AQ114" s="5">
        <v>34462</v>
      </c>
      <c r="AR114" s="5">
        <v>9473</v>
      </c>
      <c r="AS114" s="5">
        <v>47250</v>
      </c>
      <c r="AW114" s="1">
        <v>40026</v>
      </c>
      <c r="AX114">
        <v>79985</v>
      </c>
      <c r="AY114" t="s">
        <v>24</v>
      </c>
      <c r="BB114" s="3">
        <v>41730</v>
      </c>
      <c r="BC114" s="5"/>
      <c r="BD114" s="5">
        <v>19121</v>
      </c>
      <c r="BE114" s="5">
        <v>40882</v>
      </c>
      <c r="BF114" s="5">
        <v>12746</v>
      </c>
      <c r="BG114" s="5"/>
      <c r="BH114" s="5">
        <v>72749</v>
      </c>
    </row>
    <row r="115" spans="1:60" x14ac:dyDescent="0.25">
      <c r="A115" s="1">
        <v>40148</v>
      </c>
      <c r="B115">
        <v>30548</v>
      </c>
      <c r="C115" t="s">
        <v>4</v>
      </c>
      <c r="J115" s="3">
        <v>42095</v>
      </c>
      <c r="K115" s="5"/>
      <c r="L115" s="5">
        <v>1</v>
      </c>
      <c r="M115" s="5">
        <v>57744</v>
      </c>
      <c r="N115" s="5">
        <v>1</v>
      </c>
      <c r="O115" s="5">
        <v>38841</v>
      </c>
      <c r="P115" s="5"/>
      <c r="Q115" s="5">
        <v>96587</v>
      </c>
      <c r="U115" s="1">
        <v>39814</v>
      </c>
      <c r="V115">
        <v>397</v>
      </c>
      <c r="W115" t="s">
        <v>14</v>
      </c>
      <c r="AA115" s="3">
        <v>42095</v>
      </c>
      <c r="AB115" s="5">
        <v>2099</v>
      </c>
      <c r="AC115" s="5">
        <v>40194</v>
      </c>
      <c r="AD115" s="5">
        <v>54294</v>
      </c>
      <c r="AE115" s="5"/>
      <c r="AF115" s="5">
        <v>96587</v>
      </c>
      <c r="AI115" s="1">
        <v>40026</v>
      </c>
      <c r="AJ115">
        <v>71783</v>
      </c>
      <c r="AK115" t="s">
        <v>24</v>
      </c>
      <c r="AN115" s="3">
        <v>41760</v>
      </c>
      <c r="AO115" s="5"/>
      <c r="AP115" s="5">
        <v>3393</v>
      </c>
      <c r="AQ115" s="5">
        <v>46337</v>
      </c>
      <c r="AR115" s="5">
        <v>11593</v>
      </c>
      <c r="AS115" s="5">
        <v>61323</v>
      </c>
      <c r="AW115" s="1">
        <v>40026</v>
      </c>
      <c r="AX115">
        <v>41471</v>
      </c>
      <c r="AY115" t="s">
        <v>25</v>
      </c>
      <c r="BB115" s="3">
        <v>41760</v>
      </c>
      <c r="BC115" s="5"/>
      <c r="BD115" s="5">
        <v>20629</v>
      </c>
      <c r="BE115" s="5">
        <v>52579</v>
      </c>
      <c r="BF115" s="5">
        <v>14488</v>
      </c>
      <c r="BG115" s="5"/>
      <c r="BH115" s="5">
        <v>87696</v>
      </c>
    </row>
    <row r="116" spans="1:60" x14ac:dyDescent="0.25">
      <c r="A116" s="1">
        <v>40148</v>
      </c>
      <c r="B116">
        <v>25493</v>
      </c>
      <c r="C116" t="s">
        <v>5</v>
      </c>
      <c r="J116" s="3">
        <v>42125</v>
      </c>
      <c r="K116" s="5"/>
      <c r="L116" s="5"/>
      <c r="M116" s="5">
        <v>63761</v>
      </c>
      <c r="N116" s="5">
        <v>211</v>
      </c>
      <c r="O116" s="5">
        <v>32819</v>
      </c>
      <c r="P116" s="5"/>
      <c r="Q116" s="5">
        <v>96791</v>
      </c>
      <c r="U116" s="1">
        <v>39845</v>
      </c>
      <c r="V116">
        <v>88963</v>
      </c>
      <c r="W116" t="s">
        <v>15</v>
      </c>
      <c r="AA116" s="3">
        <v>42125</v>
      </c>
      <c r="AB116" s="5">
        <v>2013</v>
      </c>
      <c r="AC116" s="5">
        <v>45666</v>
      </c>
      <c r="AD116" s="5">
        <v>49112</v>
      </c>
      <c r="AE116" s="5"/>
      <c r="AF116" s="5">
        <v>96791</v>
      </c>
      <c r="AI116" s="1">
        <v>40026</v>
      </c>
      <c r="AJ116">
        <v>25480</v>
      </c>
      <c r="AK116" t="s">
        <v>25</v>
      </c>
      <c r="AN116" s="3">
        <v>41791</v>
      </c>
      <c r="AO116" s="5"/>
      <c r="AP116" s="5">
        <v>3248</v>
      </c>
      <c r="AQ116" s="5">
        <v>49505</v>
      </c>
      <c r="AR116" s="5">
        <v>11234</v>
      </c>
      <c r="AS116" s="5">
        <v>63987</v>
      </c>
      <c r="AW116" s="1">
        <v>40026</v>
      </c>
      <c r="AX116">
        <v>33907</v>
      </c>
      <c r="AY116" t="s">
        <v>22</v>
      </c>
      <c r="BB116" s="3">
        <v>41791</v>
      </c>
      <c r="BC116" s="5"/>
      <c r="BD116" s="5">
        <v>19641</v>
      </c>
      <c r="BE116" s="5">
        <v>60064</v>
      </c>
      <c r="BF116" s="5">
        <v>14305</v>
      </c>
      <c r="BG116" s="5"/>
      <c r="BH116" s="5">
        <v>94010</v>
      </c>
    </row>
    <row r="117" spans="1:60" x14ac:dyDescent="0.25">
      <c r="A117" s="1">
        <v>40148</v>
      </c>
      <c r="B117">
        <v>70439</v>
      </c>
      <c r="C117" t="s">
        <v>2</v>
      </c>
      <c r="J117" s="3">
        <v>42156</v>
      </c>
      <c r="K117" s="5"/>
      <c r="L117" s="5">
        <v>2</v>
      </c>
      <c r="M117" s="5">
        <v>74200</v>
      </c>
      <c r="N117" s="5">
        <v>2804</v>
      </c>
      <c r="O117" s="5">
        <v>29652</v>
      </c>
      <c r="P117" s="5"/>
      <c r="Q117" s="5">
        <v>106658</v>
      </c>
      <c r="U117" s="1">
        <v>39845</v>
      </c>
      <c r="V117">
        <v>24431</v>
      </c>
      <c r="W117" t="s">
        <v>16</v>
      </c>
      <c r="AA117" s="3">
        <v>42156</v>
      </c>
      <c r="AB117" s="5">
        <v>1859</v>
      </c>
      <c r="AC117" s="5">
        <v>53369</v>
      </c>
      <c r="AD117" s="5">
        <v>51430</v>
      </c>
      <c r="AE117" s="5"/>
      <c r="AF117" s="5">
        <v>106658</v>
      </c>
      <c r="AI117" s="1">
        <v>40057</v>
      </c>
      <c r="AJ117">
        <v>22620</v>
      </c>
      <c r="AK117" t="s">
        <v>25</v>
      </c>
      <c r="AN117" s="3">
        <v>41821</v>
      </c>
      <c r="AO117" s="5"/>
      <c r="AP117" s="5">
        <v>2784</v>
      </c>
      <c r="AQ117" s="5">
        <v>55296</v>
      </c>
      <c r="AR117" s="5">
        <v>10540</v>
      </c>
      <c r="AS117" s="5">
        <v>68620</v>
      </c>
      <c r="AW117" s="1">
        <v>40057</v>
      </c>
      <c r="AX117">
        <v>25673</v>
      </c>
      <c r="AY117" t="s">
        <v>22</v>
      </c>
      <c r="BB117" s="3">
        <v>41821</v>
      </c>
      <c r="BC117" s="5"/>
      <c r="BD117" s="5">
        <v>19650</v>
      </c>
      <c r="BE117" s="5">
        <v>71732</v>
      </c>
      <c r="BF117" s="5">
        <v>15182</v>
      </c>
      <c r="BG117" s="5"/>
      <c r="BH117" s="5">
        <v>106564</v>
      </c>
    </row>
    <row r="118" spans="1:60" x14ac:dyDescent="0.25">
      <c r="A118" s="1">
        <v>40179</v>
      </c>
      <c r="B118">
        <v>360</v>
      </c>
      <c r="C118" t="s">
        <v>3</v>
      </c>
      <c r="J118" s="3">
        <v>42186</v>
      </c>
      <c r="K118" s="5"/>
      <c r="L118" s="5"/>
      <c r="M118" s="5">
        <v>77621</v>
      </c>
      <c r="N118" s="5">
        <v>1279</v>
      </c>
      <c r="O118" s="5">
        <v>24711</v>
      </c>
      <c r="P118" s="5"/>
      <c r="Q118" s="5">
        <v>103611</v>
      </c>
      <c r="U118" s="1">
        <v>39845</v>
      </c>
      <c r="V118">
        <v>1250</v>
      </c>
      <c r="W118" t="s">
        <v>14</v>
      </c>
      <c r="AA118" s="3">
        <v>42186</v>
      </c>
      <c r="AB118" s="5">
        <v>1686</v>
      </c>
      <c r="AC118" s="5">
        <v>58490</v>
      </c>
      <c r="AD118" s="5">
        <v>43435</v>
      </c>
      <c r="AE118" s="5"/>
      <c r="AF118" s="5">
        <v>103611</v>
      </c>
      <c r="AI118" s="1">
        <v>40057</v>
      </c>
      <c r="AJ118">
        <v>45076</v>
      </c>
      <c r="AK118" t="s">
        <v>24</v>
      </c>
      <c r="AN118" s="3">
        <v>41852</v>
      </c>
      <c r="AO118" s="5"/>
      <c r="AP118" s="5">
        <v>2417</v>
      </c>
      <c r="AQ118" s="5">
        <v>65987</v>
      </c>
      <c r="AR118" s="5">
        <v>13459</v>
      </c>
      <c r="AS118" s="5">
        <v>81863</v>
      </c>
      <c r="AW118" s="1">
        <v>40057</v>
      </c>
      <c r="AX118">
        <v>49944</v>
      </c>
      <c r="AY118" t="s">
        <v>24</v>
      </c>
      <c r="BB118" s="3">
        <v>41852</v>
      </c>
      <c r="BC118" s="5"/>
      <c r="BD118" s="5">
        <v>21026</v>
      </c>
      <c r="BE118" s="5">
        <v>78272</v>
      </c>
      <c r="BF118" s="5">
        <v>17576</v>
      </c>
      <c r="BG118" s="5"/>
      <c r="BH118" s="5">
        <v>116874</v>
      </c>
    </row>
    <row r="119" spans="1:60" x14ac:dyDescent="0.25">
      <c r="A119" s="1">
        <v>40179</v>
      </c>
      <c r="B119">
        <v>24350</v>
      </c>
      <c r="C119" t="s">
        <v>4</v>
      </c>
      <c r="J119" s="3">
        <v>42217</v>
      </c>
      <c r="K119" s="5"/>
      <c r="L119" s="5"/>
      <c r="M119" s="5">
        <v>68006</v>
      </c>
      <c r="N119" s="5"/>
      <c r="O119" s="5">
        <v>17994</v>
      </c>
      <c r="P119" s="5"/>
      <c r="Q119" s="5">
        <v>86000</v>
      </c>
      <c r="U119" s="1">
        <v>39873</v>
      </c>
      <c r="V119">
        <v>187401</v>
      </c>
      <c r="W119" t="s">
        <v>15</v>
      </c>
      <c r="AA119" s="3">
        <v>42217</v>
      </c>
      <c r="AB119" s="5">
        <v>1399</v>
      </c>
      <c r="AC119" s="5">
        <v>50580</v>
      </c>
      <c r="AD119" s="5">
        <v>34021</v>
      </c>
      <c r="AE119" s="5"/>
      <c r="AF119" s="5">
        <v>86000</v>
      </c>
      <c r="AI119" s="1">
        <v>40057</v>
      </c>
      <c r="AJ119">
        <v>83867</v>
      </c>
      <c r="AK119" t="s">
        <v>22</v>
      </c>
      <c r="AN119" s="3">
        <v>41883</v>
      </c>
      <c r="AO119" s="5"/>
      <c r="AP119" s="5">
        <v>2312</v>
      </c>
      <c r="AQ119" s="5">
        <v>67292</v>
      </c>
      <c r="AR119" s="5">
        <v>14181</v>
      </c>
      <c r="AS119" s="5">
        <v>83785</v>
      </c>
      <c r="AW119" s="1">
        <v>40057</v>
      </c>
      <c r="AX119">
        <v>30038</v>
      </c>
      <c r="AY119" t="s">
        <v>25</v>
      </c>
      <c r="BB119" s="3">
        <v>41883</v>
      </c>
      <c r="BC119" s="5"/>
      <c r="BD119" s="5">
        <v>22613</v>
      </c>
      <c r="BE119" s="5">
        <v>76943</v>
      </c>
      <c r="BF119" s="5">
        <v>18183</v>
      </c>
      <c r="BG119" s="5"/>
      <c r="BH119" s="5">
        <v>117739</v>
      </c>
    </row>
    <row r="120" spans="1:60" x14ac:dyDescent="0.25">
      <c r="A120" s="1">
        <v>40179</v>
      </c>
      <c r="B120">
        <v>24649</v>
      </c>
      <c r="C120" t="s">
        <v>5</v>
      </c>
      <c r="J120" s="3">
        <v>42248</v>
      </c>
      <c r="K120" s="5"/>
      <c r="L120" s="5"/>
      <c r="M120" s="5">
        <v>75190</v>
      </c>
      <c r="N120" s="5">
        <v>11</v>
      </c>
      <c r="O120" s="5">
        <v>18141</v>
      </c>
      <c r="P120" s="5"/>
      <c r="Q120" s="5">
        <v>93342</v>
      </c>
      <c r="U120" s="1">
        <v>39873</v>
      </c>
      <c r="V120">
        <v>27687</v>
      </c>
      <c r="W120" t="s">
        <v>16</v>
      </c>
      <c r="AA120" s="3">
        <v>42248</v>
      </c>
      <c r="AB120" s="5">
        <v>1669</v>
      </c>
      <c r="AC120" s="5">
        <v>62040</v>
      </c>
      <c r="AD120" s="5">
        <v>29633</v>
      </c>
      <c r="AE120" s="5"/>
      <c r="AF120" s="5">
        <v>93342</v>
      </c>
      <c r="AI120" s="1">
        <v>40087</v>
      </c>
      <c r="AJ120">
        <v>16406</v>
      </c>
      <c r="AK120" t="s">
        <v>25</v>
      </c>
      <c r="AN120" s="3">
        <v>41913</v>
      </c>
      <c r="AO120" s="5"/>
      <c r="AP120" s="5">
        <v>2380</v>
      </c>
      <c r="AQ120" s="5">
        <v>63700</v>
      </c>
      <c r="AR120" s="5">
        <v>14351</v>
      </c>
      <c r="AS120" s="5">
        <v>80431</v>
      </c>
      <c r="AW120" s="1">
        <v>40087</v>
      </c>
      <c r="AX120">
        <v>25546</v>
      </c>
      <c r="AY120" t="s">
        <v>22</v>
      </c>
      <c r="BB120" s="3">
        <v>41913</v>
      </c>
      <c r="BC120" s="5"/>
      <c r="BD120" s="5">
        <v>3822</v>
      </c>
      <c r="BE120" s="5">
        <v>72571</v>
      </c>
      <c r="BF120" s="5">
        <v>39009</v>
      </c>
      <c r="BG120" s="5"/>
      <c r="BH120" s="5">
        <v>115402</v>
      </c>
    </row>
    <row r="121" spans="1:60" x14ac:dyDescent="0.25">
      <c r="A121" s="1">
        <v>40179</v>
      </c>
      <c r="B121">
        <v>51271</v>
      </c>
      <c r="C121" t="s">
        <v>2</v>
      </c>
      <c r="J121" s="3">
        <v>42278</v>
      </c>
      <c r="K121" s="5"/>
      <c r="L121" s="5"/>
      <c r="M121" s="5">
        <v>72819</v>
      </c>
      <c r="N121" s="5">
        <v>531</v>
      </c>
      <c r="O121" s="5">
        <v>17495</v>
      </c>
      <c r="P121" s="5"/>
      <c r="Q121" s="5">
        <v>90845</v>
      </c>
      <c r="U121" s="1">
        <v>39873</v>
      </c>
      <c r="V121">
        <v>2318</v>
      </c>
      <c r="W121" t="s">
        <v>14</v>
      </c>
      <c r="AA121" s="3">
        <v>42278</v>
      </c>
      <c r="AB121" s="5">
        <v>1726</v>
      </c>
      <c r="AC121" s="5">
        <v>56968</v>
      </c>
      <c r="AD121" s="5">
        <v>32151</v>
      </c>
      <c r="AE121" s="5"/>
      <c r="AF121" s="5">
        <v>90845</v>
      </c>
      <c r="AI121" s="1">
        <v>40087</v>
      </c>
      <c r="AJ121">
        <v>24616</v>
      </c>
      <c r="AK121" t="s">
        <v>24</v>
      </c>
      <c r="AN121" s="3">
        <v>41944</v>
      </c>
      <c r="AO121" s="5"/>
      <c r="AP121" s="5">
        <v>2381</v>
      </c>
      <c r="AQ121" s="5">
        <v>59685</v>
      </c>
      <c r="AR121" s="5">
        <v>15344</v>
      </c>
      <c r="AS121" s="5">
        <v>77410</v>
      </c>
      <c r="AW121" s="1">
        <v>40087</v>
      </c>
      <c r="AX121">
        <v>21784</v>
      </c>
      <c r="AY121" t="s">
        <v>25</v>
      </c>
      <c r="BB121" s="3">
        <v>41944</v>
      </c>
      <c r="BC121" s="5"/>
      <c r="BD121" s="5">
        <v>3734</v>
      </c>
      <c r="BE121" s="5">
        <v>67442</v>
      </c>
      <c r="BF121" s="5">
        <v>41903</v>
      </c>
      <c r="BG121" s="5"/>
      <c r="BH121" s="5">
        <v>113079</v>
      </c>
    </row>
    <row r="122" spans="1:60" x14ac:dyDescent="0.25">
      <c r="A122" s="1">
        <v>40210</v>
      </c>
      <c r="B122">
        <v>77</v>
      </c>
      <c r="C122" t="s">
        <v>3</v>
      </c>
      <c r="J122" s="3">
        <v>42309</v>
      </c>
      <c r="K122" s="5">
        <v>116</v>
      </c>
      <c r="L122" s="5">
        <v>63</v>
      </c>
      <c r="M122" s="5">
        <v>61380</v>
      </c>
      <c r="N122" s="5"/>
      <c r="O122" s="5">
        <v>17242</v>
      </c>
      <c r="P122" s="5"/>
      <c r="Q122" s="5">
        <v>78801</v>
      </c>
      <c r="U122" s="1">
        <v>39904</v>
      </c>
      <c r="V122">
        <v>140030</v>
      </c>
      <c r="W122" t="s">
        <v>15</v>
      </c>
      <c r="AA122" s="3">
        <v>42309</v>
      </c>
      <c r="AB122" s="5">
        <v>1395</v>
      </c>
      <c r="AC122" s="5">
        <v>45390</v>
      </c>
      <c r="AD122" s="5">
        <v>32016</v>
      </c>
      <c r="AE122" s="5"/>
      <c r="AF122" s="5">
        <v>78801</v>
      </c>
      <c r="AI122" s="1">
        <v>40087</v>
      </c>
      <c r="AJ122">
        <v>62931</v>
      </c>
      <c r="AK122" t="s">
        <v>22</v>
      </c>
      <c r="AN122" s="3">
        <v>41974</v>
      </c>
      <c r="AO122" s="5"/>
      <c r="AP122" s="5">
        <v>2277</v>
      </c>
      <c r="AQ122" s="5">
        <v>54341</v>
      </c>
      <c r="AR122" s="5">
        <v>15891</v>
      </c>
      <c r="AS122" s="5">
        <v>72509</v>
      </c>
      <c r="AW122" s="1">
        <v>40087</v>
      </c>
      <c r="AX122">
        <v>32936</v>
      </c>
      <c r="AY122" t="s">
        <v>24</v>
      </c>
      <c r="BB122" s="3">
        <v>41974</v>
      </c>
      <c r="BC122" s="5"/>
      <c r="BD122" s="5">
        <v>3478</v>
      </c>
      <c r="BE122" s="5">
        <v>70617</v>
      </c>
      <c r="BF122" s="5">
        <v>43011</v>
      </c>
      <c r="BG122" s="5"/>
      <c r="BH122" s="5">
        <v>117106</v>
      </c>
    </row>
    <row r="123" spans="1:60" x14ac:dyDescent="0.25">
      <c r="A123" s="1">
        <v>40210</v>
      </c>
      <c r="B123">
        <v>28003</v>
      </c>
      <c r="C123" t="s">
        <v>4</v>
      </c>
      <c r="J123" s="3">
        <v>42339</v>
      </c>
      <c r="K123" s="5"/>
      <c r="L123" s="5">
        <v>5</v>
      </c>
      <c r="M123" s="5">
        <v>56308</v>
      </c>
      <c r="N123" s="5"/>
      <c r="O123" s="5">
        <v>17651</v>
      </c>
      <c r="P123" s="5"/>
      <c r="Q123" s="5">
        <v>73964</v>
      </c>
      <c r="U123" s="1">
        <v>39904</v>
      </c>
      <c r="V123">
        <v>24673</v>
      </c>
      <c r="W123" t="s">
        <v>16</v>
      </c>
      <c r="AA123" s="3">
        <v>42339</v>
      </c>
      <c r="AB123" s="5">
        <v>1188</v>
      </c>
      <c r="AC123" s="5">
        <v>41614</v>
      </c>
      <c r="AD123" s="5">
        <v>31162</v>
      </c>
      <c r="AE123" s="5"/>
      <c r="AF123" s="5">
        <v>73964</v>
      </c>
      <c r="AI123" s="1">
        <v>40118</v>
      </c>
      <c r="AJ123">
        <v>13051</v>
      </c>
      <c r="AK123" t="s">
        <v>25</v>
      </c>
      <c r="AN123" s="3">
        <v>42005</v>
      </c>
      <c r="AO123" s="5"/>
      <c r="AP123" s="5">
        <v>1975</v>
      </c>
      <c r="AQ123" s="5">
        <v>47249</v>
      </c>
      <c r="AR123" s="5">
        <v>19500</v>
      </c>
      <c r="AS123" s="5">
        <v>68724</v>
      </c>
      <c r="AW123" s="1">
        <v>40118</v>
      </c>
      <c r="AX123">
        <v>24426</v>
      </c>
      <c r="AY123" t="s">
        <v>22</v>
      </c>
      <c r="BB123" s="3">
        <v>42005</v>
      </c>
      <c r="BC123" s="5"/>
      <c r="BD123" s="5">
        <v>2955</v>
      </c>
      <c r="BE123" s="5">
        <v>57379</v>
      </c>
      <c r="BF123" s="5">
        <v>46727</v>
      </c>
      <c r="BG123" s="5"/>
      <c r="BH123" s="5">
        <v>107061</v>
      </c>
    </row>
    <row r="124" spans="1:60" x14ac:dyDescent="0.25">
      <c r="A124" s="1">
        <v>40210</v>
      </c>
      <c r="B124">
        <v>26299</v>
      </c>
      <c r="C124" t="s">
        <v>5</v>
      </c>
      <c r="J124" s="3">
        <v>42370</v>
      </c>
      <c r="K124" s="5"/>
      <c r="L124" s="5"/>
      <c r="M124" s="5">
        <v>38576</v>
      </c>
      <c r="N124" s="5"/>
      <c r="O124" s="5">
        <v>10736</v>
      </c>
      <c r="P124" s="5"/>
      <c r="Q124" s="5">
        <v>49312</v>
      </c>
      <c r="U124" s="1">
        <v>39904</v>
      </c>
      <c r="V124">
        <v>1785</v>
      </c>
      <c r="W124" t="s">
        <v>14</v>
      </c>
      <c r="AA124" s="3">
        <v>42370</v>
      </c>
      <c r="AB124" s="5">
        <v>722</v>
      </c>
      <c r="AC124" s="5">
        <v>28453</v>
      </c>
      <c r="AD124" s="5">
        <v>20137</v>
      </c>
      <c r="AE124" s="5"/>
      <c r="AF124" s="5">
        <v>49312</v>
      </c>
      <c r="AI124" s="1">
        <v>40118</v>
      </c>
      <c r="AJ124">
        <v>20958</v>
      </c>
      <c r="AK124" t="s">
        <v>24</v>
      </c>
      <c r="AN124" s="3">
        <v>42036</v>
      </c>
      <c r="AO124" s="5"/>
      <c r="AP124" s="5">
        <v>2128</v>
      </c>
      <c r="AQ124" s="5">
        <v>50077</v>
      </c>
      <c r="AR124" s="5">
        <v>18810</v>
      </c>
      <c r="AS124" s="5">
        <v>71015</v>
      </c>
      <c r="AW124" s="1">
        <v>40118</v>
      </c>
      <c r="AX124">
        <v>25969</v>
      </c>
      <c r="AY124" t="s">
        <v>24</v>
      </c>
      <c r="BB124" s="3">
        <v>42036</v>
      </c>
      <c r="BC124" s="5"/>
      <c r="BD124" s="5">
        <v>3183</v>
      </c>
      <c r="BE124" s="5">
        <v>65620</v>
      </c>
      <c r="BF124" s="5">
        <v>54114</v>
      </c>
      <c r="BG124" s="5"/>
      <c r="BH124" s="5">
        <v>122917</v>
      </c>
    </row>
    <row r="125" spans="1:60" x14ac:dyDescent="0.25">
      <c r="A125" s="1">
        <v>40210</v>
      </c>
      <c r="B125">
        <v>51586</v>
      </c>
      <c r="C125" t="s">
        <v>2</v>
      </c>
      <c r="J125" s="4" t="s">
        <v>8</v>
      </c>
      <c r="K125" s="5"/>
      <c r="L125" s="5"/>
      <c r="M125" s="5"/>
      <c r="N125" s="5"/>
      <c r="O125" s="5"/>
      <c r="P125" s="5"/>
      <c r="Q125" s="5"/>
      <c r="U125" s="1">
        <v>39934</v>
      </c>
      <c r="V125">
        <v>123547</v>
      </c>
      <c r="W125" t="s">
        <v>15</v>
      </c>
      <c r="AA125" s="4" t="s">
        <v>8</v>
      </c>
      <c r="AB125" s="5"/>
      <c r="AC125" s="5"/>
      <c r="AD125" s="5"/>
      <c r="AE125" s="5"/>
      <c r="AF125" s="5"/>
      <c r="AI125" s="1">
        <v>40118</v>
      </c>
      <c r="AJ125">
        <v>58846</v>
      </c>
      <c r="AK125" t="s">
        <v>22</v>
      </c>
      <c r="AN125" s="3">
        <v>42064</v>
      </c>
      <c r="AO125" s="5"/>
      <c r="AP125" s="5">
        <v>1852</v>
      </c>
      <c r="AQ125" s="5">
        <v>39430</v>
      </c>
      <c r="AR125" s="5">
        <v>22277</v>
      </c>
      <c r="AS125" s="5">
        <v>63559</v>
      </c>
      <c r="AW125" s="1">
        <v>40118</v>
      </c>
      <c r="AX125">
        <v>18281</v>
      </c>
      <c r="AY125" t="s">
        <v>25</v>
      </c>
      <c r="BB125" s="3">
        <v>42064</v>
      </c>
      <c r="BC125" s="5"/>
      <c r="BD125" s="5">
        <v>2758</v>
      </c>
      <c r="BE125" s="5">
        <v>45536</v>
      </c>
      <c r="BF125" s="5">
        <v>50538</v>
      </c>
      <c r="BG125" s="5"/>
      <c r="BH125" s="5">
        <v>98832</v>
      </c>
    </row>
    <row r="126" spans="1:60" x14ac:dyDescent="0.25">
      <c r="A126" s="1">
        <v>40238</v>
      </c>
      <c r="B126">
        <v>679</v>
      </c>
      <c r="C126" t="s">
        <v>3</v>
      </c>
      <c r="J126" s="4" t="s">
        <v>9</v>
      </c>
      <c r="K126" s="5">
        <v>1071585</v>
      </c>
      <c r="L126" s="5">
        <v>1270049</v>
      </c>
      <c r="M126" s="5">
        <v>7768848</v>
      </c>
      <c r="N126" s="5">
        <v>1512868</v>
      </c>
      <c r="O126" s="5">
        <v>450073</v>
      </c>
      <c r="P126" s="5"/>
      <c r="Q126" s="5">
        <v>12073423</v>
      </c>
      <c r="U126" s="1">
        <v>39934</v>
      </c>
      <c r="V126">
        <v>24641</v>
      </c>
      <c r="W126" t="s">
        <v>16</v>
      </c>
      <c r="AA126" s="4" t="s">
        <v>9</v>
      </c>
      <c r="AB126" s="5">
        <v>743312</v>
      </c>
      <c r="AC126" s="5">
        <v>4968531</v>
      </c>
      <c r="AD126" s="5">
        <v>6361580</v>
      </c>
      <c r="AE126" s="5"/>
      <c r="AF126" s="5">
        <v>12073423</v>
      </c>
      <c r="AI126" s="1">
        <v>40148</v>
      </c>
      <c r="AJ126">
        <v>62802</v>
      </c>
      <c r="AK126" t="s">
        <v>22</v>
      </c>
      <c r="AN126" s="3">
        <v>42095</v>
      </c>
      <c r="AO126" s="5"/>
      <c r="AP126" s="5">
        <v>1910</v>
      </c>
      <c r="AQ126" s="5">
        <v>45765</v>
      </c>
      <c r="AR126" s="5">
        <v>33106</v>
      </c>
      <c r="AS126" s="5">
        <v>80781</v>
      </c>
      <c r="AW126" s="1">
        <v>40148</v>
      </c>
      <c r="AX126">
        <v>20048</v>
      </c>
      <c r="AY126" t="s">
        <v>25</v>
      </c>
      <c r="BB126" s="3">
        <v>42095</v>
      </c>
      <c r="BC126" s="5"/>
      <c r="BD126" s="5">
        <v>2890</v>
      </c>
      <c r="BE126" s="5">
        <v>47059</v>
      </c>
      <c r="BF126" s="5">
        <v>70674</v>
      </c>
      <c r="BG126" s="5"/>
      <c r="BH126" s="5">
        <v>120623</v>
      </c>
    </row>
    <row r="127" spans="1:60" x14ac:dyDescent="0.25">
      <c r="A127" s="1">
        <v>40238</v>
      </c>
      <c r="B127">
        <v>25937</v>
      </c>
      <c r="C127" t="s">
        <v>4</v>
      </c>
      <c r="U127" s="1">
        <v>39934</v>
      </c>
      <c r="V127">
        <v>2588</v>
      </c>
      <c r="W127" t="s">
        <v>14</v>
      </c>
      <c r="AI127" s="1">
        <v>40148</v>
      </c>
      <c r="AJ127">
        <v>26484</v>
      </c>
      <c r="AK127" t="s">
        <v>24</v>
      </c>
      <c r="AN127" s="3">
        <v>42125</v>
      </c>
      <c r="AO127" s="5"/>
      <c r="AP127" s="5">
        <v>2169</v>
      </c>
      <c r="AQ127" s="5">
        <v>63287</v>
      </c>
      <c r="AR127" s="5">
        <v>37447</v>
      </c>
      <c r="AS127" s="5">
        <v>102903</v>
      </c>
      <c r="AW127" s="1">
        <v>40148</v>
      </c>
      <c r="AX127">
        <v>26861</v>
      </c>
      <c r="AY127" t="s">
        <v>22</v>
      </c>
      <c r="BB127" s="3">
        <v>42125</v>
      </c>
      <c r="BC127" s="5"/>
      <c r="BD127" s="5">
        <v>3285</v>
      </c>
      <c r="BE127" s="5">
        <v>64171</v>
      </c>
      <c r="BF127" s="5">
        <v>78177</v>
      </c>
      <c r="BG127" s="5"/>
      <c r="BH127" s="5">
        <v>145633</v>
      </c>
    </row>
    <row r="128" spans="1:60" x14ac:dyDescent="0.25">
      <c r="A128" s="1">
        <v>40238</v>
      </c>
      <c r="B128">
        <v>21183</v>
      </c>
      <c r="C128" t="s">
        <v>5</v>
      </c>
      <c r="U128" s="1">
        <v>39965</v>
      </c>
      <c r="V128">
        <v>183268</v>
      </c>
      <c r="W128" t="s">
        <v>15</v>
      </c>
      <c r="AI128" s="1">
        <v>40148</v>
      </c>
      <c r="AJ128">
        <v>18179</v>
      </c>
      <c r="AK128" t="s">
        <v>25</v>
      </c>
      <c r="AN128" s="3">
        <v>42156</v>
      </c>
      <c r="AO128" s="5"/>
      <c r="AP128" s="5">
        <v>2004</v>
      </c>
      <c r="AQ128" s="5">
        <v>66830</v>
      </c>
      <c r="AR128" s="5">
        <v>28536</v>
      </c>
      <c r="AS128" s="5">
        <v>97370</v>
      </c>
      <c r="AW128" s="1">
        <v>40148</v>
      </c>
      <c r="AX128">
        <v>26137</v>
      </c>
      <c r="AY128" t="s">
        <v>24</v>
      </c>
      <c r="BB128" s="3">
        <v>42156</v>
      </c>
      <c r="BC128" s="5"/>
      <c r="BD128" s="5">
        <v>2905</v>
      </c>
      <c r="BE128" s="5">
        <v>67676</v>
      </c>
      <c r="BF128" s="5">
        <v>60562</v>
      </c>
      <c r="BG128" s="5"/>
      <c r="BH128" s="5">
        <v>131143</v>
      </c>
    </row>
    <row r="129" spans="1:60" x14ac:dyDescent="0.25">
      <c r="A129" s="1">
        <v>40238</v>
      </c>
      <c r="B129">
        <v>56751</v>
      </c>
      <c r="C129" t="s">
        <v>2</v>
      </c>
      <c r="U129" s="1">
        <v>39965</v>
      </c>
      <c r="V129">
        <v>41335</v>
      </c>
      <c r="W129" t="s">
        <v>16</v>
      </c>
      <c r="AI129" s="1">
        <v>40179</v>
      </c>
      <c r="AJ129">
        <v>60390</v>
      </c>
      <c r="AK129" t="s">
        <v>22</v>
      </c>
      <c r="AN129" s="3">
        <v>42186</v>
      </c>
      <c r="AO129" s="5"/>
      <c r="AP129" s="5">
        <v>1721</v>
      </c>
      <c r="AQ129" s="5">
        <v>70152</v>
      </c>
      <c r="AR129" s="5">
        <v>24520</v>
      </c>
      <c r="AS129" s="5">
        <v>96393</v>
      </c>
      <c r="AW129" s="1">
        <v>40179</v>
      </c>
      <c r="AX129">
        <v>27335</v>
      </c>
      <c r="AY129" t="s">
        <v>24</v>
      </c>
      <c r="BB129" s="3">
        <v>42186</v>
      </c>
      <c r="BC129" s="5"/>
      <c r="BD129" s="5">
        <v>2527</v>
      </c>
      <c r="BE129" s="5">
        <v>78212</v>
      </c>
      <c r="BF129" s="5">
        <v>56416</v>
      </c>
      <c r="BG129" s="5"/>
      <c r="BH129" s="5">
        <v>137155</v>
      </c>
    </row>
    <row r="130" spans="1:60" x14ac:dyDescent="0.25">
      <c r="A130" s="1">
        <v>40269</v>
      </c>
      <c r="B130">
        <v>113</v>
      </c>
      <c r="C130" t="s">
        <v>3</v>
      </c>
      <c r="U130" s="1">
        <v>39965</v>
      </c>
      <c r="V130">
        <v>9453</v>
      </c>
      <c r="W130" t="s">
        <v>14</v>
      </c>
      <c r="AI130" s="1">
        <v>40179</v>
      </c>
      <c r="AJ130">
        <v>23590</v>
      </c>
      <c r="AK130" t="s">
        <v>25</v>
      </c>
      <c r="AN130" s="3">
        <v>42217</v>
      </c>
      <c r="AO130" s="5"/>
      <c r="AP130" s="5">
        <v>1641</v>
      </c>
      <c r="AQ130" s="5">
        <v>73089</v>
      </c>
      <c r="AR130" s="5">
        <v>19762</v>
      </c>
      <c r="AS130" s="5">
        <v>94492</v>
      </c>
      <c r="AW130" s="1">
        <v>40179</v>
      </c>
      <c r="AX130">
        <v>22598</v>
      </c>
      <c r="AY130" t="s">
        <v>25</v>
      </c>
      <c r="BB130" s="3">
        <v>42217</v>
      </c>
      <c r="BC130" s="5"/>
      <c r="BD130" s="5">
        <v>2529</v>
      </c>
      <c r="BE130" s="5">
        <v>93543</v>
      </c>
      <c r="BF130" s="5">
        <v>55180</v>
      </c>
      <c r="BG130" s="5"/>
      <c r="BH130" s="5">
        <v>151252</v>
      </c>
    </row>
    <row r="131" spans="1:60" x14ac:dyDescent="0.25">
      <c r="A131" s="1">
        <v>40269</v>
      </c>
      <c r="B131">
        <v>14416</v>
      </c>
      <c r="C131" t="s">
        <v>4</v>
      </c>
      <c r="U131" s="1">
        <v>39995</v>
      </c>
      <c r="V131">
        <v>107233</v>
      </c>
      <c r="W131" t="s">
        <v>15</v>
      </c>
      <c r="AI131" s="1">
        <v>40179</v>
      </c>
      <c r="AJ131">
        <v>27562</v>
      </c>
      <c r="AK131" t="s">
        <v>24</v>
      </c>
      <c r="AN131" s="3">
        <v>42248</v>
      </c>
      <c r="AO131" s="5"/>
      <c r="AP131" s="5">
        <v>1471</v>
      </c>
      <c r="AQ131" s="5">
        <v>71662</v>
      </c>
      <c r="AR131" s="5">
        <v>15711</v>
      </c>
      <c r="AS131" s="5">
        <v>88844</v>
      </c>
      <c r="AW131" s="1">
        <v>40179</v>
      </c>
      <c r="AX131">
        <v>27023</v>
      </c>
      <c r="AY131" t="s">
        <v>22</v>
      </c>
      <c r="BB131" s="3">
        <v>42248</v>
      </c>
      <c r="BC131" s="5"/>
      <c r="BD131" s="5">
        <v>2316</v>
      </c>
      <c r="BE131" s="5">
        <v>87144</v>
      </c>
      <c r="BF131" s="5">
        <v>47513</v>
      </c>
      <c r="BG131" s="5"/>
      <c r="BH131" s="5">
        <v>136973</v>
      </c>
    </row>
    <row r="132" spans="1:60" x14ac:dyDescent="0.25">
      <c r="A132" s="1">
        <v>40269</v>
      </c>
      <c r="B132">
        <v>19513</v>
      </c>
      <c r="C132" t="s">
        <v>5</v>
      </c>
      <c r="U132" s="1">
        <v>39995</v>
      </c>
      <c r="V132">
        <v>32476</v>
      </c>
      <c r="W132" t="s">
        <v>16</v>
      </c>
      <c r="AI132" s="1">
        <v>40210</v>
      </c>
      <c r="AJ132">
        <v>29806</v>
      </c>
      <c r="AK132" t="s">
        <v>24</v>
      </c>
      <c r="AN132" s="3">
        <v>42278</v>
      </c>
      <c r="AO132" s="5"/>
      <c r="AP132" s="5">
        <v>1498</v>
      </c>
      <c r="AQ132" s="5">
        <v>69102</v>
      </c>
      <c r="AR132" s="5">
        <v>15047</v>
      </c>
      <c r="AS132" s="5">
        <v>85647</v>
      </c>
      <c r="AW132" s="1">
        <v>40210</v>
      </c>
      <c r="AX132">
        <v>31066</v>
      </c>
      <c r="AY132" t="s">
        <v>24</v>
      </c>
      <c r="BB132" s="3">
        <v>42278</v>
      </c>
      <c r="BC132" s="5"/>
      <c r="BD132" s="5">
        <v>2363</v>
      </c>
      <c r="BE132" s="5">
        <v>78995</v>
      </c>
      <c r="BF132" s="5">
        <v>44660</v>
      </c>
      <c r="BG132" s="5"/>
      <c r="BH132" s="5">
        <v>126018</v>
      </c>
    </row>
    <row r="133" spans="1:60" x14ac:dyDescent="0.25">
      <c r="A133" s="1">
        <v>40269</v>
      </c>
      <c r="B133">
        <v>37231</v>
      </c>
      <c r="C133" t="s">
        <v>2</v>
      </c>
      <c r="U133" s="1">
        <v>39995</v>
      </c>
      <c r="V133">
        <v>14498</v>
      </c>
      <c r="W133" t="s">
        <v>14</v>
      </c>
      <c r="AI133" s="1">
        <v>40210</v>
      </c>
      <c r="AJ133">
        <v>54738</v>
      </c>
      <c r="AK133" t="s">
        <v>22</v>
      </c>
      <c r="AN133" s="3">
        <v>42309</v>
      </c>
      <c r="AO133" s="5"/>
      <c r="AP133" s="5">
        <v>1452</v>
      </c>
      <c r="AQ133" s="5">
        <v>65190</v>
      </c>
      <c r="AR133" s="5">
        <v>16140</v>
      </c>
      <c r="AS133" s="5">
        <v>82782</v>
      </c>
      <c r="AW133" s="1">
        <v>40210</v>
      </c>
      <c r="AX133">
        <v>26006</v>
      </c>
      <c r="AY133" t="s">
        <v>25</v>
      </c>
      <c r="BB133" s="3">
        <v>42309</v>
      </c>
      <c r="BC133" s="5"/>
      <c r="BD133" s="5">
        <v>2226</v>
      </c>
      <c r="BE133" s="5">
        <v>74401</v>
      </c>
      <c r="BF133" s="5">
        <v>46143</v>
      </c>
      <c r="BG133" s="5"/>
      <c r="BH133" s="5">
        <v>122770</v>
      </c>
    </row>
    <row r="134" spans="1:60" x14ac:dyDescent="0.25">
      <c r="A134" s="1">
        <v>40299</v>
      </c>
      <c r="B134">
        <v>25</v>
      </c>
      <c r="C134" t="s">
        <v>3</v>
      </c>
      <c r="U134" s="1">
        <v>40026</v>
      </c>
      <c r="V134">
        <v>104917</v>
      </c>
      <c r="W134" t="s">
        <v>15</v>
      </c>
      <c r="AI134" s="1">
        <v>40210</v>
      </c>
      <c r="AJ134">
        <v>26564</v>
      </c>
      <c r="AK134" t="s">
        <v>25</v>
      </c>
      <c r="AN134" s="3">
        <v>42339</v>
      </c>
      <c r="AO134" s="5"/>
      <c r="AP134" s="5">
        <v>1357</v>
      </c>
      <c r="AQ134" s="5">
        <v>61618</v>
      </c>
      <c r="AR134" s="5">
        <v>17122</v>
      </c>
      <c r="AS134" s="5">
        <v>80097</v>
      </c>
      <c r="AW134" s="1">
        <v>40210</v>
      </c>
      <c r="AX134">
        <v>24131</v>
      </c>
      <c r="AY134" t="s">
        <v>22</v>
      </c>
      <c r="BB134" s="3">
        <v>42339</v>
      </c>
      <c r="BC134" s="5"/>
      <c r="BD134" s="5">
        <v>2112</v>
      </c>
      <c r="BE134" s="5">
        <v>66295</v>
      </c>
      <c r="BF134" s="5">
        <v>46372</v>
      </c>
      <c r="BG134" s="5"/>
      <c r="BH134" s="5">
        <v>114779</v>
      </c>
    </row>
    <row r="135" spans="1:60" x14ac:dyDescent="0.25">
      <c r="A135" s="1">
        <v>40299</v>
      </c>
      <c r="B135">
        <v>15988</v>
      </c>
      <c r="C135" t="s">
        <v>4</v>
      </c>
      <c r="U135" s="1">
        <v>40026</v>
      </c>
      <c r="V135">
        <v>42643</v>
      </c>
      <c r="W135" t="s">
        <v>16</v>
      </c>
      <c r="AI135" s="1">
        <v>40238</v>
      </c>
      <c r="AJ135">
        <v>24648</v>
      </c>
      <c r="AK135" t="s">
        <v>25</v>
      </c>
      <c r="AN135" s="3">
        <v>42370</v>
      </c>
      <c r="AO135" s="5"/>
      <c r="AP135" s="5">
        <v>961</v>
      </c>
      <c r="AQ135" s="5">
        <v>43151</v>
      </c>
      <c r="AR135" s="5">
        <v>13678</v>
      </c>
      <c r="AS135" s="5">
        <v>57790</v>
      </c>
      <c r="AW135" s="1">
        <v>40238</v>
      </c>
      <c r="AX135">
        <v>15542</v>
      </c>
      <c r="AY135" t="s">
        <v>22</v>
      </c>
      <c r="BB135" s="3">
        <v>42370</v>
      </c>
      <c r="BC135" s="5"/>
      <c r="BD135" s="5">
        <v>1626</v>
      </c>
      <c r="BE135" s="5">
        <v>45494</v>
      </c>
      <c r="BF135" s="5">
        <v>35833</v>
      </c>
      <c r="BG135" s="5"/>
      <c r="BH135" s="5">
        <v>82953</v>
      </c>
    </row>
    <row r="136" spans="1:60" x14ac:dyDescent="0.25">
      <c r="A136" s="1">
        <v>40299</v>
      </c>
      <c r="B136">
        <v>17575</v>
      </c>
      <c r="C136" t="s">
        <v>5</v>
      </c>
      <c r="U136" s="1">
        <v>40026</v>
      </c>
      <c r="V136">
        <v>16086</v>
      </c>
      <c r="W136" t="s">
        <v>14</v>
      </c>
      <c r="AI136" s="1">
        <v>40238</v>
      </c>
      <c r="AJ136">
        <v>25134</v>
      </c>
      <c r="AK136" t="s">
        <v>24</v>
      </c>
      <c r="AN136" s="3">
        <v>42401</v>
      </c>
      <c r="AO136" s="5"/>
      <c r="AP136" s="5">
        <v>434</v>
      </c>
      <c r="AQ136" s="5">
        <v>21694</v>
      </c>
      <c r="AR136" s="5">
        <v>5279</v>
      </c>
      <c r="AS136" s="5">
        <v>27407</v>
      </c>
      <c r="AW136" s="1">
        <v>40238</v>
      </c>
      <c r="AX136">
        <v>24778</v>
      </c>
      <c r="AY136" t="s">
        <v>25</v>
      </c>
      <c r="BB136" s="3">
        <v>42401</v>
      </c>
      <c r="BC136" s="5"/>
      <c r="BD136" s="5">
        <v>1089</v>
      </c>
      <c r="BE136" s="5">
        <v>23227</v>
      </c>
      <c r="BF136" s="5">
        <v>17971</v>
      </c>
      <c r="BG136" s="5"/>
      <c r="BH136" s="5">
        <v>42287</v>
      </c>
    </row>
    <row r="137" spans="1:60" x14ac:dyDescent="0.25">
      <c r="A137" s="1">
        <v>40299</v>
      </c>
      <c r="B137">
        <v>46855</v>
      </c>
      <c r="C137" t="s">
        <v>2</v>
      </c>
      <c r="U137" s="1">
        <v>40057</v>
      </c>
      <c r="V137">
        <v>67936</v>
      </c>
      <c r="W137" t="s">
        <v>15</v>
      </c>
      <c r="AI137" s="1">
        <v>40238</v>
      </c>
      <c r="AJ137">
        <v>43730</v>
      </c>
      <c r="AK137" t="s">
        <v>22</v>
      </c>
      <c r="AN137" s="3">
        <v>42430</v>
      </c>
      <c r="AO137" s="5"/>
      <c r="AP137" s="5">
        <v>1</v>
      </c>
      <c r="AQ137" s="5">
        <v>26</v>
      </c>
      <c r="AR137" s="5">
        <v>15</v>
      </c>
      <c r="AS137" s="5">
        <v>42</v>
      </c>
      <c r="AW137" s="1">
        <v>40238</v>
      </c>
      <c r="AX137">
        <v>24996</v>
      </c>
      <c r="AY137" t="s">
        <v>24</v>
      </c>
      <c r="BB137" s="3">
        <v>42430</v>
      </c>
      <c r="BC137" s="5"/>
      <c r="BD137" s="5">
        <v>12</v>
      </c>
      <c r="BE137" s="5">
        <v>67</v>
      </c>
      <c r="BF137" s="5">
        <v>204</v>
      </c>
      <c r="BG137" s="5"/>
      <c r="BH137" s="5">
        <v>283</v>
      </c>
    </row>
    <row r="138" spans="1:60" x14ac:dyDescent="0.25">
      <c r="A138" s="1">
        <v>40330</v>
      </c>
      <c r="B138">
        <v>4</v>
      </c>
      <c r="C138" t="s">
        <v>3</v>
      </c>
      <c r="U138" s="1">
        <v>40057</v>
      </c>
      <c r="V138">
        <v>41473</v>
      </c>
      <c r="W138" t="s">
        <v>16</v>
      </c>
      <c r="AI138" s="1">
        <v>40269</v>
      </c>
      <c r="AJ138">
        <v>42612</v>
      </c>
      <c r="AK138" t="s">
        <v>22</v>
      </c>
      <c r="AN138" s="3" t="s">
        <v>9</v>
      </c>
      <c r="AO138" s="5">
        <v>1054165</v>
      </c>
      <c r="AP138" s="5">
        <v>1317130</v>
      </c>
      <c r="AQ138" s="5">
        <v>7702544</v>
      </c>
      <c r="AR138" s="5">
        <v>1915890</v>
      </c>
      <c r="AS138" s="5">
        <v>11989729</v>
      </c>
      <c r="AW138" s="1">
        <v>40269</v>
      </c>
      <c r="AX138">
        <v>15025</v>
      </c>
      <c r="AY138" t="s">
        <v>22</v>
      </c>
      <c r="BB138" s="4" t="s">
        <v>8</v>
      </c>
      <c r="BC138" s="5"/>
      <c r="BD138" s="5"/>
      <c r="BE138" s="5"/>
      <c r="BF138" s="5"/>
      <c r="BG138" s="5"/>
      <c r="BH138" s="5"/>
    </row>
    <row r="139" spans="1:60" x14ac:dyDescent="0.25">
      <c r="A139" s="1">
        <v>40330</v>
      </c>
      <c r="B139">
        <v>14269</v>
      </c>
      <c r="C139" t="s">
        <v>4</v>
      </c>
      <c r="U139" s="1">
        <v>40057</v>
      </c>
      <c r="V139">
        <v>8996</v>
      </c>
      <c r="W139" t="s">
        <v>14</v>
      </c>
      <c r="AI139" s="1">
        <v>40269</v>
      </c>
      <c r="AJ139">
        <v>17440</v>
      </c>
      <c r="AK139" t="s">
        <v>25</v>
      </c>
      <c r="AW139" s="1">
        <v>40269</v>
      </c>
      <c r="AX139">
        <v>16955</v>
      </c>
      <c r="AY139" t="s">
        <v>24</v>
      </c>
      <c r="BB139" s="4" t="s">
        <v>9</v>
      </c>
      <c r="BC139" s="5">
        <v>1272735</v>
      </c>
      <c r="BD139" s="5">
        <v>2425482</v>
      </c>
      <c r="BE139" s="5">
        <v>5161326</v>
      </c>
      <c r="BF139" s="5">
        <v>3745096</v>
      </c>
      <c r="BG139" s="5"/>
      <c r="BH139" s="5">
        <v>12604639</v>
      </c>
    </row>
    <row r="140" spans="1:60" x14ac:dyDescent="0.25">
      <c r="A140" s="1">
        <v>40330</v>
      </c>
      <c r="B140">
        <v>19523</v>
      </c>
      <c r="C140" t="s">
        <v>5</v>
      </c>
      <c r="U140" s="1">
        <v>40087</v>
      </c>
      <c r="V140">
        <v>54105</v>
      </c>
      <c r="W140" t="s">
        <v>15</v>
      </c>
      <c r="AI140" s="1">
        <v>40269</v>
      </c>
      <c r="AJ140">
        <v>17800</v>
      </c>
      <c r="AK140" t="s">
        <v>24</v>
      </c>
      <c r="AW140" s="1">
        <v>40269</v>
      </c>
      <c r="AX140">
        <v>19537</v>
      </c>
      <c r="AY140" t="s">
        <v>25</v>
      </c>
    </row>
    <row r="141" spans="1:60" x14ac:dyDescent="0.25">
      <c r="A141" s="1">
        <v>40330</v>
      </c>
      <c r="B141">
        <v>55813</v>
      </c>
      <c r="C141" t="s">
        <v>2</v>
      </c>
      <c r="U141" s="1">
        <v>40087</v>
      </c>
      <c r="V141">
        <v>37039</v>
      </c>
      <c r="W141" t="s">
        <v>16</v>
      </c>
      <c r="AI141" s="1">
        <v>40299</v>
      </c>
      <c r="AJ141">
        <v>21045</v>
      </c>
      <c r="AK141" t="s">
        <v>25</v>
      </c>
      <c r="AW141" s="1">
        <v>40299</v>
      </c>
      <c r="AX141">
        <v>23581</v>
      </c>
      <c r="AY141" t="s">
        <v>25</v>
      </c>
    </row>
    <row r="142" spans="1:60" x14ac:dyDescent="0.25">
      <c r="A142" s="1">
        <v>40360</v>
      </c>
      <c r="B142">
        <v>1</v>
      </c>
      <c r="C142" t="s">
        <v>3</v>
      </c>
      <c r="U142" s="1">
        <v>40087</v>
      </c>
      <c r="V142">
        <v>6341</v>
      </c>
      <c r="W142" t="s">
        <v>14</v>
      </c>
      <c r="AI142" s="1">
        <v>40299</v>
      </c>
      <c r="AJ142">
        <v>16829</v>
      </c>
      <c r="AK142" t="s">
        <v>24</v>
      </c>
      <c r="AW142" s="1">
        <v>40299</v>
      </c>
      <c r="AX142">
        <v>24751</v>
      </c>
      <c r="AY142" t="s">
        <v>22</v>
      </c>
    </row>
    <row r="143" spans="1:60" x14ac:dyDescent="0.25">
      <c r="A143" s="1">
        <v>40360</v>
      </c>
      <c r="B143">
        <v>13900</v>
      </c>
      <c r="C143" t="s">
        <v>4</v>
      </c>
      <c r="U143" s="1">
        <v>40118</v>
      </c>
      <c r="V143">
        <v>53423</v>
      </c>
      <c r="W143" t="s">
        <v>15</v>
      </c>
      <c r="AI143" s="1">
        <v>40299</v>
      </c>
      <c r="AJ143">
        <v>46375</v>
      </c>
      <c r="AK143" t="s">
        <v>22</v>
      </c>
      <c r="AW143" s="1">
        <v>40299</v>
      </c>
      <c r="AX143">
        <v>23261</v>
      </c>
      <c r="AY143" t="s">
        <v>24</v>
      </c>
    </row>
    <row r="144" spans="1:60" x14ac:dyDescent="0.25">
      <c r="A144" s="1">
        <v>40360</v>
      </c>
      <c r="B144">
        <v>19158</v>
      </c>
      <c r="C144" t="s">
        <v>5</v>
      </c>
      <c r="U144" s="1">
        <v>40118</v>
      </c>
      <c r="V144">
        <v>32297</v>
      </c>
      <c r="W144" t="s">
        <v>16</v>
      </c>
      <c r="AI144" s="1">
        <v>40330</v>
      </c>
      <c r="AJ144">
        <v>49599</v>
      </c>
      <c r="AK144" t="s">
        <v>22</v>
      </c>
      <c r="AW144" s="1">
        <v>40330</v>
      </c>
      <c r="AX144">
        <v>19774</v>
      </c>
      <c r="AY144" t="s">
        <v>24</v>
      </c>
    </row>
    <row r="145" spans="1:51" x14ac:dyDescent="0.25">
      <c r="A145" s="1">
        <v>40360</v>
      </c>
      <c r="B145">
        <v>50706</v>
      </c>
      <c r="C145" t="s">
        <v>2</v>
      </c>
      <c r="U145" s="1">
        <v>40118</v>
      </c>
      <c r="V145">
        <v>8103</v>
      </c>
      <c r="W145" t="s">
        <v>14</v>
      </c>
      <c r="AI145" s="1">
        <v>40330</v>
      </c>
      <c r="AJ145">
        <v>19445</v>
      </c>
      <c r="AK145" t="s">
        <v>25</v>
      </c>
      <c r="AW145" s="1">
        <v>40330</v>
      </c>
      <c r="AX145">
        <v>21651</v>
      </c>
      <c r="AY145" t="s">
        <v>25</v>
      </c>
    </row>
    <row r="146" spans="1:51" x14ac:dyDescent="0.25">
      <c r="A146" s="1">
        <v>40391</v>
      </c>
      <c r="B146">
        <v>1120</v>
      </c>
      <c r="C146" t="s">
        <v>3</v>
      </c>
      <c r="U146" s="1">
        <v>40148</v>
      </c>
      <c r="V146">
        <v>71676</v>
      </c>
      <c r="W146" t="s">
        <v>15</v>
      </c>
      <c r="AI146" s="1">
        <v>40330</v>
      </c>
      <c r="AJ146">
        <v>14699</v>
      </c>
      <c r="AK146" t="s">
        <v>24</v>
      </c>
      <c r="AW146" s="1">
        <v>40330</v>
      </c>
      <c r="AX146">
        <v>26297</v>
      </c>
      <c r="AY146" t="s">
        <v>22</v>
      </c>
    </row>
    <row r="147" spans="1:51" x14ac:dyDescent="0.25">
      <c r="A147" s="1">
        <v>40391</v>
      </c>
      <c r="B147">
        <v>16488</v>
      </c>
      <c r="C147" t="s">
        <v>4</v>
      </c>
      <c r="U147" s="1">
        <v>40148</v>
      </c>
      <c r="V147">
        <v>42345</v>
      </c>
      <c r="W147" t="s">
        <v>16</v>
      </c>
      <c r="AI147" s="1">
        <v>40360</v>
      </c>
      <c r="AJ147">
        <v>15205</v>
      </c>
      <c r="AK147" t="s">
        <v>25</v>
      </c>
      <c r="AW147" s="1">
        <v>40360</v>
      </c>
      <c r="AX147">
        <v>16373</v>
      </c>
      <c r="AY147" t="s">
        <v>24</v>
      </c>
    </row>
    <row r="148" spans="1:51" x14ac:dyDescent="0.25">
      <c r="A148" s="1">
        <v>40391</v>
      </c>
      <c r="B148">
        <v>20121</v>
      </c>
      <c r="C148" t="s">
        <v>5</v>
      </c>
      <c r="U148" s="1">
        <v>40148</v>
      </c>
      <c r="V148">
        <v>12795</v>
      </c>
      <c r="W148" t="s">
        <v>14</v>
      </c>
      <c r="AI148" s="1">
        <v>40360</v>
      </c>
      <c r="AJ148">
        <v>11907</v>
      </c>
      <c r="AK148" t="s">
        <v>24</v>
      </c>
      <c r="AW148" s="1">
        <v>40360</v>
      </c>
      <c r="AX148">
        <v>17093</v>
      </c>
      <c r="AY148" t="s">
        <v>25</v>
      </c>
    </row>
    <row r="149" spans="1:51" x14ac:dyDescent="0.25">
      <c r="A149" s="1">
        <v>40391</v>
      </c>
      <c r="B149">
        <v>48810</v>
      </c>
      <c r="C149" t="s">
        <v>2</v>
      </c>
      <c r="U149" s="1">
        <v>40179</v>
      </c>
      <c r="V149">
        <v>57979</v>
      </c>
      <c r="W149" t="s">
        <v>15</v>
      </c>
      <c r="AI149" s="1">
        <v>40360</v>
      </c>
      <c r="AJ149">
        <v>51493</v>
      </c>
      <c r="AK149" t="s">
        <v>22</v>
      </c>
      <c r="AW149" s="1">
        <v>40360</v>
      </c>
      <c r="AX149">
        <v>29344</v>
      </c>
      <c r="AY149" t="s">
        <v>22</v>
      </c>
    </row>
    <row r="150" spans="1:51" x14ac:dyDescent="0.25">
      <c r="A150" s="1">
        <v>40422</v>
      </c>
      <c r="B150">
        <v>326</v>
      </c>
      <c r="C150" t="s">
        <v>3</v>
      </c>
      <c r="U150" s="1">
        <v>40179</v>
      </c>
      <c r="V150">
        <v>29955</v>
      </c>
      <c r="W150" t="s">
        <v>16</v>
      </c>
      <c r="AI150" s="1">
        <v>40391</v>
      </c>
      <c r="AJ150">
        <v>55048</v>
      </c>
      <c r="AK150" t="s">
        <v>22</v>
      </c>
      <c r="AW150" s="1">
        <v>40391</v>
      </c>
      <c r="AX150">
        <v>36104</v>
      </c>
      <c r="AY150" t="s">
        <v>22</v>
      </c>
    </row>
    <row r="151" spans="1:51" x14ac:dyDescent="0.25">
      <c r="A151" s="1">
        <v>40422</v>
      </c>
      <c r="B151">
        <v>24337</v>
      </c>
      <c r="C151" t="s">
        <v>4</v>
      </c>
      <c r="U151" s="1">
        <v>40179</v>
      </c>
      <c r="V151">
        <v>12696</v>
      </c>
      <c r="W151" t="s">
        <v>14</v>
      </c>
      <c r="AI151" s="1">
        <v>40391</v>
      </c>
      <c r="AJ151">
        <v>21345</v>
      </c>
      <c r="AK151" t="s">
        <v>25</v>
      </c>
      <c r="AW151" s="1">
        <v>40391</v>
      </c>
      <c r="AX151">
        <v>19377</v>
      </c>
      <c r="AY151" t="s">
        <v>25</v>
      </c>
    </row>
    <row r="152" spans="1:51" x14ac:dyDescent="0.25">
      <c r="A152" s="1">
        <v>40422</v>
      </c>
      <c r="B152">
        <v>38354</v>
      </c>
      <c r="C152" t="s">
        <v>5</v>
      </c>
      <c r="U152" s="1">
        <v>40210</v>
      </c>
      <c r="V152">
        <v>64815</v>
      </c>
      <c r="W152" t="s">
        <v>15</v>
      </c>
      <c r="AI152" s="1">
        <v>40391</v>
      </c>
      <c r="AJ152">
        <v>16456</v>
      </c>
      <c r="AK152" t="s">
        <v>24</v>
      </c>
      <c r="AW152" s="1">
        <v>40391</v>
      </c>
      <c r="AX152">
        <v>22123</v>
      </c>
      <c r="AY152" t="s">
        <v>24</v>
      </c>
    </row>
    <row r="153" spans="1:51" x14ac:dyDescent="0.25">
      <c r="A153" s="1">
        <v>40422</v>
      </c>
      <c r="B153">
        <v>42017</v>
      </c>
      <c r="C153" t="s">
        <v>2</v>
      </c>
      <c r="U153" s="1">
        <v>40210</v>
      </c>
      <c r="V153">
        <v>27636</v>
      </c>
      <c r="W153" t="s">
        <v>16</v>
      </c>
      <c r="AI153" s="1">
        <v>40422</v>
      </c>
      <c r="AJ153">
        <v>28168</v>
      </c>
      <c r="AK153" t="s">
        <v>25</v>
      </c>
      <c r="AW153" s="1">
        <v>40422</v>
      </c>
      <c r="AX153">
        <v>28611</v>
      </c>
      <c r="AY153" t="s">
        <v>22</v>
      </c>
    </row>
    <row r="154" spans="1:51" x14ac:dyDescent="0.25">
      <c r="A154" s="1">
        <v>40452</v>
      </c>
      <c r="B154">
        <v>3</v>
      </c>
      <c r="C154" t="s">
        <v>3</v>
      </c>
      <c r="U154" s="1">
        <v>40210</v>
      </c>
      <c r="V154">
        <v>13514</v>
      </c>
      <c r="W154" t="s">
        <v>14</v>
      </c>
      <c r="AI154" s="1">
        <v>40422</v>
      </c>
      <c r="AJ154">
        <v>22322</v>
      </c>
      <c r="AK154" t="s">
        <v>24</v>
      </c>
      <c r="AW154" s="1">
        <v>40422</v>
      </c>
      <c r="AX154">
        <v>34966</v>
      </c>
      <c r="AY154" t="s">
        <v>24</v>
      </c>
    </row>
    <row r="155" spans="1:51" x14ac:dyDescent="0.25">
      <c r="A155" s="1">
        <v>40452</v>
      </c>
      <c r="B155">
        <v>29103</v>
      </c>
      <c r="C155" t="s">
        <v>4</v>
      </c>
      <c r="U155" s="1">
        <v>40238</v>
      </c>
      <c r="V155">
        <v>61902</v>
      </c>
      <c r="W155" t="s">
        <v>15</v>
      </c>
      <c r="AI155" s="1">
        <v>40422</v>
      </c>
      <c r="AJ155">
        <v>40328</v>
      </c>
      <c r="AK155" t="s">
        <v>22</v>
      </c>
      <c r="AW155" s="1">
        <v>40422</v>
      </c>
      <c r="AX155">
        <v>25614</v>
      </c>
      <c r="AY155" t="s">
        <v>25</v>
      </c>
    </row>
    <row r="156" spans="1:51" x14ac:dyDescent="0.25">
      <c r="A156" s="1">
        <v>40452</v>
      </c>
      <c r="B156">
        <v>36203</v>
      </c>
      <c r="C156" t="s">
        <v>5</v>
      </c>
      <c r="U156" s="1">
        <v>40238</v>
      </c>
      <c r="V156">
        <v>30875</v>
      </c>
      <c r="W156" t="s">
        <v>16</v>
      </c>
      <c r="AI156" s="1">
        <v>40452</v>
      </c>
      <c r="AJ156">
        <v>33340</v>
      </c>
      <c r="AK156" t="s">
        <v>25</v>
      </c>
      <c r="AW156" s="1">
        <v>40452</v>
      </c>
      <c r="AX156">
        <v>35899</v>
      </c>
      <c r="AY156" t="s">
        <v>25</v>
      </c>
    </row>
    <row r="157" spans="1:51" x14ac:dyDescent="0.25">
      <c r="A157" s="1">
        <v>40452</v>
      </c>
      <c r="B157">
        <v>39705</v>
      </c>
      <c r="C157" t="s">
        <v>2</v>
      </c>
      <c r="U157" s="1">
        <v>40238</v>
      </c>
      <c r="V157">
        <v>11773</v>
      </c>
      <c r="W157" t="s">
        <v>14</v>
      </c>
      <c r="AI157" s="1">
        <v>40452</v>
      </c>
      <c r="AJ157">
        <v>30002</v>
      </c>
      <c r="AK157" t="s">
        <v>24</v>
      </c>
      <c r="AW157" s="1">
        <v>40452</v>
      </c>
      <c r="AX157">
        <v>34726</v>
      </c>
      <c r="AY157" t="s">
        <v>22</v>
      </c>
    </row>
    <row r="158" spans="1:51" x14ac:dyDescent="0.25">
      <c r="A158" s="1">
        <v>40483</v>
      </c>
      <c r="B158">
        <v>24</v>
      </c>
      <c r="C158" t="s">
        <v>3</v>
      </c>
      <c r="U158" s="1">
        <v>40269</v>
      </c>
      <c r="V158">
        <v>37869</v>
      </c>
      <c r="W158" t="s">
        <v>15</v>
      </c>
      <c r="AI158" s="1">
        <v>40452</v>
      </c>
      <c r="AJ158">
        <v>41549</v>
      </c>
      <c r="AK158" t="s">
        <v>22</v>
      </c>
      <c r="AW158" s="1">
        <v>40452</v>
      </c>
      <c r="AX158">
        <v>54825</v>
      </c>
      <c r="AY158" t="s">
        <v>24</v>
      </c>
    </row>
    <row r="159" spans="1:51" x14ac:dyDescent="0.25">
      <c r="A159" s="1">
        <v>40483</v>
      </c>
      <c r="B159">
        <v>28907</v>
      </c>
      <c r="C159" t="s">
        <v>4</v>
      </c>
      <c r="U159" s="1">
        <v>40269</v>
      </c>
      <c r="V159">
        <v>23058</v>
      </c>
      <c r="W159" t="s">
        <v>16</v>
      </c>
      <c r="AI159" s="1">
        <v>40483</v>
      </c>
      <c r="AJ159">
        <v>37450</v>
      </c>
      <c r="AK159" t="s">
        <v>22</v>
      </c>
      <c r="AW159" s="1">
        <v>40483</v>
      </c>
      <c r="AX159">
        <v>65313</v>
      </c>
      <c r="AY159" t="s">
        <v>24</v>
      </c>
    </row>
    <row r="160" spans="1:51" x14ac:dyDescent="0.25">
      <c r="A160" s="1">
        <v>40483</v>
      </c>
      <c r="B160">
        <v>39308</v>
      </c>
      <c r="C160" t="s">
        <v>5</v>
      </c>
      <c r="U160" s="1">
        <v>40269</v>
      </c>
      <c r="V160">
        <v>10346</v>
      </c>
      <c r="W160" t="s">
        <v>14</v>
      </c>
      <c r="AI160" s="1">
        <v>40483</v>
      </c>
      <c r="AJ160">
        <v>30869</v>
      </c>
      <c r="AK160" t="s">
        <v>24</v>
      </c>
      <c r="AW160" s="1">
        <v>40483</v>
      </c>
      <c r="AX160">
        <v>39955</v>
      </c>
      <c r="AY160" t="s">
        <v>25</v>
      </c>
    </row>
    <row r="161" spans="1:51" x14ac:dyDescent="0.25">
      <c r="A161" s="1">
        <v>40483</v>
      </c>
      <c r="B161">
        <v>35585</v>
      </c>
      <c r="C161" t="s">
        <v>2</v>
      </c>
      <c r="U161" s="1">
        <v>40299</v>
      </c>
      <c r="V161">
        <v>40562</v>
      </c>
      <c r="W161" t="s">
        <v>15</v>
      </c>
      <c r="AI161" s="1">
        <v>40483</v>
      </c>
      <c r="AJ161">
        <v>38106</v>
      </c>
      <c r="AK161" t="s">
        <v>25</v>
      </c>
      <c r="AW161" s="1">
        <v>40483</v>
      </c>
      <c r="AX161">
        <v>34796</v>
      </c>
      <c r="AY161" t="s">
        <v>22</v>
      </c>
    </row>
    <row r="162" spans="1:51" x14ac:dyDescent="0.25">
      <c r="A162" s="1">
        <v>40513</v>
      </c>
      <c r="B162">
        <v>3</v>
      </c>
      <c r="C162" t="s">
        <v>3</v>
      </c>
      <c r="U162" s="1">
        <v>40299</v>
      </c>
      <c r="V162">
        <v>30710</v>
      </c>
      <c r="W162" t="s">
        <v>16</v>
      </c>
      <c r="AI162" s="1">
        <v>40513</v>
      </c>
      <c r="AJ162">
        <v>38964</v>
      </c>
      <c r="AK162" t="s">
        <v>22</v>
      </c>
      <c r="AW162" s="1">
        <v>40513</v>
      </c>
      <c r="AX162">
        <v>32088</v>
      </c>
      <c r="AY162" t="s">
        <v>22</v>
      </c>
    </row>
    <row r="163" spans="1:51" x14ac:dyDescent="0.25">
      <c r="A163" s="1">
        <v>40513</v>
      </c>
      <c r="B163">
        <v>29330</v>
      </c>
      <c r="C163" t="s">
        <v>4</v>
      </c>
      <c r="U163" s="1">
        <v>40299</v>
      </c>
      <c r="V163">
        <v>9171</v>
      </c>
      <c r="W163" t="s">
        <v>14</v>
      </c>
      <c r="AI163" s="1">
        <v>40513</v>
      </c>
      <c r="AJ163">
        <v>43237</v>
      </c>
      <c r="AK163" t="s">
        <v>25</v>
      </c>
      <c r="AW163" s="1">
        <v>40513</v>
      </c>
      <c r="AX163">
        <v>43745</v>
      </c>
      <c r="AY163" t="s">
        <v>25</v>
      </c>
    </row>
    <row r="164" spans="1:51" x14ac:dyDescent="0.25">
      <c r="A164" s="1">
        <v>40513</v>
      </c>
      <c r="B164">
        <v>45723</v>
      </c>
      <c r="C164" t="s">
        <v>5</v>
      </c>
      <c r="U164" s="1">
        <v>40330</v>
      </c>
      <c r="V164">
        <v>40799</v>
      </c>
      <c r="W164" t="s">
        <v>15</v>
      </c>
      <c r="AI164" s="1">
        <v>40513</v>
      </c>
      <c r="AJ164">
        <v>34888</v>
      </c>
      <c r="AK164" t="s">
        <v>24</v>
      </c>
      <c r="AW164" s="1">
        <v>40513</v>
      </c>
      <c r="AX164">
        <v>68437</v>
      </c>
      <c r="AY164" t="s">
        <v>24</v>
      </c>
    </row>
    <row r="165" spans="1:51" x14ac:dyDescent="0.25">
      <c r="A165" s="1">
        <v>40513</v>
      </c>
      <c r="B165">
        <v>33399</v>
      </c>
      <c r="C165" t="s">
        <v>2</v>
      </c>
      <c r="U165" s="1">
        <v>40330</v>
      </c>
      <c r="V165">
        <v>38377</v>
      </c>
      <c r="W165" t="s">
        <v>16</v>
      </c>
      <c r="AI165" s="1">
        <v>40544</v>
      </c>
      <c r="AJ165">
        <v>33215</v>
      </c>
      <c r="AK165" t="s">
        <v>24</v>
      </c>
      <c r="AW165" s="1">
        <v>40544</v>
      </c>
      <c r="AX165">
        <v>31798</v>
      </c>
      <c r="AY165" t="s">
        <v>22</v>
      </c>
    </row>
    <row r="166" spans="1:51" x14ac:dyDescent="0.25">
      <c r="A166" s="1">
        <v>40544</v>
      </c>
      <c r="B166">
        <v>36053</v>
      </c>
      <c r="C166" t="s">
        <v>4</v>
      </c>
      <c r="U166" s="1">
        <v>40330</v>
      </c>
      <c r="V166">
        <v>10433</v>
      </c>
      <c r="W166" t="s">
        <v>14</v>
      </c>
      <c r="AI166" s="1">
        <v>40544</v>
      </c>
      <c r="AJ166">
        <v>36931</v>
      </c>
      <c r="AK166" t="s">
        <v>22</v>
      </c>
      <c r="AW166" s="1">
        <v>40544</v>
      </c>
      <c r="AX166">
        <v>44688</v>
      </c>
      <c r="AY166" t="s">
        <v>25</v>
      </c>
    </row>
    <row r="167" spans="1:51" x14ac:dyDescent="0.25">
      <c r="A167" s="1">
        <v>40544</v>
      </c>
      <c r="B167">
        <v>31180</v>
      </c>
      <c r="C167" t="s">
        <v>5</v>
      </c>
      <c r="U167" s="1">
        <v>40360</v>
      </c>
      <c r="V167">
        <v>37795</v>
      </c>
      <c r="W167" t="s">
        <v>15</v>
      </c>
      <c r="AI167" s="1">
        <v>40544</v>
      </c>
      <c r="AJ167">
        <v>44477</v>
      </c>
      <c r="AK167" t="s">
        <v>25</v>
      </c>
      <c r="AW167" s="1">
        <v>40544</v>
      </c>
      <c r="AX167">
        <v>71391</v>
      </c>
      <c r="AY167" t="s">
        <v>24</v>
      </c>
    </row>
    <row r="168" spans="1:51" x14ac:dyDescent="0.25">
      <c r="A168" s="1">
        <v>40544</v>
      </c>
      <c r="B168">
        <v>40868</v>
      </c>
      <c r="C168" t="s">
        <v>2</v>
      </c>
      <c r="U168" s="1">
        <v>40360</v>
      </c>
      <c r="V168">
        <v>36953</v>
      </c>
      <c r="W168" t="s">
        <v>16</v>
      </c>
      <c r="AI168" s="1">
        <v>40575</v>
      </c>
      <c r="AJ168">
        <v>37322</v>
      </c>
      <c r="AK168" t="s">
        <v>25</v>
      </c>
      <c r="AW168" s="1">
        <v>40575</v>
      </c>
      <c r="AX168">
        <v>61672</v>
      </c>
      <c r="AY168" t="s">
        <v>24</v>
      </c>
    </row>
    <row r="169" spans="1:51" x14ac:dyDescent="0.25">
      <c r="A169" s="1">
        <v>40575</v>
      </c>
      <c r="B169">
        <v>150</v>
      </c>
      <c r="C169" t="s">
        <v>3</v>
      </c>
      <c r="U169" s="1">
        <v>40360</v>
      </c>
      <c r="V169">
        <v>9017</v>
      </c>
      <c r="W169" t="s">
        <v>14</v>
      </c>
      <c r="AI169" s="1">
        <v>40575</v>
      </c>
      <c r="AJ169">
        <v>30768</v>
      </c>
      <c r="AK169" t="s">
        <v>24</v>
      </c>
      <c r="AW169" s="1">
        <v>40575</v>
      </c>
      <c r="AX169">
        <v>43163</v>
      </c>
      <c r="AY169" t="s">
        <v>25</v>
      </c>
    </row>
    <row r="170" spans="1:51" x14ac:dyDescent="0.25">
      <c r="A170" s="1">
        <v>40575</v>
      </c>
      <c r="B170">
        <v>24920</v>
      </c>
      <c r="C170" t="s">
        <v>4</v>
      </c>
      <c r="U170" s="1">
        <v>40391</v>
      </c>
      <c r="V170">
        <v>44543</v>
      </c>
      <c r="W170" t="s">
        <v>15</v>
      </c>
      <c r="AI170" s="1">
        <v>40575</v>
      </c>
      <c r="AJ170">
        <v>41383</v>
      </c>
      <c r="AK170" t="s">
        <v>22</v>
      </c>
      <c r="AW170" s="1">
        <v>40575</v>
      </c>
      <c r="AX170">
        <v>32165</v>
      </c>
      <c r="AY170" t="s">
        <v>22</v>
      </c>
    </row>
    <row r="171" spans="1:51" x14ac:dyDescent="0.25">
      <c r="A171" s="1">
        <v>40575</v>
      </c>
      <c r="B171">
        <v>36604</v>
      </c>
      <c r="C171" t="s">
        <v>5</v>
      </c>
      <c r="U171" s="1">
        <v>40391</v>
      </c>
      <c r="V171">
        <v>32778</v>
      </c>
      <c r="W171" t="s">
        <v>16</v>
      </c>
      <c r="AI171" s="1">
        <v>40603</v>
      </c>
      <c r="AJ171">
        <v>32289</v>
      </c>
      <c r="AK171" t="s">
        <v>25</v>
      </c>
      <c r="AW171" s="1">
        <v>40603</v>
      </c>
      <c r="AX171">
        <v>39380</v>
      </c>
      <c r="AY171" t="s">
        <v>24</v>
      </c>
    </row>
    <row r="172" spans="1:51" x14ac:dyDescent="0.25">
      <c r="A172" s="1">
        <v>40575</v>
      </c>
      <c r="B172">
        <v>38825</v>
      </c>
      <c r="C172" t="s">
        <v>2</v>
      </c>
      <c r="U172" s="1">
        <v>40391</v>
      </c>
      <c r="V172">
        <v>9218</v>
      </c>
      <c r="W172" t="s">
        <v>14</v>
      </c>
      <c r="AI172" s="1">
        <v>40603</v>
      </c>
      <c r="AJ172">
        <v>20081</v>
      </c>
      <c r="AK172" t="s">
        <v>24</v>
      </c>
      <c r="AW172" s="1">
        <v>40603</v>
      </c>
      <c r="AX172">
        <v>37615</v>
      </c>
      <c r="AY172" t="s">
        <v>25</v>
      </c>
    </row>
    <row r="173" spans="1:51" x14ac:dyDescent="0.25">
      <c r="A173" s="1">
        <v>40603</v>
      </c>
      <c r="B173">
        <v>2646</v>
      </c>
      <c r="C173" t="s">
        <v>3</v>
      </c>
      <c r="U173" s="1">
        <v>40422</v>
      </c>
      <c r="V173">
        <v>63945</v>
      </c>
      <c r="W173" t="s">
        <v>15</v>
      </c>
      <c r="AI173" s="1">
        <v>40603</v>
      </c>
      <c r="AJ173">
        <v>32412</v>
      </c>
      <c r="AK173" t="s">
        <v>22</v>
      </c>
      <c r="AW173" s="1">
        <v>40603</v>
      </c>
      <c r="AX173">
        <v>20587</v>
      </c>
      <c r="AY173" t="s">
        <v>22</v>
      </c>
    </row>
    <row r="174" spans="1:51" x14ac:dyDescent="0.25">
      <c r="A174" s="1">
        <v>40603</v>
      </c>
      <c r="B174">
        <v>11405</v>
      </c>
      <c r="C174" t="s">
        <v>4</v>
      </c>
      <c r="U174" s="1">
        <v>40422</v>
      </c>
      <c r="V174">
        <v>25077</v>
      </c>
      <c r="W174" t="s">
        <v>16</v>
      </c>
      <c r="AI174" s="1">
        <v>40634</v>
      </c>
      <c r="AJ174">
        <v>22609</v>
      </c>
      <c r="AK174" t="s">
        <v>22</v>
      </c>
      <c r="AW174" s="1">
        <v>40634</v>
      </c>
      <c r="AX174">
        <v>28893</v>
      </c>
      <c r="AY174" t="s">
        <v>24</v>
      </c>
    </row>
    <row r="175" spans="1:51" x14ac:dyDescent="0.25">
      <c r="A175" s="1">
        <v>40603</v>
      </c>
      <c r="B175">
        <v>19980</v>
      </c>
      <c r="C175" t="s">
        <v>5</v>
      </c>
      <c r="U175" s="1">
        <v>40422</v>
      </c>
      <c r="V175">
        <v>16012</v>
      </c>
      <c r="W175" t="s">
        <v>14</v>
      </c>
      <c r="AI175" s="1">
        <v>40634</v>
      </c>
      <c r="AJ175">
        <v>10793</v>
      </c>
      <c r="AK175" t="s">
        <v>24</v>
      </c>
      <c r="AW175" s="1">
        <v>40634</v>
      </c>
      <c r="AX175">
        <v>30023</v>
      </c>
      <c r="AY175" t="s">
        <v>25</v>
      </c>
    </row>
    <row r="176" spans="1:51" x14ac:dyDescent="0.25">
      <c r="A176" s="1">
        <v>40603</v>
      </c>
      <c r="B176">
        <v>29596</v>
      </c>
      <c r="C176" t="s">
        <v>2</v>
      </c>
      <c r="U176" s="1">
        <v>40452</v>
      </c>
      <c r="V176">
        <v>69234</v>
      </c>
      <c r="W176" t="s">
        <v>15</v>
      </c>
      <c r="AI176" s="1">
        <v>40634</v>
      </c>
      <c r="AJ176">
        <v>21224</v>
      </c>
      <c r="AK176" t="s">
        <v>25</v>
      </c>
      <c r="AW176" s="1">
        <v>40634</v>
      </c>
      <c r="AX176">
        <v>22676</v>
      </c>
      <c r="AY176" t="s">
        <v>22</v>
      </c>
    </row>
    <row r="177" spans="1:51" x14ac:dyDescent="0.25">
      <c r="A177" s="1">
        <v>40634</v>
      </c>
      <c r="B177">
        <v>10</v>
      </c>
      <c r="C177" t="s">
        <v>3</v>
      </c>
      <c r="U177" s="1">
        <v>40452</v>
      </c>
      <c r="V177">
        <v>21824</v>
      </c>
      <c r="W177" t="s">
        <v>16</v>
      </c>
      <c r="AI177" s="1">
        <v>40664</v>
      </c>
      <c r="AJ177">
        <v>29809</v>
      </c>
      <c r="AK177" t="s">
        <v>22</v>
      </c>
      <c r="AW177" s="1">
        <v>40664</v>
      </c>
      <c r="AX177">
        <v>27054</v>
      </c>
      <c r="AY177" t="s">
        <v>22</v>
      </c>
    </row>
    <row r="178" spans="1:51" x14ac:dyDescent="0.25">
      <c r="A178" s="1">
        <v>40634</v>
      </c>
      <c r="B178">
        <v>9549</v>
      </c>
      <c r="C178" t="s">
        <v>4</v>
      </c>
      <c r="U178" s="1">
        <v>40452</v>
      </c>
      <c r="V178">
        <v>13956</v>
      </c>
      <c r="W178" t="s">
        <v>14</v>
      </c>
      <c r="AI178" s="1">
        <v>40664</v>
      </c>
      <c r="AJ178">
        <v>14491</v>
      </c>
      <c r="AK178" t="s">
        <v>25</v>
      </c>
      <c r="AW178" s="1">
        <v>40664</v>
      </c>
      <c r="AX178">
        <v>30663</v>
      </c>
      <c r="AY178" t="s">
        <v>25</v>
      </c>
    </row>
    <row r="179" spans="1:51" x14ac:dyDescent="0.25">
      <c r="A179" s="1">
        <v>40634</v>
      </c>
      <c r="B179">
        <v>18800</v>
      </c>
      <c r="C179" t="s">
        <v>5</v>
      </c>
      <c r="U179" s="1">
        <v>40483</v>
      </c>
      <c r="V179">
        <v>68606</v>
      </c>
      <c r="W179" t="s">
        <v>15</v>
      </c>
      <c r="AI179" s="1">
        <v>40664</v>
      </c>
      <c r="AJ179">
        <v>9553</v>
      </c>
      <c r="AK179" t="s">
        <v>24</v>
      </c>
      <c r="AW179" s="1">
        <v>40664</v>
      </c>
      <c r="AX179">
        <v>23356</v>
      </c>
      <c r="AY179" t="s">
        <v>24</v>
      </c>
    </row>
    <row r="180" spans="1:51" x14ac:dyDescent="0.25">
      <c r="A180" s="1">
        <v>40634</v>
      </c>
      <c r="B180">
        <v>24320</v>
      </c>
      <c r="C180" t="s">
        <v>2</v>
      </c>
      <c r="U180" s="1">
        <v>40483</v>
      </c>
      <c r="V180">
        <v>19204</v>
      </c>
      <c r="W180" t="s">
        <v>16</v>
      </c>
      <c r="AI180" s="1">
        <v>40695</v>
      </c>
      <c r="AJ180">
        <v>7592</v>
      </c>
      <c r="AK180" t="s">
        <v>24</v>
      </c>
      <c r="AW180" s="1">
        <v>40695</v>
      </c>
      <c r="AX180">
        <v>26124</v>
      </c>
      <c r="AY180" t="s">
        <v>22</v>
      </c>
    </row>
    <row r="181" spans="1:51" x14ac:dyDescent="0.25">
      <c r="A181" s="1">
        <v>40664</v>
      </c>
      <c r="B181">
        <v>7249</v>
      </c>
      <c r="C181" t="s">
        <v>4</v>
      </c>
      <c r="U181" s="1">
        <v>40483</v>
      </c>
      <c r="V181">
        <v>16014</v>
      </c>
      <c r="W181" t="s">
        <v>14</v>
      </c>
      <c r="AI181" s="1">
        <v>40695</v>
      </c>
      <c r="AJ181">
        <v>30453</v>
      </c>
      <c r="AK181" t="s">
        <v>22</v>
      </c>
      <c r="AW181" s="1">
        <v>40695</v>
      </c>
      <c r="AX181">
        <v>16989</v>
      </c>
      <c r="AY181" t="s">
        <v>24</v>
      </c>
    </row>
    <row r="182" spans="1:51" x14ac:dyDescent="0.25">
      <c r="A182" s="1">
        <v>40664</v>
      </c>
      <c r="B182">
        <v>12820</v>
      </c>
      <c r="C182" t="s">
        <v>5</v>
      </c>
      <c r="U182" s="1">
        <v>40513</v>
      </c>
      <c r="V182">
        <v>73157</v>
      </c>
      <c r="W182" t="s">
        <v>15</v>
      </c>
      <c r="AI182" s="1">
        <v>40695</v>
      </c>
      <c r="AJ182">
        <v>13261</v>
      </c>
      <c r="AK182" t="s">
        <v>25</v>
      </c>
      <c r="AW182" s="1">
        <v>40695</v>
      </c>
      <c r="AX182">
        <v>26665</v>
      </c>
      <c r="AY182" t="s">
        <v>25</v>
      </c>
    </row>
    <row r="183" spans="1:51" x14ac:dyDescent="0.25">
      <c r="A183" s="1">
        <v>40664</v>
      </c>
      <c r="B183">
        <v>26412</v>
      </c>
      <c r="C183" t="s">
        <v>2</v>
      </c>
      <c r="U183" s="1">
        <v>40513</v>
      </c>
      <c r="V183">
        <v>17561</v>
      </c>
      <c r="W183" t="s">
        <v>16</v>
      </c>
      <c r="AI183" s="1">
        <v>40725</v>
      </c>
      <c r="AJ183">
        <v>11117</v>
      </c>
      <c r="AK183" t="s">
        <v>25</v>
      </c>
      <c r="AW183" s="1">
        <v>40725</v>
      </c>
      <c r="AX183">
        <v>24085</v>
      </c>
      <c r="AY183" t="s">
        <v>25</v>
      </c>
    </row>
    <row r="184" spans="1:51" x14ac:dyDescent="0.25">
      <c r="A184" s="1">
        <v>40695</v>
      </c>
      <c r="B184">
        <v>7079</v>
      </c>
      <c r="C184" t="s">
        <v>4</v>
      </c>
      <c r="U184" s="1">
        <v>40513</v>
      </c>
      <c r="V184">
        <v>17737</v>
      </c>
      <c r="W184" t="s">
        <v>14</v>
      </c>
      <c r="AI184" s="1">
        <v>40725</v>
      </c>
      <c r="AJ184">
        <v>6380</v>
      </c>
      <c r="AK184" t="s">
        <v>24</v>
      </c>
      <c r="AW184" s="1">
        <v>40725</v>
      </c>
      <c r="AX184">
        <v>30974</v>
      </c>
      <c r="AY184" t="s">
        <v>22</v>
      </c>
    </row>
    <row r="185" spans="1:51" x14ac:dyDescent="0.25">
      <c r="A185" s="1">
        <v>40695</v>
      </c>
      <c r="B185">
        <v>12588</v>
      </c>
      <c r="C185" t="s">
        <v>5</v>
      </c>
      <c r="U185" s="1">
        <v>40544</v>
      </c>
      <c r="V185">
        <v>71333</v>
      </c>
      <c r="W185" t="s">
        <v>15</v>
      </c>
      <c r="AI185" s="1">
        <v>40725</v>
      </c>
      <c r="AJ185">
        <v>31433</v>
      </c>
      <c r="AK185" t="s">
        <v>22</v>
      </c>
      <c r="AW185" s="1">
        <v>40725</v>
      </c>
      <c r="AX185">
        <v>15387</v>
      </c>
      <c r="AY185" t="s">
        <v>24</v>
      </c>
    </row>
    <row r="186" spans="1:51" x14ac:dyDescent="0.25">
      <c r="A186" s="1">
        <v>40695</v>
      </c>
      <c r="B186">
        <v>32058</v>
      </c>
      <c r="C186" t="s">
        <v>2</v>
      </c>
      <c r="U186" s="1">
        <v>40544</v>
      </c>
      <c r="V186">
        <v>21831</v>
      </c>
      <c r="W186" t="s">
        <v>16</v>
      </c>
      <c r="AI186" s="1">
        <v>40756</v>
      </c>
      <c r="AJ186">
        <v>12492</v>
      </c>
      <c r="AK186" t="s">
        <v>25</v>
      </c>
      <c r="AW186" s="1">
        <v>40756</v>
      </c>
      <c r="AX186">
        <v>16908</v>
      </c>
      <c r="AY186" t="s">
        <v>24</v>
      </c>
    </row>
    <row r="187" spans="1:51" x14ac:dyDescent="0.25">
      <c r="A187" s="1">
        <v>40725</v>
      </c>
      <c r="B187">
        <v>5161</v>
      </c>
      <c r="C187" t="s">
        <v>4</v>
      </c>
      <c r="U187" s="1">
        <v>40544</v>
      </c>
      <c r="V187">
        <v>14937</v>
      </c>
      <c r="W187" t="s">
        <v>14</v>
      </c>
      <c r="AI187" s="1">
        <v>40756</v>
      </c>
      <c r="AJ187">
        <v>8952</v>
      </c>
      <c r="AK187" t="s">
        <v>24</v>
      </c>
      <c r="AW187" s="1">
        <v>40756</v>
      </c>
      <c r="AX187">
        <v>26981</v>
      </c>
      <c r="AY187" t="s">
        <v>25</v>
      </c>
    </row>
    <row r="188" spans="1:51" x14ac:dyDescent="0.25">
      <c r="A188" s="1">
        <v>40725</v>
      </c>
      <c r="B188">
        <v>11579</v>
      </c>
      <c r="C188" t="s">
        <v>5</v>
      </c>
      <c r="U188" s="1">
        <v>40575</v>
      </c>
      <c r="V188">
        <v>61002</v>
      </c>
      <c r="W188" t="s">
        <v>15</v>
      </c>
      <c r="AI188" s="1">
        <v>40756</v>
      </c>
      <c r="AJ188">
        <v>41640</v>
      </c>
      <c r="AK188" t="s">
        <v>22</v>
      </c>
      <c r="AW188" s="1">
        <v>40756</v>
      </c>
      <c r="AX188">
        <v>35877</v>
      </c>
      <c r="AY188" t="s">
        <v>22</v>
      </c>
    </row>
    <row r="189" spans="1:51" x14ac:dyDescent="0.25">
      <c r="A189" s="1">
        <v>40725</v>
      </c>
      <c r="B189">
        <v>25325</v>
      </c>
      <c r="C189" t="s">
        <v>2</v>
      </c>
      <c r="U189" s="1">
        <v>40575</v>
      </c>
      <c r="V189">
        <v>22007</v>
      </c>
      <c r="W189" t="s">
        <v>16</v>
      </c>
      <c r="AI189" s="1">
        <v>40787</v>
      </c>
      <c r="AJ189">
        <v>37088</v>
      </c>
      <c r="AK189" t="s">
        <v>22</v>
      </c>
      <c r="AW189" s="1">
        <v>40787</v>
      </c>
      <c r="AX189">
        <v>18583</v>
      </c>
      <c r="AY189" t="s">
        <v>24</v>
      </c>
    </row>
    <row r="190" spans="1:51" x14ac:dyDescent="0.25">
      <c r="A190" s="1">
        <v>40756</v>
      </c>
      <c r="B190">
        <v>8995</v>
      </c>
      <c r="C190" t="s">
        <v>4</v>
      </c>
      <c r="U190" s="1">
        <v>40575</v>
      </c>
      <c r="V190">
        <v>17490</v>
      </c>
      <c r="W190" t="s">
        <v>14</v>
      </c>
      <c r="AI190" s="1">
        <v>40787</v>
      </c>
      <c r="AJ190">
        <v>14123</v>
      </c>
      <c r="AK190" t="s">
        <v>25</v>
      </c>
      <c r="AW190" s="1">
        <v>40787</v>
      </c>
      <c r="AX190">
        <v>34579</v>
      </c>
      <c r="AY190" t="s">
        <v>22</v>
      </c>
    </row>
    <row r="191" spans="1:51" x14ac:dyDescent="0.25">
      <c r="A191" s="1">
        <v>40756</v>
      </c>
      <c r="B191">
        <v>13279</v>
      </c>
      <c r="C191" t="s">
        <v>5</v>
      </c>
      <c r="U191" s="1">
        <v>40603</v>
      </c>
      <c r="V191">
        <v>36850</v>
      </c>
      <c r="W191" t="s">
        <v>15</v>
      </c>
      <c r="AI191" s="1">
        <v>40787</v>
      </c>
      <c r="AJ191">
        <v>9875</v>
      </c>
      <c r="AK191" t="s">
        <v>24</v>
      </c>
      <c r="AW191" s="1">
        <v>40787</v>
      </c>
      <c r="AX191">
        <v>26476</v>
      </c>
      <c r="AY191" t="s">
        <v>25</v>
      </c>
    </row>
    <row r="192" spans="1:51" x14ac:dyDescent="0.25">
      <c r="A192" s="1">
        <v>40756</v>
      </c>
      <c r="B192">
        <v>34306</v>
      </c>
      <c r="C192" t="s">
        <v>2</v>
      </c>
      <c r="U192" s="1">
        <v>40603</v>
      </c>
      <c r="V192">
        <v>16260</v>
      </c>
      <c r="W192" t="s">
        <v>16</v>
      </c>
      <c r="AI192" s="1">
        <v>40817</v>
      </c>
      <c r="AJ192">
        <v>14084</v>
      </c>
      <c r="AK192" t="s">
        <v>25</v>
      </c>
      <c r="AW192" s="1">
        <v>40817</v>
      </c>
      <c r="AX192">
        <v>40512</v>
      </c>
      <c r="AY192" t="s">
        <v>22</v>
      </c>
    </row>
    <row r="193" spans="1:51" x14ac:dyDescent="0.25">
      <c r="A193" s="1">
        <v>40787</v>
      </c>
      <c r="B193">
        <v>9559</v>
      </c>
      <c r="C193" t="s">
        <v>4</v>
      </c>
      <c r="U193" s="1">
        <v>40603</v>
      </c>
      <c r="V193">
        <v>10517</v>
      </c>
      <c r="W193" t="s">
        <v>14</v>
      </c>
      <c r="AI193" s="1">
        <v>40817</v>
      </c>
      <c r="AJ193">
        <v>11433</v>
      </c>
      <c r="AK193" t="s">
        <v>24</v>
      </c>
      <c r="AW193" s="1">
        <v>40817</v>
      </c>
      <c r="AX193">
        <v>26683</v>
      </c>
      <c r="AY193" t="s">
        <v>25</v>
      </c>
    </row>
    <row r="194" spans="1:51" x14ac:dyDescent="0.25">
      <c r="A194" s="1">
        <v>40787</v>
      </c>
      <c r="B194">
        <v>15550</v>
      </c>
      <c r="C194" t="s">
        <v>5</v>
      </c>
      <c r="U194" s="1">
        <v>40634</v>
      </c>
      <c r="V194">
        <v>28254</v>
      </c>
      <c r="W194" t="s">
        <v>15</v>
      </c>
      <c r="AI194" s="1">
        <v>40817</v>
      </c>
      <c r="AJ194">
        <v>36313</v>
      </c>
      <c r="AK194" t="s">
        <v>22</v>
      </c>
      <c r="AW194" s="1">
        <v>40817</v>
      </c>
      <c r="AX194">
        <v>25002</v>
      </c>
      <c r="AY194" t="s">
        <v>24</v>
      </c>
    </row>
    <row r="195" spans="1:51" x14ac:dyDescent="0.25">
      <c r="A195" s="1">
        <v>40787</v>
      </c>
      <c r="B195">
        <v>35181</v>
      </c>
      <c r="C195" t="s">
        <v>2</v>
      </c>
      <c r="U195" s="1">
        <v>40634</v>
      </c>
      <c r="V195">
        <v>15307</v>
      </c>
      <c r="W195" t="s">
        <v>16</v>
      </c>
      <c r="AI195" s="1">
        <v>40848</v>
      </c>
      <c r="AJ195">
        <v>32247</v>
      </c>
      <c r="AK195" t="s">
        <v>22</v>
      </c>
      <c r="AW195" s="1">
        <v>40848</v>
      </c>
      <c r="AX195">
        <v>39519</v>
      </c>
      <c r="AY195" t="s">
        <v>22</v>
      </c>
    </row>
    <row r="196" spans="1:51" x14ac:dyDescent="0.25">
      <c r="A196" s="1">
        <v>40817</v>
      </c>
      <c r="B196">
        <v>15321</v>
      </c>
      <c r="C196" t="s">
        <v>4</v>
      </c>
      <c r="U196" s="1">
        <v>40634</v>
      </c>
      <c r="V196">
        <v>9118</v>
      </c>
      <c r="W196" t="s">
        <v>14</v>
      </c>
      <c r="AI196" s="1">
        <v>40848</v>
      </c>
      <c r="AJ196">
        <v>22206</v>
      </c>
      <c r="AK196" t="s">
        <v>24</v>
      </c>
      <c r="AW196" s="1">
        <v>40848</v>
      </c>
      <c r="AX196">
        <v>40035</v>
      </c>
      <c r="AY196" t="s">
        <v>24</v>
      </c>
    </row>
    <row r="197" spans="1:51" x14ac:dyDescent="0.25">
      <c r="A197" s="1">
        <v>40817</v>
      </c>
      <c r="B197">
        <v>16474</v>
      </c>
      <c r="C197" t="s">
        <v>5</v>
      </c>
      <c r="U197" s="1">
        <v>40664</v>
      </c>
      <c r="V197">
        <v>22304</v>
      </c>
      <c r="W197" t="s">
        <v>15</v>
      </c>
      <c r="AI197" s="1">
        <v>40848</v>
      </c>
      <c r="AJ197">
        <v>17551</v>
      </c>
      <c r="AK197" t="s">
        <v>25</v>
      </c>
      <c r="AW197" s="1">
        <v>40848</v>
      </c>
      <c r="AX197">
        <v>28920</v>
      </c>
      <c r="AY197" t="s">
        <v>25</v>
      </c>
    </row>
    <row r="198" spans="1:51" x14ac:dyDescent="0.25">
      <c r="A198" s="1">
        <v>40817</v>
      </c>
      <c r="B198">
        <v>28354</v>
      </c>
      <c r="C198" t="s">
        <v>2</v>
      </c>
      <c r="U198" s="1">
        <v>40664</v>
      </c>
      <c r="V198">
        <v>18349</v>
      </c>
      <c r="W198" t="s">
        <v>16</v>
      </c>
      <c r="AI198" s="1">
        <v>40878</v>
      </c>
      <c r="AJ198">
        <v>24462</v>
      </c>
      <c r="AK198" t="s">
        <v>22</v>
      </c>
      <c r="AW198" s="1">
        <v>40878</v>
      </c>
      <c r="AX198">
        <v>35167</v>
      </c>
      <c r="AY198" t="s">
        <v>25</v>
      </c>
    </row>
    <row r="199" spans="1:51" x14ac:dyDescent="0.25">
      <c r="A199" s="1">
        <v>40848</v>
      </c>
      <c r="B199">
        <v>16</v>
      </c>
      <c r="C199" t="s">
        <v>3</v>
      </c>
      <c r="U199" s="1">
        <v>40664</v>
      </c>
      <c r="V199">
        <v>5828</v>
      </c>
      <c r="W199" t="s">
        <v>14</v>
      </c>
      <c r="AI199" s="1">
        <v>40878</v>
      </c>
      <c r="AJ199">
        <v>21822</v>
      </c>
      <c r="AK199" t="s">
        <v>24</v>
      </c>
      <c r="AW199" s="1">
        <v>40878</v>
      </c>
      <c r="AX199">
        <v>45073</v>
      </c>
      <c r="AY199" t="s">
        <v>22</v>
      </c>
    </row>
    <row r="200" spans="1:51" x14ac:dyDescent="0.25">
      <c r="A200" s="1">
        <v>40848</v>
      </c>
      <c r="B200">
        <v>16181</v>
      </c>
      <c r="C200" t="s">
        <v>4</v>
      </c>
      <c r="U200" s="1">
        <v>40695</v>
      </c>
      <c r="V200">
        <v>22239</v>
      </c>
      <c r="W200" t="s">
        <v>15</v>
      </c>
      <c r="AI200" s="1">
        <v>40878</v>
      </c>
      <c r="AJ200">
        <v>20154</v>
      </c>
      <c r="AK200" t="s">
        <v>25</v>
      </c>
      <c r="AW200" s="1">
        <v>40878</v>
      </c>
      <c r="AX200">
        <v>62449</v>
      </c>
      <c r="AY200" t="s">
        <v>24</v>
      </c>
    </row>
    <row r="201" spans="1:51" x14ac:dyDescent="0.25">
      <c r="A201" s="1">
        <v>40848</v>
      </c>
      <c r="B201">
        <v>15358</v>
      </c>
      <c r="C201" t="s">
        <v>5</v>
      </c>
      <c r="U201" s="1">
        <v>40695</v>
      </c>
      <c r="V201">
        <v>23616</v>
      </c>
      <c r="W201" t="s">
        <v>16</v>
      </c>
      <c r="AI201" s="1">
        <v>40909</v>
      </c>
      <c r="AJ201">
        <v>25527</v>
      </c>
      <c r="AK201" t="s">
        <v>22</v>
      </c>
      <c r="AW201" s="1">
        <v>40909</v>
      </c>
      <c r="AX201">
        <v>69339</v>
      </c>
      <c r="AY201" t="s">
        <v>24</v>
      </c>
    </row>
    <row r="202" spans="1:51" x14ac:dyDescent="0.25">
      <c r="A202" s="1">
        <v>40848</v>
      </c>
      <c r="B202">
        <v>22321</v>
      </c>
      <c r="C202" t="s">
        <v>2</v>
      </c>
      <c r="U202" s="1">
        <v>40695</v>
      </c>
      <c r="V202">
        <v>5870</v>
      </c>
      <c r="W202" t="s">
        <v>14</v>
      </c>
      <c r="AI202" s="1">
        <v>40909</v>
      </c>
      <c r="AJ202">
        <v>22762</v>
      </c>
      <c r="AK202" t="s">
        <v>24</v>
      </c>
      <c r="AW202" s="1">
        <v>40909</v>
      </c>
      <c r="AX202">
        <v>36302</v>
      </c>
      <c r="AY202" t="s">
        <v>25</v>
      </c>
    </row>
    <row r="203" spans="1:51" x14ac:dyDescent="0.25">
      <c r="A203" s="1">
        <v>40878</v>
      </c>
      <c r="B203">
        <v>13058</v>
      </c>
      <c r="C203" t="s">
        <v>4</v>
      </c>
      <c r="U203" s="1">
        <v>40725</v>
      </c>
      <c r="V203">
        <v>16955</v>
      </c>
      <c r="W203" t="s">
        <v>15</v>
      </c>
      <c r="AI203" s="1">
        <v>40909</v>
      </c>
      <c r="AJ203">
        <v>21857</v>
      </c>
      <c r="AK203" t="s">
        <v>25</v>
      </c>
      <c r="AW203" s="1">
        <v>40909</v>
      </c>
      <c r="AX203">
        <v>43789</v>
      </c>
      <c r="AY203" t="s">
        <v>22</v>
      </c>
    </row>
    <row r="204" spans="1:51" x14ac:dyDescent="0.25">
      <c r="A204" s="1">
        <v>40878</v>
      </c>
      <c r="B204">
        <v>17850</v>
      </c>
      <c r="C204" t="s">
        <v>5</v>
      </c>
      <c r="U204" s="1">
        <v>40725</v>
      </c>
      <c r="V204">
        <v>19009</v>
      </c>
      <c r="W204" t="s">
        <v>16</v>
      </c>
      <c r="AI204" s="1">
        <v>40940</v>
      </c>
      <c r="AJ204">
        <v>30765</v>
      </c>
      <c r="AK204" t="s">
        <v>22</v>
      </c>
      <c r="AW204" s="1">
        <v>40940</v>
      </c>
      <c r="AX204">
        <v>68368</v>
      </c>
      <c r="AY204" t="s">
        <v>24</v>
      </c>
    </row>
    <row r="205" spans="1:51" x14ac:dyDescent="0.25">
      <c r="A205" s="1">
        <v>40878</v>
      </c>
      <c r="B205">
        <v>12661</v>
      </c>
      <c r="C205" t="s">
        <v>2</v>
      </c>
      <c r="U205" s="1">
        <v>40725</v>
      </c>
      <c r="V205">
        <v>6101</v>
      </c>
      <c r="W205" t="s">
        <v>14</v>
      </c>
      <c r="AI205" s="1">
        <v>40940</v>
      </c>
      <c r="AJ205">
        <v>25465</v>
      </c>
      <c r="AK205" t="s">
        <v>24</v>
      </c>
      <c r="AW205" s="1">
        <v>40940</v>
      </c>
      <c r="AX205">
        <v>37421</v>
      </c>
      <c r="AY205" t="s">
        <v>25</v>
      </c>
    </row>
    <row r="206" spans="1:51" x14ac:dyDescent="0.25">
      <c r="A206" s="1">
        <v>40909</v>
      </c>
      <c r="B206">
        <v>21613</v>
      </c>
      <c r="C206" t="s">
        <v>4</v>
      </c>
      <c r="U206" s="1">
        <v>40756</v>
      </c>
      <c r="V206">
        <v>24762</v>
      </c>
      <c r="W206" t="s">
        <v>15</v>
      </c>
      <c r="AI206" s="1">
        <v>40940</v>
      </c>
      <c r="AJ206">
        <v>18923</v>
      </c>
      <c r="AK206" t="s">
        <v>25</v>
      </c>
      <c r="AW206" s="1">
        <v>40940</v>
      </c>
      <c r="AX206">
        <v>45234</v>
      </c>
      <c r="AY206" t="s">
        <v>22</v>
      </c>
    </row>
    <row r="207" spans="1:51" x14ac:dyDescent="0.25">
      <c r="A207" s="1">
        <v>40909</v>
      </c>
      <c r="B207">
        <v>21469</v>
      </c>
      <c r="C207" t="s">
        <v>5</v>
      </c>
      <c r="U207" s="1">
        <v>40756</v>
      </c>
      <c r="V207">
        <v>25639</v>
      </c>
      <c r="W207" t="s">
        <v>16</v>
      </c>
      <c r="AI207" s="1">
        <v>40969</v>
      </c>
      <c r="AJ207">
        <v>21029</v>
      </c>
      <c r="AK207" t="s">
        <v>22</v>
      </c>
      <c r="AW207" s="1">
        <v>40969</v>
      </c>
      <c r="AX207">
        <v>37294</v>
      </c>
      <c r="AY207" t="s">
        <v>22</v>
      </c>
    </row>
    <row r="208" spans="1:51" x14ac:dyDescent="0.25">
      <c r="A208" s="1">
        <v>40909</v>
      </c>
      <c r="B208">
        <v>26095</v>
      </c>
      <c r="C208" t="s">
        <v>2</v>
      </c>
      <c r="U208" s="1">
        <v>40756</v>
      </c>
      <c r="V208">
        <v>6179</v>
      </c>
      <c r="W208" t="s">
        <v>14</v>
      </c>
      <c r="AI208" s="1">
        <v>40969</v>
      </c>
      <c r="AJ208">
        <v>22392</v>
      </c>
      <c r="AK208" t="s">
        <v>24</v>
      </c>
      <c r="AW208" s="1">
        <v>40969</v>
      </c>
      <c r="AX208">
        <v>41993</v>
      </c>
      <c r="AY208" t="s">
        <v>25</v>
      </c>
    </row>
    <row r="209" spans="1:51" x14ac:dyDescent="0.25">
      <c r="A209" s="1">
        <v>40940</v>
      </c>
      <c r="B209">
        <v>35057</v>
      </c>
      <c r="C209" t="s">
        <v>4</v>
      </c>
      <c r="U209" s="1">
        <v>40787</v>
      </c>
      <c r="V209">
        <v>25880</v>
      </c>
      <c r="W209" t="s">
        <v>15</v>
      </c>
      <c r="AI209" s="1">
        <v>40969</v>
      </c>
      <c r="AJ209">
        <v>20650</v>
      </c>
      <c r="AK209" t="s">
        <v>25</v>
      </c>
      <c r="AW209" s="1">
        <v>40969</v>
      </c>
      <c r="AX209">
        <v>74896</v>
      </c>
      <c r="AY209" t="s">
        <v>24</v>
      </c>
    </row>
    <row r="210" spans="1:51" x14ac:dyDescent="0.25">
      <c r="A210" s="1">
        <v>40940</v>
      </c>
      <c r="B210">
        <v>19436</v>
      </c>
      <c r="C210" t="s">
        <v>5</v>
      </c>
      <c r="U210" s="1">
        <v>40787</v>
      </c>
      <c r="V210">
        <v>27102</v>
      </c>
      <c r="W210" t="s">
        <v>16</v>
      </c>
      <c r="AI210" s="1">
        <v>41000</v>
      </c>
      <c r="AJ210">
        <v>20238</v>
      </c>
      <c r="AK210" t="s">
        <v>22</v>
      </c>
      <c r="AW210" s="1">
        <v>41000</v>
      </c>
      <c r="AX210">
        <v>43130</v>
      </c>
      <c r="AY210" t="s">
        <v>22</v>
      </c>
    </row>
    <row r="211" spans="1:51" x14ac:dyDescent="0.25">
      <c r="A211" s="1">
        <v>40940</v>
      </c>
      <c r="B211">
        <v>35310</v>
      </c>
      <c r="C211" t="s">
        <v>2</v>
      </c>
      <c r="U211" s="1">
        <v>40787</v>
      </c>
      <c r="V211">
        <v>7308</v>
      </c>
      <c r="W211" t="s">
        <v>14</v>
      </c>
      <c r="AI211" s="1">
        <v>41000</v>
      </c>
      <c r="AJ211">
        <v>22169</v>
      </c>
      <c r="AK211" t="s">
        <v>24</v>
      </c>
      <c r="AW211" s="1">
        <v>41000</v>
      </c>
      <c r="AX211">
        <v>87727</v>
      </c>
      <c r="AY211" t="s">
        <v>24</v>
      </c>
    </row>
    <row r="212" spans="1:51" x14ac:dyDescent="0.25">
      <c r="A212" s="1">
        <v>40969</v>
      </c>
      <c r="B212">
        <v>28239</v>
      </c>
      <c r="C212" t="s">
        <v>4</v>
      </c>
      <c r="U212" s="1">
        <v>40817</v>
      </c>
      <c r="V212">
        <v>32509</v>
      </c>
      <c r="W212" t="s">
        <v>15</v>
      </c>
      <c r="AI212" s="1">
        <v>41000</v>
      </c>
      <c r="AJ212">
        <v>23750</v>
      </c>
      <c r="AK212" t="s">
        <v>25</v>
      </c>
      <c r="AW212" s="1">
        <v>41000</v>
      </c>
      <c r="AX212">
        <v>46599</v>
      </c>
      <c r="AY212" t="s">
        <v>25</v>
      </c>
    </row>
    <row r="213" spans="1:51" x14ac:dyDescent="0.25">
      <c r="A213" s="1">
        <v>40969</v>
      </c>
      <c r="B213">
        <v>29010</v>
      </c>
      <c r="C213" t="s">
        <v>5</v>
      </c>
      <c r="U213" s="1">
        <v>40817</v>
      </c>
      <c r="V213">
        <v>20424</v>
      </c>
      <c r="W213" t="s">
        <v>16</v>
      </c>
      <c r="AI213" s="1">
        <v>41030</v>
      </c>
      <c r="AJ213">
        <v>22147</v>
      </c>
      <c r="AK213" t="s">
        <v>25</v>
      </c>
      <c r="AW213" s="1">
        <v>41030</v>
      </c>
      <c r="AX213">
        <v>44701</v>
      </c>
      <c r="AY213" t="s">
        <v>25</v>
      </c>
    </row>
    <row r="214" spans="1:51" x14ac:dyDescent="0.25">
      <c r="A214" s="1">
        <v>40969</v>
      </c>
      <c r="B214">
        <v>26813</v>
      </c>
      <c r="C214" t="s">
        <v>2</v>
      </c>
      <c r="U214" s="1">
        <v>40817</v>
      </c>
      <c r="V214">
        <v>7216</v>
      </c>
      <c r="W214" t="s">
        <v>14</v>
      </c>
      <c r="AI214" s="1">
        <v>41030</v>
      </c>
      <c r="AJ214">
        <v>24408</v>
      </c>
      <c r="AK214" t="s">
        <v>22</v>
      </c>
      <c r="AW214" s="1">
        <v>41030</v>
      </c>
      <c r="AX214">
        <v>83635</v>
      </c>
      <c r="AY214" t="s">
        <v>24</v>
      </c>
    </row>
    <row r="215" spans="1:51" x14ac:dyDescent="0.25">
      <c r="A215" s="1">
        <v>41000</v>
      </c>
      <c r="B215">
        <v>30739</v>
      </c>
      <c r="C215" t="s">
        <v>4</v>
      </c>
      <c r="U215" s="1">
        <v>40848</v>
      </c>
      <c r="V215">
        <v>31848</v>
      </c>
      <c r="W215" t="s">
        <v>15</v>
      </c>
      <c r="AI215" s="1">
        <v>41030</v>
      </c>
      <c r="AJ215">
        <v>21904</v>
      </c>
      <c r="AK215" t="s">
        <v>24</v>
      </c>
      <c r="AW215" s="1">
        <v>41030</v>
      </c>
      <c r="AX215">
        <v>56078</v>
      </c>
      <c r="AY215" t="s">
        <v>22</v>
      </c>
    </row>
    <row r="216" spans="1:51" x14ac:dyDescent="0.25">
      <c r="A216" s="1">
        <v>41000</v>
      </c>
      <c r="B216">
        <v>18814</v>
      </c>
      <c r="C216" t="s">
        <v>5</v>
      </c>
      <c r="U216" s="1">
        <v>40848</v>
      </c>
      <c r="V216">
        <v>15277</v>
      </c>
      <c r="W216" t="s">
        <v>16</v>
      </c>
      <c r="AI216" s="1">
        <v>41061</v>
      </c>
      <c r="AJ216">
        <v>18591</v>
      </c>
      <c r="AK216" t="s">
        <v>24</v>
      </c>
      <c r="AW216" s="1">
        <v>41061</v>
      </c>
      <c r="AX216">
        <v>66120</v>
      </c>
      <c r="AY216" t="s">
        <v>24</v>
      </c>
    </row>
    <row r="217" spans="1:51" x14ac:dyDescent="0.25">
      <c r="A217" s="1">
        <v>41000</v>
      </c>
      <c r="B217">
        <v>37089</v>
      </c>
      <c r="C217" t="s">
        <v>2</v>
      </c>
      <c r="U217" s="1">
        <v>40848</v>
      </c>
      <c r="V217">
        <v>6751</v>
      </c>
      <c r="W217" t="s">
        <v>14</v>
      </c>
      <c r="AI217" s="1">
        <v>41061</v>
      </c>
      <c r="AJ217">
        <v>32500</v>
      </c>
      <c r="AK217" t="s">
        <v>22</v>
      </c>
      <c r="AW217" s="1">
        <v>41061</v>
      </c>
      <c r="AX217">
        <v>41557</v>
      </c>
      <c r="AY217" t="s">
        <v>25</v>
      </c>
    </row>
    <row r="218" spans="1:51" x14ac:dyDescent="0.25">
      <c r="A218" s="1">
        <v>41030</v>
      </c>
      <c r="B218">
        <v>28</v>
      </c>
      <c r="C218" t="s">
        <v>3</v>
      </c>
      <c r="U218" s="1">
        <v>40878</v>
      </c>
      <c r="V218">
        <v>30460</v>
      </c>
      <c r="W218" t="s">
        <v>15</v>
      </c>
      <c r="AI218" s="1">
        <v>41061</v>
      </c>
      <c r="AJ218">
        <v>20132</v>
      </c>
      <c r="AK218" t="s">
        <v>25</v>
      </c>
      <c r="AW218" s="1">
        <v>41061</v>
      </c>
      <c r="AX218">
        <v>54558</v>
      </c>
      <c r="AY218" t="s">
        <v>22</v>
      </c>
    </row>
    <row r="219" spans="1:51" x14ac:dyDescent="0.25">
      <c r="A219" s="1">
        <v>41030</v>
      </c>
      <c r="B219">
        <v>17578</v>
      </c>
      <c r="C219" t="s">
        <v>4</v>
      </c>
      <c r="U219" s="1">
        <v>40878</v>
      </c>
      <c r="V219">
        <v>7570</v>
      </c>
      <c r="W219" t="s">
        <v>16</v>
      </c>
      <c r="AI219" s="1">
        <v>41091</v>
      </c>
      <c r="AJ219">
        <v>40914</v>
      </c>
      <c r="AK219" t="s">
        <v>22</v>
      </c>
      <c r="AW219" s="1">
        <v>41091</v>
      </c>
      <c r="AX219">
        <v>63132</v>
      </c>
      <c r="AY219" t="s">
        <v>22</v>
      </c>
    </row>
    <row r="220" spans="1:51" x14ac:dyDescent="0.25">
      <c r="A220" s="1">
        <v>41030</v>
      </c>
      <c r="B220">
        <v>22353</v>
      </c>
      <c r="C220" t="s">
        <v>5</v>
      </c>
      <c r="U220" s="1">
        <v>40878</v>
      </c>
      <c r="V220">
        <v>5539</v>
      </c>
      <c r="W220" t="s">
        <v>14</v>
      </c>
      <c r="AI220" s="1">
        <v>41091</v>
      </c>
      <c r="AJ220">
        <v>20169</v>
      </c>
      <c r="AK220" t="s">
        <v>24</v>
      </c>
      <c r="AW220" s="1">
        <v>41091</v>
      </c>
      <c r="AX220">
        <v>58704</v>
      </c>
      <c r="AY220" t="s">
        <v>24</v>
      </c>
    </row>
    <row r="221" spans="1:51" x14ac:dyDescent="0.25">
      <c r="A221" s="1">
        <v>41030</v>
      </c>
      <c r="B221">
        <v>26357</v>
      </c>
      <c r="C221" t="s">
        <v>2</v>
      </c>
      <c r="U221" s="1">
        <v>40909</v>
      </c>
      <c r="V221">
        <v>40253</v>
      </c>
      <c r="W221" t="s">
        <v>15</v>
      </c>
      <c r="AI221" s="1">
        <v>41091</v>
      </c>
      <c r="AJ221">
        <v>20818</v>
      </c>
      <c r="AK221" t="s">
        <v>25</v>
      </c>
      <c r="AW221" s="1">
        <v>41091</v>
      </c>
      <c r="AX221">
        <v>42169</v>
      </c>
      <c r="AY221" t="s">
        <v>25</v>
      </c>
    </row>
    <row r="222" spans="1:51" x14ac:dyDescent="0.25">
      <c r="A222" s="1">
        <v>41061</v>
      </c>
      <c r="B222">
        <v>25831</v>
      </c>
      <c r="C222" t="s">
        <v>4</v>
      </c>
      <c r="U222" s="1">
        <v>40909</v>
      </c>
      <c r="V222">
        <v>16546</v>
      </c>
      <c r="W222" t="s">
        <v>16</v>
      </c>
      <c r="AI222" s="1">
        <v>41122</v>
      </c>
      <c r="AJ222">
        <v>40188</v>
      </c>
      <c r="AK222" t="s">
        <v>22</v>
      </c>
      <c r="AW222" s="1">
        <v>41122</v>
      </c>
      <c r="AX222">
        <v>68002</v>
      </c>
      <c r="AY222" t="s">
        <v>24</v>
      </c>
    </row>
    <row r="223" spans="1:51" x14ac:dyDescent="0.25">
      <c r="A223" s="1">
        <v>41061</v>
      </c>
      <c r="B223">
        <v>23679</v>
      </c>
      <c r="C223" t="s">
        <v>5</v>
      </c>
      <c r="U223" s="1">
        <v>40909</v>
      </c>
      <c r="V223">
        <v>12378</v>
      </c>
      <c r="W223" t="s">
        <v>14</v>
      </c>
      <c r="AI223" s="1">
        <v>41122</v>
      </c>
      <c r="AJ223">
        <v>20467</v>
      </c>
      <c r="AK223" t="s">
        <v>24</v>
      </c>
      <c r="AW223" s="1">
        <v>41122</v>
      </c>
      <c r="AX223">
        <v>42658</v>
      </c>
      <c r="AY223" t="s">
        <v>25</v>
      </c>
    </row>
    <row r="224" spans="1:51" x14ac:dyDescent="0.25">
      <c r="A224" s="1">
        <v>41061</v>
      </c>
      <c r="B224">
        <v>49421</v>
      </c>
      <c r="C224" t="s">
        <v>2</v>
      </c>
      <c r="U224" s="1">
        <v>40940</v>
      </c>
      <c r="V224">
        <v>59797</v>
      </c>
      <c r="W224" t="s">
        <v>15</v>
      </c>
      <c r="AI224" s="1">
        <v>41122</v>
      </c>
      <c r="AJ224">
        <v>21157</v>
      </c>
      <c r="AK224" t="s">
        <v>25</v>
      </c>
      <c r="AW224" s="1">
        <v>41122</v>
      </c>
      <c r="AX224">
        <v>71358</v>
      </c>
      <c r="AY224" t="s">
        <v>22</v>
      </c>
    </row>
    <row r="225" spans="1:51" x14ac:dyDescent="0.25">
      <c r="A225" s="1">
        <v>41091</v>
      </c>
      <c r="B225">
        <v>18827</v>
      </c>
      <c r="C225" t="s">
        <v>4</v>
      </c>
      <c r="U225" s="1">
        <v>40940</v>
      </c>
      <c r="V225">
        <v>20135</v>
      </c>
      <c r="W225" t="s">
        <v>16</v>
      </c>
      <c r="AI225" s="1">
        <v>41153</v>
      </c>
      <c r="AJ225">
        <v>43003</v>
      </c>
      <c r="AK225" t="s">
        <v>22</v>
      </c>
      <c r="AW225" s="1">
        <v>41153</v>
      </c>
      <c r="AX225">
        <v>60637</v>
      </c>
      <c r="AY225" t="s">
        <v>25</v>
      </c>
    </row>
    <row r="226" spans="1:51" x14ac:dyDescent="0.25">
      <c r="A226" s="1">
        <v>41091</v>
      </c>
      <c r="B226">
        <v>21930</v>
      </c>
      <c r="C226" t="s">
        <v>5</v>
      </c>
      <c r="U226" s="1">
        <v>40940</v>
      </c>
      <c r="V226">
        <v>9871</v>
      </c>
      <c r="W226" t="s">
        <v>14</v>
      </c>
      <c r="AI226" s="1">
        <v>41153</v>
      </c>
      <c r="AJ226">
        <v>25359</v>
      </c>
      <c r="AK226" t="s">
        <v>24</v>
      </c>
      <c r="AW226" s="1">
        <v>41153</v>
      </c>
      <c r="AX226">
        <v>62940</v>
      </c>
      <c r="AY226" t="s">
        <v>24</v>
      </c>
    </row>
    <row r="227" spans="1:51" x14ac:dyDescent="0.25">
      <c r="A227" s="1">
        <v>41091</v>
      </c>
      <c r="B227">
        <v>37815</v>
      </c>
      <c r="C227" t="s">
        <v>2</v>
      </c>
      <c r="U227" s="1">
        <v>40969</v>
      </c>
      <c r="V227">
        <v>52700</v>
      </c>
      <c r="W227" t="s">
        <v>15</v>
      </c>
      <c r="AI227" s="1">
        <v>41153</v>
      </c>
      <c r="AJ227">
        <v>23362</v>
      </c>
      <c r="AK227" t="s">
        <v>25</v>
      </c>
      <c r="AW227" s="1">
        <v>41153</v>
      </c>
      <c r="AX227">
        <v>64773</v>
      </c>
      <c r="AY227" t="s">
        <v>22</v>
      </c>
    </row>
    <row r="228" spans="1:51" x14ac:dyDescent="0.25">
      <c r="A228" s="1">
        <v>41122</v>
      </c>
      <c r="B228">
        <v>26774</v>
      </c>
      <c r="C228" t="s">
        <v>4</v>
      </c>
      <c r="U228" s="1">
        <v>40969</v>
      </c>
      <c r="V228">
        <v>14854</v>
      </c>
      <c r="W228" t="s">
        <v>16</v>
      </c>
      <c r="AI228" s="1">
        <v>41183</v>
      </c>
      <c r="AJ228">
        <v>47014</v>
      </c>
      <c r="AK228" t="s">
        <v>22</v>
      </c>
      <c r="AW228" s="1">
        <v>41183</v>
      </c>
      <c r="AX228">
        <v>77943</v>
      </c>
      <c r="AY228" t="s">
        <v>24</v>
      </c>
    </row>
    <row r="229" spans="1:51" x14ac:dyDescent="0.25">
      <c r="A229" s="1">
        <v>41122</v>
      </c>
      <c r="B229">
        <v>25715</v>
      </c>
      <c r="C229" t="s">
        <v>5</v>
      </c>
      <c r="U229" s="1">
        <v>40969</v>
      </c>
      <c r="V229">
        <v>16508</v>
      </c>
      <c r="W229" t="s">
        <v>14</v>
      </c>
      <c r="AI229" s="1">
        <v>41183</v>
      </c>
      <c r="AJ229">
        <v>33904</v>
      </c>
      <c r="AK229" t="s">
        <v>24</v>
      </c>
      <c r="AW229" s="1">
        <v>41183</v>
      </c>
      <c r="AX229">
        <v>67250</v>
      </c>
      <c r="AY229" t="s">
        <v>25</v>
      </c>
    </row>
    <row r="230" spans="1:51" x14ac:dyDescent="0.25">
      <c r="A230" s="1">
        <v>41122</v>
      </c>
      <c r="B230">
        <v>51040</v>
      </c>
      <c r="C230" t="s">
        <v>2</v>
      </c>
      <c r="U230" s="1">
        <v>41000</v>
      </c>
      <c r="V230">
        <v>52285</v>
      </c>
      <c r="W230" t="s">
        <v>15</v>
      </c>
      <c r="AI230" s="1">
        <v>41183</v>
      </c>
      <c r="AJ230">
        <v>24936</v>
      </c>
      <c r="AK230" t="s">
        <v>25</v>
      </c>
      <c r="AW230" s="1">
        <v>41183</v>
      </c>
      <c r="AX230">
        <v>66759</v>
      </c>
      <c r="AY230" t="s">
        <v>22</v>
      </c>
    </row>
    <row r="231" spans="1:51" x14ac:dyDescent="0.25">
      <c r="A231" s="1">
        <v>41153</v>
      </c>
      <c r="B231">
        <v>25041</v>
      </c>
      <c r="C231" t="s">
        <v>4</v>
      </c>
      <c r="U231" s="1">
        <v>41000</v>
      </c>
      <c r="V231">
        <v>22249</v>
      </c>
      <c r="W231" t="s">
        <v>16</v>
      </c>
      <c r="AI231" s="1">
        <v>41214</v>
      </c>
      <c r="AJ231">
        <v>49817</v>
      </c>
      <c r="AK231" t="s">
        <v>22</v>
      </c>
      <c r="AW231" s="1">
        <v>41214</v>
      </c>
      <c r="AX231">
        <v>54797</v>
      </c>
      <c r="AY231" t="s">
        <v>22</v>
      </c>
    </row>
    <row r="232" spans="1:51" x14ac:dyDescent="0.25">
      <c r="A232" s="1">
        <v>41153</v>
      </c>
      <c r="B232">
        <v>20098</v>
      </c>
      <c r="C232" t="s">
        <v>5</v>
      </c>
      <c r="U232" s="1">
        <v>41000</v>
      </c>
      <c r="V232">
        <v>12108</v>
      </c>
      <c r="W232" t="s">
        <v>14</v>
      </c>
      <c r="AI232" s="1">
        <v>41214</v>
      </c>
      <c r="AJ232">
        <v>40037</v>
      </c>
      <c r="AK232" t="s">
        <v>24</v>
      </c>
      <c r="AW232" s="1">
        <v>41214</v>
      </c>
      <c r="AX232">
        <v>67527</v>
      </c>
      <c r="AY232" t="s">
        <v>24</v>
      </c>
    </row>
    <row r="233" spans="1:51" x14ac:dyDescent="0.25">
      <c r="A233" s="1">
        <v>41153</v>
      </c>
      <c r="B233">
        <v>34014</v>
      </c>
      <c r="C233" t="s">
        <v>2</v>
      </c>
      <c r="U233" s="1">
        <v>41030</v>
      </c>
      <c r="V233">
        <v>37066</v>
      </c>
      <c r="W233" t="s">
        <v>15</v>
      </c>
      <c r="AI233" s="1">
        <v>41214</v>
      </c>
      <c r="AJ233">
        <v>26328</v>
      </c>
      <c r="AK233" t="s">
        <v>25</v>
      </c>
      <c r="AW233" s="1">
        <v>41214</v>
      </c>
      <c r="AX233">
        <v>63599</v>
      </c>
      <c r="AY233" t="s">
        <v>25</v>
      </c>
    </row>
    <row r="234" spans="1:51" x14ac:dyDescent="0.25">
      <c r="A234" s="1">
        <v>41183</v>
      </c>
      <c r="B234">
        <v>38833</v>
      </c>
      <c r="C234" t="s">
        <v>4</v>
      </c>
      <c r="U234" s="1">
        <v>41030</v>
      </c>
      <c r="V234">
        <v>16856</v>
      </c>
      <c r="W234" t="s">
        <v>16</v>
      </c>
      <c r="AI234" s="1">
        <v>41244</v>
      </c>
      <c r="AJ234">
        <v>49997</v>
      </c>
      <c r="AK234" t="s">
        <v>22</v>
      </c>
      <c r="AW234" s="1">
        <v>41244</v>
      </c>
      <c r="AX234">
        <v>83263</v>
      </c>
      <c r="AY234" t="s">
        <v>24</v>
      </c>
    </row>
    <row r="235" spans="1:51" x14ac:dyDescent="0.25">
      <c r="A235" s="1">
        <v>41183</v>
      </c>
      <c r="B235">
        <v>23340</v>
      </c>
      <c r="C235" t="s">
        <v>5</v>
      </c>
      <c r="U235" s="1">
        <v>41030</v>
      </c>
      <c r="V235">
        <v>12394</v>
      </c>
      <c r="W235" t="s">
        <v>14</v>
      </c>
      <c r="AI235" s="1">
        <v>41244</v>
      </c>
      <c r="AJ235">
        <v>40485</v>
      </c>
      <c r="AK235" t="s">
        <v>24</v>
      </c>
      <c r="AW235" s="1">
        <v>41244</v>
      </c>
      <c r="AX235">
        <v>74296</v>
      </c>
      <c r="AY235" t="s">
        <v>25</v>
      </c>
    </row>
    <row r="236" spans="1:51" x14ac:dyDescent="0.25">
      <c r="A236" s="1">
        <v>41183</v>
      </c>
      <c r="B236">
        <v>50866</v>
      </c>
      <c r="C236" t="s">
        <v>2</v>
      </c>
      <c r="U236" s="1">
        <v>41061</v>
      </c>
      <c r="V236">
        <v>46044</v>
      </c>
      <c r="W236" t="s">
        <v>15</v>
      </c>
      <c r="AI236" s="1">
        <v>41244</v>
      </c>
      <c r="AJ236">
        <v>29752</v>
      </c>
      <c r="AK236" t="s">
        <v>25</v>
      </c>
      <c r="AW236" s="1">
        <v>41244</v>
      </c>
      <c r="AX236">
        <v>58892</v>
      </c>
      <c r="AY236" t="s">
        <v>22</v>
      </c>
    </row>
    <row r="237" spans="1:51" x14ac:dyDescent="0.25">
      <c r="A237" s="1">
        <v>41214</v>
      </c>
      <c r="B237">
        <v>1190</v>
      </c>
      <c r="C237" t="s">
        <v>3</v>
      </c>
      <c r="U237" s="1">
        <v>41061</v>
      </c>
      <c r="V237">
        <v>37261</v>
      </c>
      <c r="W237" t="s">
        <v>16</v>
      </c>
      <c r="AI237" s="1">
        <v>41275</v>
      </c>
      <c r="AJ237">
        <v>39735</v>
      </c>
      <c r="AK237" t="s">
        <v>22</v>
      </c>
      <c r="AW237" s="1">
        <v>41275</v>
      </c>
      <c r="AX237">
        <v>58734</v>
      </c>
      <c r="AY237" t="s">
        <v>22</v>
      </c>
    </row>
    <row r="238" spans="1:51" x14ac:dyDescent="0.25">
      <c r="A238" s="1">
        <v>41214</v>
      </c>
      <c r="B238">
        <v>49783</v>
      </c>
      <c r="C238" t="s">
        <v>4</v>
      </c>
      <c r="U238" s="1">
        <v>41061</v>
      </c>
      <c r="V238">
        <v>15626</v>
      </c>
      <c r="W238" t="s">
        <v>14</v>
      </c>
      <c r="AI238" s="1">
        <v>41275</v>
      </c>
      <c r="AJ238">
        <v>36497</v>
      </c>
      <c r="AK238" t="s">
        <v>24</v>
      </c>
      <c r="AW238" s="1">
        <v>41275</v>
      </c>
      <c r="AX238">
        <v>84096</v>
      </c>
      <c r="AY238" t="s">
        <v>24</v>
      </c>
    </row>
    <row r="239" spans="1:51" x14ac:dyDescent="0.25">
      <c r="A239" s="1">
        <v>41214</v>
      </c>
      <c r="B239">
        <v>40576</v>
      </c>
      <c r="C239" t="s">
        <v>5</v>
      </c>
      <c r="U239" s="1">
        <v>41091</v>
      </c>
      <c r="V239">
        <v>36784</v>
      </c>
      <c r="W239" t="s">
        <v>15</v>
      </c>
      <c r="AI239" s="1">
        <v>41275</v>
      </c>
      <c r="AJ239">
        <v>26820</v>
      </c>
      <c r="AK239" t="s">
        <v>25</v>
      </c>
      <c r="AW239" s="1">
        <v>41275</v>
      </c>
      <c r="AX239">
        <v>70012</v>
      </c>
      <c r="AY239" t="s">
        <v>25</v>
      </c>
    </row>
    <row r="240" spans="1:51" x14ac:dyDescent="0.25">
      <c r="A240" s="1">
        <v>41214</v>
      </c>
      <c r="B240">
        <v>70841</v>
      </c>
      <c r="C240" t="s">
        <v>2</v>
      </c>
      <c r="U240" s="1">
        <v>41091</v>
      </c>
      <c r="V240">
        <v>26911</v>
      </c>
      <c r="W240" t="s">
        <v>16</v>
      </c>
      <c r="AI240" s="1">
        <v>41306</v>
      </c>
      <c r="AJ240">
        <v>44263</v>
      </c>
      <c r="AK240" t="s">
        <v>22</v>
      </c>
      <c r="AW240" s="1">
        <v>41306</v>
      </c>
      <c r="AX240">
        <v>83542</v>
      </c>
      <c r="AY240" t="s">
        <v>24</v>
      </c>
    </row>
    <row r="241" spans="1:51" x14ac:dyDescent="0.25">
      <c r="A241" s="1">
        <v>41244</v>
      </c>
      <c r="B241">
        <v>7</v>
      </c>
      <c r="C241" t="s">
        <v>3</v>
      </c>
      <c r="U241" s="1">
        <v>41091</v>
      </c>
      <c r="V241">
        <v>14877</v>
      </c>
      <c r="W241" t="s">
        <v>14</v>
      </c>
      <c r="AI241" s="1">
        <v>41306</v>
      </c>
      <c r="AJ241">
        <v>41281</v>
      </c>
      <c r="AK241" t="s">
        <v>24</v>
      </c>
      <c r="AW241" s="1">
        <v>41306</v>
      </c>
      <c r="AX241">
        <v>71858</v>
      </c>
      <c r="AY241" t="s">
        <v>25</v>
      </c>
    </row>
    <row r="242" spans="1:51" x14ac:dyDescent="0.25">
      <c r="A242" s="1">
        <v>41244</v>
      </c>
      <c r="B242">
        <v>23978</v>
      </c>
      <c r="C242" t="s">
        <v>4</v>
      </c>
      <c r="U242" s="1">
        <v>41122</v>
      </c>
      <c r="V242">
        <v>51984</v>
      </c>
      <c r="W242" t="s">
        <v>15</v>
      </c>
      <c r="AI242" s="1">
        <v>41306</v>
      </c>
      <c r="AJ242">
        <v>27439</v>
      </c>
      <c r="AK242" t="s">
        <v>25</v>
      </c>
      <c r="AW242" s="1">
        <v>41306</v>
      </c>
      <c r="AX242">
        <v>56759</v>
      </c>
      <c r="AY242" t="s">
        <v>22</v>
      </c>
    </row>
    <row r="243" spans="1:51" x14ac:dyDescent="0.25">
      <c r="A243" s="1">
        <v>41244</v>
      </c>
      <c r="B243">
        <v>16073</v>
      </c>
      <c r="C243" t="s">
        <v>5</v>
      </c>
      <c r="U243" s="1">
        <v>41122</v>
      </c>
      <c r="V243">
        <v>37843</v>
      </c>
      <c r="W243" t="s">
        <v>16</v>
      </c>
      <c r="AI243" s="1">
        <v>41334</v>
      </c>
      <c r="AJ243">
        <v>42586</v>
      </c>
      <c r="AK243" t="s">
        <v>22</v>
      </c>
      <c r="AW243" s="1">
        <v>41334</v>
      </c>
      <c r="AX243">
        <v>42223</v>
      </c>
      <c r="AY243" t="s">
        <v>22</v>
      </c>
    </row>
    <row r="244" spans="1:51" x14ac:dyDescent="0.25">
      <c r="A244" s="1">
        <v>41244</v>
      </c>
      <c r="B244">
        <v>26902</v>
      </c>
      <c r="C244" t="s">
        <v>2</v>
      </c>
      <c r="U244" s="1">
        <v>41122</v>
      </c>
      <c r="V244">
        <v>13702</v>
      </c>
      <c r="W244" t="s">
        <v>14</v>
      </c>
      <c r="AI244" s="1">
        <v>41334</v>
      </c>
      <c r="AJ244">
        <v>45862</v>
      </c>
      <c r="AK244" t="s">
        <v>24</v>
      </c>
      <c r="AW244" s="1">
        <v>41334</v>
      </c>
      <c r="AX244">
        <v>73084</v>
      </c>
      <c r="AY244" t="s">
        <v>25</v>
      </c>
    </row>
    <row r="245" spans="1:51" x14ac:dyDescent="0.25">
      <c r="A245" s="1">
        <v>41275</v>
      </c>
      <c r="B245">
        <v>39760</v>
      </c>
      <c r="C245" t="s">
        <v>4</v>
      </c>
      <c r="U245" s="1">
        <v>41153</v>
      </c>
      <c r="V245">
        <v>44391</v>
      </c>
      <c r="W245" t="s">
        <v>15</v>
      </c>
      <c r="AI245" s="1">
        <v>41334</v>
      </c>
      <c r="AJ245">
        <v>29625</v>
      </c>
      <c r="AK245" t="s">
        <v>25</v>
      </c>
      <c r="AW245" s="1">
        <v>41334</v>
      </c>
      <c r="AX245">
        <v>80177</v>
      </c>
      <c r="AY245" t="s">
        <v>24</v>
      </c>
    </row>
    <row r="246" spans="1:51" x14ac:dyDescent="0.25">
      <c r="A246" s="1">
        <v>41275</v>
      </c>
      <c r="B246">
        <v>31891</v>
      </c>
      <c r="C246" t="s">
        <v>5</v>
      </c>
      <c r="U246" s="1">
        <v>41153</v>
      </c>
      <c r="V246">
        <v>23418</v>
      </c>
      <c r="W246" t="s">
        <v>16</v>
      </c>
      <c r="AI246" s="1">
        <v>41365</v>
      </c>
      <c r="AJ246">
        <v>46377</v>
      </c>
      <c r="AK246" t="s">
        <v>22</v>
      </c>
      <c r="AW246" s="1">
        <v>41365</v>
      </c>
      <c r="AX246">
        <v>39632</v>
      </c>
      <c r="AY246" t="s">
        <v>22</v>
      </c>
    </row>
    <row r="247" spans="1:51" x14ac:dyDescent="0.25">
      <c r="A247" s="1">
        <v>41275</v>
      </c>
      <c r="B247">
        <v>42899</v>
      </c>
      <c r="C247" t="s">
        <v>2</v>
      </c>
      <c r="U247" s="1">
        <v>41153</v>
      </c>
      <c r="V247">
        <v>11344</v>
      </c>
      <c r="W247" t="s">
        <v>14</v>
      </c>
      <c r="AI247" s="1">
        <v>41365</v>
      </c>
      <c r="AJ247">
        <v>40421</v>
      </c>
      <c r="AK247" t="s">
        <v>24</v>
      </c>
      <c r="AW247" s="1">
        <v>41365</v>
      </c>
      <c r="AX247">
        <v>64077</v>
      </c>
      <c r="AY247" t="s">
        <v>25</v>
      </c>
    </row>
    <row r="248" spans="1:51" x14ac:dyDescent="0.25">
      <c r="A248" s="1">
        <v>41306</v>
      </c>
      <c r="B248">
        <v>38300</v>
      </c>
      <c r="C248" t="s">
        <v>4</v>
      </c>
      <c r="U248" s="1">
        <v>41183</v>
      </c>
      <c r="V248">
        <v>66015</v>
      </c>
      <c r="W248" t="s">
        <v>15</v>
      </c>
      <c r="AI248" s="1">
        <v>41365</v>
      </c>
      <c r="AJ248">
        <v>29886</v>
      </c>
      <c r="AK248" t="s">
        <v>25</v>
      </c>
      <c r="AW248" s="1">
        <v>41365</v>
      </c>
      <c r="AX248">
        <v>62542</v>
      </c>
      <c r="AY248" t="s">
        <v>24</v>
      </c>
    </row>
    <row r="249" spans="1:51" x14ac:dyDescent="0.25">
      <c r="A249" s="1">
        <v>41306</v>
      </c>
      <c r="B249">
        <v>28858</v>
      </c>
      <c r="C249" t="s">
        <v>5</v>
      </c>
      <c r="U249" s="1">
        <v>41183</v>
      </c>
      <c r="V249">
        <v>34325</v>
      </c>
      <c r="W249" t="s">
        <v>16</v>
      </c>
      <c r="AI249" s="1">
        <v>41395</v>
      </c>
      <c r="AJ249">
        <v>47960</v>
      </c>
      <c r="AK249" t="s">
        <v>22</v>
      </c>
      <c r="AW249" s="1">
        <v>41395</v>
      </c>
      <c r="AX249">
        <v>60513</v>
      </c>
      <c r="AY249" t="s">
        <v>22</v>
      </c>
    </row>
    <row r="250" spans="1:51" x14ac:dyDescent="0.25">
      <c r="A250" s="1">
        <v>41306</v>
      </c>
      <c r="B250">
        <v>41255</v>
      </c>
      <c r="C250" t="s">
        <v>2</v>
      </c>
      <c r="U250" s="1">
        <v>41183</v>
      </c>
      <c r="V250">
        <v>12699</v>
      </c>
      <c r="W250" t="s">
        <v>14</v>
      </c>
      <c r="AI250" s="1">
        <v>41395</v>
      </c>
      <c r="AJ250">
        <v>30711</v>
      </c>
      <c r="AK250" t="s">
        <v>24</v>
      </c>
      <c r="AW250" s="1">
        <v>41395</v>
      </c>
      <c r="AX250">
        <v>66704</v>
      </c>
      <c r="AY250" t="s">
        <v>25</v>
      </c>
    </row>
    <row r="251" spans="1:51" x14ac:dyDescent="0.25">
      <c r="A251" s="1">
        <v>41334</v>
      </c>
      <c r="B251">
        <v>8</v>
      </c>
      <c r="C251" t="s">
        <v>3</v>
      </c>
      <c r="U251" s="1">
        <v>41214</v>
      </c>
      <c r="V251">
        <v>95074</v>
      </c>
      <c r="W251" t="s">
        <v>15</v>
      </c>
      <c r="AI251" s="1">
        <v>41395</v>
      </c>
      <c r="AJ251">
        <v>30220</v>
      </c>
      <c r="AK251" t="s">
        <v>25</v>
      </c>
      <c r="AW251" s="1">
        <v>41395</v>
      </c>
      <c r="AX251">
        <v>70534</v>
      </c>
      <c r="AY251" t="s">
        <v>24</v>
      </c>
    </row>
    <row r="252" spans="1:51" x14ac:dyDescent="0.25">
      <c r="A252" s="1">
        <v>41334</v>
      </c>
      <c r="B252">
        <v>48117</v>
      </c>
      <c r="C252" t="s">
        <v>4</v>
      </c>
      <c r="U252" s="1">
        <v>41214</v>
      </c>
      <c r="V252">
        <v>46278</v>
      </c>
      <c r="W252" t="s">
        <v>16</v>
      </c>
      <c r="AI252" s="1">
        <v>41426</v>
      </c>
      <c r="AJ252">
        <v>48520</v>
      </c>
      <c r="AK252" t="s">
        <v>22</v>
      </c>
      <c r="AW252" s="1">
        <v>41426</v>
      </c>
      <c r="AX252">
        <v>70508</v>
      </c>
      <c r="AY252" t="s">
        <v>22</v>
      </c>
    </row>
    <row r="253" spans="1:51" x14ac:dyDescent="0.25">
      <c r="A253" s="1">
        <v>41334</v>
      </c>
      <c r="B253">
        <v>30621</v>
      </c>
      <c r="C253" t="s">
        <v>5</v>
      </c>
      <c r="U253" s="1">
        <v>41214</v>
      </c>
      <c r="V253">
        <v>21038</v>
      </c>
      <c r="W253" t="s">
        <v>14</v>
      </c>
      <c r="AI253" s="1">
        <v>41426</v>
      </c>
      <c r="AJ253">
        <v>26806</v>
      </c>
      <c r="AK253" t="s">
        <v>24</v>
      </c>
      <c r="AW253" s="1">
        <v>41426</v>
      </c>
      <c r="AX253">
        <v>64185</v>
      </c>
      <c r="AY253" t="s">
        <v>25</v>
      </c>
    </row>
    <row r="254" spans="1:51" x14ac:dyDescent="0.25">
      <c r="A254" s="1">
        <v>41334</v>
      </c>
      <c r="B254">
        <v>48881</v>
      </c>
      <c r="C254" t="s">
        <v>2</v>
      </c>
      <c r="U254" s="1">
        <v>41244</v>
      </c>
      <c r="V254">
        <v>41588</v>
      </c>
      <c r="W254" t="s">
        <v>15</v>
      </c>
      <c r="AI254" s="1">
        <v>41426</v>
      </c>
      <c r="AJ254">
        <v>28244</v>
      </c>
      <c r="AK254" t="s">
        <v>25</v>
      </c>
      <c r="AW254" s="1">
        <v>41426</v>
      </c>
      <c r="AX254">
        <v>65961</v>
      </c>
      <c r="AY254" t="s">
        <v>24</v>
      </c>
    </row>
    <row r="255" spans="1:51" x14ac:dyDescent="0.25">
      <c r="A255" s="1">
        <v>41365</v>
      </c>
      <c r="B255">
        <v>7</v>
      </c>
      <c r="C255" t="s">
        <v>3</v>
      </c>
      <c r="U255" s="1">
        <v>41244</v>
      </c>
      <c r="V255">
        <v>16571</v>
      </c>
      <c r="W255" t="s">
        <v>16</v>
      </c>
      <c r="AI255" s="1">
        <v>41456</v>
      </c>
      <c r="AJ255">
        <v>62247</v>
      </c>
      <c r="AK255" t="s">
        <v>22</v>
      </c>
      <c r="AW255" s="1">
        <v>41456</v>
      </c>
      <c r="AX255">
        <v>80327</v>
      </c>
      <c r="AY255" t="s">
        <v>22</v>
      </c>
    </row>
    <row r="256" spans="1:51" x14ac:dyDescent="0.25">
      <c r="A256" s="1">
        <v>41365</v>
      </c>
      <c r="B256">
        <v>40468</v>
      </c>
      <c r="C256" t="s">
        <v>4</v>
      </c>
      <c r="U256" s="1">
        <v>41244</v>
      </c>
      <c r="V256">
        <v>8801</v>
      </c>
      <c r="W256" t="s">
        <v>14</v>
      </c>
      <c r="AI256" s="1">
        <v>41456</v>
      </c>
      <c r="AJ256">
        <v>32722</v>
      </c>
      <c r="AK256" t="s">
        <v>24</v>
      </c>
      <c r="AW256" s="1">
        <v>41456</v>
      </c>
      <c r="AX256">
        <v>62288</v>
      </c>
      <c r="AY256" t="s">
        <v>25</v>
      </c>
    </row>
    <row r="257" spans="1:51" x14ac:dyDescent="0.25">
      <c r="A257" s="1">
        <v>41365</v>
      </c>
      <c r="B257">
        <v>33414</v>
      </c>
      <c r="C257" t="s">
        <v>5</v>
      </c>
      <c r="U257" s="1">
        <v>41275</v>
      </c>
      <c r="V257">
        <v>73417</v>
      </c>
      <c r="W257" t="s">
        <v>15</v>
      </c>
      <c r="AI257" s="1">
        <v>41456</v>
      </c>
      <c r="AJ257">
        <v>26787</v>
      </c>
      <c r="AK257" t="s">
        <v>25</v>
      </c>
      <c r="AW257" s="1">
        <v>41456</v>
      </c>
      <c r="AX257">
        <v>61838</v>
      </c>
      <c r="AY257" t="s">
        <v>24</v>
      </c>
    </row>
    <row r="258" spans="1:51" x14ac:dyDescent="0.25">
      <c r="A258" s="1">
        <v>41365</v>
      </c>
      <c r="B258">
        <v>53226</v>
      </c>
      <c r="C258" t="s">
        <v>2</v>
      </c>
      <c r="U258" s="1">
        <v>41275</v>
      </c>
      <c r="V258">
        <v>25177</v>
      </c>
      <c r="W258" t="s">
        <v>16</v>
      </c>
      <c r="AI258" s="1">
        <v>41487</v>
      </c>
      <c r="AJ258">
        <v>60521</v>
      </c>
      <c r="AK258" t="s">
        <v>22</v>
      </c>
      <c r="AW258" s="1">
        <v>41487</v>
      </c>
      <c r="AX258">
        <v>86838</v>
      </c>
      <c r="AY258" t="s">
        <v>22</v>
      </c>
    </row>
    <row r="259" spans="1:51" x14ac:dyDescent="0.25">
      <c r="A259" s="1">
        <v>41395</v>
      </c>
      <c r="B259">
        <v>88</v>
      </c>
      <c r="C259" t="s">
        <v>3</v>
      </c>
      <c r="U259" s="1">
        <v>41275</v>
      </c>
      <c r="V259">
        <v>15956</v>
      </c>
      <c r="W259" t="s">
        <v>14</v>
      </c>
      <c r="AI259" s="1">
        <v>41487</v>
      </c>
      <c r="AJ259">
        <v>23013</v>
      </c>
      <c r="AK259" t="s">
        <v>25</v>
      </c>
      <c r="AW259" s="1">
        <v>41487</v>
      </c>
      <c r="AX259">
        <v>57439</v>
      </c>
      <c r="AY259" t="s">
        <v>25</v>
      </c>
    </row>
    <row r="260" spans="1:51" x14ac:dyDescent="0.25">
      <c r="A260" s="1">
        <v>41395</v>
      </c>
      <c r="B260">
        <v>26944</v>
      </c>
      <c r="C260" t="s">
        <v>4</v>
      </c>
      <c r="U260" s="1">
        <v>41306</v>
      </c>
      <c r="V260">
        <v>67911</v>
      </c>
      <c r="W260" t="s">
        <v>15</v>
      </c>
      <c r="AI260" s="1">
        <v>41487</v>
      </c>
      <c r="AJ260">
        <v>27485</v>
      </c>
      <c r="AK260" t="s">
        <v>24</v>
      </c>
      <c r="AW260" s="1">
        <v>41487</v>
      </c>
      <c r="AX260">
        <v>54706</v>
      </c>
      <c r="AY260" t="s">
        <v>24</v>
      </c>
    </row>
    <row r="261" spans="1:51" x14ac:dyDescent="0.25">
      <c r="A261" s="1">
        <v>41395</v>
      </c>
      <c r="B261">
        <v>28554</v>
      </c>
      <c r="C261" t="s">
        <v>5</v>
      </c>
      <c r="U261" s="1">
        <v>41306</v>
      </c>
      <c r="V261">
        <v>25580</v>
      </c>
      <c r="W261" t="s">
        <v>16</v>
      </c>
      <c r="AI261" s="1">
        <v>41518</v>
      </c>
      <c r="AJ261">
        <v>19112</v>
      </c>
      <c r="AK261" t="s">
        <v>24</v>
      </c>
      <c r="AW261" s="1">
        <v>41518</v>
      </c>
      <c r="AX261">
        <v>91301</v>
      </c>
      <c r="AY261" t="s">
        <v>22</v>
      </c>
    </row>
    <row r="262" spans="1:51" x14ac:dyDescent="0.25">
      <c r="A262" s="1">
        <v>41395</v>
      </c>
      <c r="B262">
        <v>49248</v>
      </c>
      <c r="C262" t="s">
        <v>2</v>
      </c>
      <c r="U262" s="1">
        <v>41306</v>
      </c>
      <c r="V262">
        <v>14922</v>
      </c>
      <c r="W262" t="s">
        <v>14</v>
      </c>
      <c r="AI262" s="1">
        <v>41518</v>
      </c>
      <c r="AJ262">
        <v>56082</v>
      </c>
      <c r="AK262" t="s">
        <v>22</v>
      </c>
      <c r="AW262" s="1">
        <v>41518</v>
      </c>
      <c r="AX262">
        <v>49678</v>
      </c>
      <c r="AY262" t="s">
        <v>25</v>
      </c>
    </row>
    <row r="263" spans="1:51" x14ac:dyDescent="0.25">
      <c r="A263" s="1">
        <v>41426</v>
      </c>
      <c r="B263">
        <v>19</v>
      </c>
      <c r="C263" t="s">
        <v>3</v>
      </c>
      <c r="U263" s="1">
        <v>41334</v>
      </c>
      <c r="V263">
        <v>82614</v>
      </c>
      <c r="W263" t="s">
        <v>15</v>
      </c>
      <c r="AI263" s="1">
        <v>41518</v>
      </c>
      <c r="AJ263">
        <v>20541</v>
      </c>
      <c r="AK263" t="s">
        <v>25</v>
      </c>
      <c r="AW263" s="1">
        <v>41518</v>
      </c>
      <c r="AX263">
        <v>43768</v>
      </c>
      <c r="AY263" t="s">
        <v>24</v>
      </c>
    </row>
    <row r="264" spans="1:51" x14ac:dyDescent="0.25">
      <c r="A264" s="1">
        <v>41426</v>
      </c>
      <c r="B264">
        <v>33375</v>
      </c>
      <c r="C264" t="s">
        <v>4</v>
      </c>
      <c r="U264" s="1">
        <v>41334</v>
      </c>
      <c r="V264">
        <v>28914</v>
      </c>
      <c r="W264" t="s">
        <v>16</v>
      </c>
      <c r="AI264" s="1">
        <v>41548</v>
      </c>
      <c r="AJ264">
        <v>11604</v>
      </c>
      <c r="AK264" t="s">
        <v>24</v>
      </c>
      <c r="AW264" s="1">
        <v>41548</v>
      </c>
      <c r="AX264">
        <v>91705</v>
      </c>
      <c r="AY264" t="s">
        <v>22</v>
      </c>
    </row>
    <row r="265" spans="1:51" x14ac:dyDescent="0.25">
      <c r="A265" s="1">
        <v>41426</v>
      </c>
      <c r="B265">
        <v>30201</v>
      </c>
      <c r="C265" t="s">
        <v>5</v>
      </c>
      <c r="U265" s="1">
        <v>41334</v>
      </c>
      <c r="V265">
        <v>16099</v>
      </c>
      <c r="W265" t="s">
        <v>14</v>
      </c>
      <c r="AI265" s="1">
        <v>41548</v>
      </c>
      <c r="AJ265">
        <v>15993</v>
      </c>
      <c r="AK265" t="s">
        <v>25</v>
      </c>
      <c r="AW265" s="1">
        <v>41548</v>
      </c>
      <c r="AX265">
        <v>40554</v>
      </c>
      <c r="AY265" t="s">
        <v>25</v>
      </c>
    </row>
    <row r="266" spans="1:51" x14ac:dyDescent="0.25">
      <c r="A266" s="1">
        <v>41426</v>
      </c>
      <c r="B266">
        <v>62348</v>
      </c>
      <c r="C266" t="s">
        <v>2</v>
      </c>
      <c r="U266" s="1">
        <v>41365</v>
      </c>
      <c r="V266">
        <v>75037</v>
      </c>
      <c r="W266" t="s">
        <v>15</v>
      </c>
      <c r="AI266" s="1">
        <v>41548</v>
      </c>
      <c r="AJ266">
        <v>49157</v>
      </c>
      <c r="AK266" t="s">
        <v>22</v>
      </c>
      <c r="AW266" s="1">
        <v>41548</v>
      </c>
      <c r="AX266">
        <v>30822</v>
      </c>
      <c r="AY266" t="s">
        <v>24</v>
      </c>
    </row>
    <row r="267" spans="1:51" x14ac:dyDescent="0.25">
      <c r="A267" s="1">
        <v>41456</v>
      </c>
      <c r="B267">
        <v>26413</v>
      </c>
      <c r="C267" t="s">
        <v>4</v>
      </c>
      <c r="U267" s="1">
        <v>41365</v>
      </c>
      <c r="V267">
        <v>35275</v>
      </c>
      <c r="W267" t="s">
        <v>16</v>
      </c>
      <c r="AI267" s="1">
        <v>41579</v>
      </c>
      <c r="AJ267">
        <v>12082</v>
      </c>
      <c r="AK267" t="s">
        <v>25</v>
      </c>
      <c r="AW267" s="1">
        <v>41579</v>
      </c>
      <c r="AX267">
        <v>77750</v>
      </c>
      <c r="AY267" t="s">
        <v>22</v>
      </c>
    </row>
    <row r="268" spans="1:51" x14ac:dyDescent="0.25">
      <c r="A268" s="1">
        <v>41456</v>
      </c>
      <c r="B268">
        <v>22463</v>
      </c>
      <c r="C268" t="s">
        <v>5</v>
      </c>
      <c r="U268" s="1">
        <v>41365</v>
      </c>
      <c r="V268">
        <v>16803</v>
      </c>
      <c r="W268" t="s">
        <v>14</v>
      </c>
      <c r="AI268" s="1">
        <v>41579</v>
      </c>
      <c r="AJ268">
        <v>7900</v>
      </c>
      <c r="AK268" t="s">
        <v>24</v>
      </c>
      <c r="AW268" s="1">
        <v>41579</v>
      </c>
      <c r="AX268">
        <v>33744</v>
      </c>
      <c r="AY268" t="s">
        <v>25</v>
      </c>
    </row>
    <row r="269" spans="1:51" x14ac:dyDescent="0.25">
      <c r="A269" s="1">
        <v>41456</v>
      </c>
      <c r="B269">
        <v>52562</v>
      </c>
      <c r="C269" t="s">
        <v>2</v>
      </c>
      <c r="U269" s="1">
        <v>41395</v>
      </c>
      <c r="V269">
        <v>55021</v>
      </c>
      <c r="W269" t="s">
        <v>15</v>
      </c>
      <c r="AI269" s="1">
        <v>41579</v>
      </c>
      <c r="AJ269">
        <v>41646</v>
      </c>
      <c r="AK269" t="s">
        <v>22</v>
      </c>
      <c r="AW269" s="1">
        <v>41579</v>
      </c>
      <c r="AX269">
        <v>21446</v>
      </c>
      <c r="AY269" t="s">
        <v>24</v>
      </c>
    </row>
    <row r="270" spans="1:51" x14ac:dyDescent="0.25">
      <c r="A270" s="1">
        <v>41487</v>
      </c>
      <c r="B270">
        <v>1</v>
      </c>
      <c r="C270" t="s">
        <v>3</v>
      </c>
      <c r="U270" s="1">
        <v>41395</v>
      </c>
      <c r="V270">
        <v>34586</v>
      </c>
      <c r="W270" t="s">
        <v>16</v>
      </c>
      <c r="AI270" s="1">
        <v>41609</v>
      </c>
      <c r="AJ270">
        <v>45669</v>
      </c>
      <c r="AK270" t="s">
        <v>22</v>
      </c>
      <c r="AW270" s="1">
        <v>41609</v>
      </c>
      <c r="AX270">
        <v>71683</v>
      </c>
      <c r="AY270" t="s">
        <v>22</v>
      </c>
    </row>
    <row r="271" spans="1:51" x14ac:dyDescent="0.25">
      <c r="A271" s="1">
        <v>41487</v>
      </c>
      <c r="B271">
        <v>23108</v>
      </c>
      <c r="C271" t="s">
        <v>4</v>
      </c>
      <c r="U271" s="1">
        <v>41395</v>
      </c>
      <c r="V271">
        <v>15227</v>
      </c>
      <c r="W271" t="s">
        <v>14</v>
      </c>
      <c r="AI271" s="1">
        <v>41609</v>
      </c>
      <c r="AJ271">
        <v>10922</v>
      </c>
      <c r="AK271" t="s">
        <v>25</v>
      </c>
      <c r="AW271" s="1">
        <v>41609</v>
      </c>
      <c r="AX271">
        <v>32773</v>
      </c>
      <c r="AY271" t="s">
        <v>25</v>
      </c>
    </row>
    <row r="272" spans="1:51" x14ac:dyDescent="0.25">
      <c r="A272" s="1">
        <v>41487</v>
      </c>
      <c r="B272">
        <v>18785</v>
      </c>
      <c r="C272" t="s">
        <v>5</v>
      </c>
      <c r="U272" s="1">
        <v>41426</v>
      </c>
      <c r="V272">
        <v>66427</v>
      </c>
      <c r="W272" t="s">
        <v>15</v>
      </c>
      <c r="AI272" s="1">
        <v>41609</v>
      </c>
      <c r="AJ272">
        <v>8033</v>
      </c>
      <c r="AK272" t="s">
        <v>24</v>
      </c>
      <c r="AW272" s="1">
        <v>41609</v>
      </c>
      <c r="AX272">
        <v>19444</v>
      </c>
      <c r="AY272" t="s">
        <v>24</v>
      </c>
    </row>
    <row r="273" spans="1:51" x14ac:dyDescent="0.25">
      <c r="A273" s="1">
        <v>41487</v>
      </c>
      <c r="B273">
        <v>62201</v>
      </c>
      <c r="C273" t="s">
        <v>2</v>
      </c>
      <c r="U273" s="1">
        <v>41426</v>
      </c>
      <c r="V273">
        <v>44700</v>
      </c>
      <c r="W273" t="s">
        <v>16</v>
      </c>
      <c r="AI273" s="1">
        <v>41640</v>
      </c>
      <c r="AJ273">
        <v>9751</v>
      </c>
      <c r="AK273" t="s">
        <v>25</v>
      </c>
      <c r="AW273" s="1">
        <v>41640</v>
      </c>
      <c r="AX273">
        <v>55718</v>
      </c>
      <c r="AY273" t="s">
        <v>22</v>
      </c>
    </row>
    <row r="274" spans="1:51" x14ac:dyDescent="0.25">
      <c r="A274" s="1">
        <v>41518</v>
      </c>
      <c r="B274">
        <v>90</v>
      </c>
      <c r="C274" t="s">
        <v>3</v>
      </c>
      <c r="U274" s="1">
        <v>41426</v>
      </c>
      <c r="V274">
        <v>14816</v>
      </c>
      <c r="W274" t="s">
        <v>14</v>
      </c>
      <c r="AI274" s="1">
        <v>41640</v>
      </c>
      <c r="AJ274">
        <v>9674</v>
      </c>
      <c r="AK274" t="s">
        <v>24</v>
      </c>
      <c r="AW274" s="1">
        <v>41640</v>
      </c>
      <c r="AX274">
        <v>28222</v>
      </c>
      <c r="AY274" t="s">
        <v>25</v>
      </c>
    </row>
    <row r="275" spans="1:51" x14ac:dyDescent="0.25">
      <c r="A275" s="1">
        <v>41518</v>
      </c>
      <c r="B275">
        <v>12617</v>
      </c>
      <c r="C275" t="s">
        <v>4</v>
      </c>
      <c r="U275" s="1">
        <v>41456</v>
      </c>
      <c r="V275">
        <v>51039</v>
      </c>
      <c r="W275" t="s">
        <v>15</v>
      </c>
      <c r="AI275" s="1">
        <v>41640</v>
      </c>
      <c r="AJ275">
        <v>45740</v>
      </c>
      <c r="AK275" t="s">
        <v>22</v>
      </c>
      <c r="AW275" s="1">
        <v>41640</v>
      </c>
      <c r="AX275">
        <v>18437</v>
      </c>
      <c r="AY275" t="s">
        <v>24</v>
      </c>
    </row>
    <row r="276" spans="1:51" x14ac:dyDescent="0.25">
      <c r="A276" s="1">
        <v>41518</v>
      </c>
      <c r="B276">
        <v>16394</v>
      </c>
      <c r="C276" t="s">
        <v>5</v>
      </c>
      <c r="U276" s="1">
        <v>41456</v>
      </c>
      <c r="V276">
        <v>39068</v>
      </c>
      <c r="W276" t="s">
        <v>16</v>
      </c>
      <c r="AI276" s="1">
        <v>41671</v>
      </c>
      <c r="AJ276">
        <v>9770</v>
      </c>
      <c r="AK276" t="s">
        <v>24</v>
      </c>
      <c r="AW276" s="1">
        <v>41671</v>
      </c>
      <c r="AX276">
        <v>56034</v>
      </c>
      <c r="AY276" t="s">
        <v>22</v>
      </c>
    </row>
    <row r="277" spans="1:51" x14ac:dyDescent="0.25">
      <c r="A277" s="1">
        <v>41518</v>
      </c>
      <c r="B277">
        <v>44797</v>
      </c>
      <c r="C277" t="s">
        <v>2</v>
      </c>
      <c r="U277" s="1">
        <v>41456</v>
      </c>
      <c r="V277">
        <v>11331</v>
      </c>
      <c r="W277" t="s">
        <v>14</v>
      </c>
      <c r="AI277" s="1">
        <v>41671</v>
      </c>
      <c r="AJ277">
        <v>48083</v>
      </c>
      <c r="AK277" t="s">
        <v>22</v>
      </c>
      <c r="AW277" s="1">
        <v>41671</v>
      </c>
      <c r="AX277">
        <v>26633</v>
      </c>
      <c r="AY277" t="s">
        <v>25</v>
      </c>
    </row>
    <row r="278" spans="1:51" x14ac:dyDescent="0.25">
      <c r="A278" s="1">
        <v>41548</v>
      </c>
      <c r="B278">
        <v>8614</v>
      </c>
      <c r="C278" t="s">
        <v>4</v>
      </c>
      <c r="U278" s="1">
        <v>41487</v>
      </c>
      <c r="V278">
        <v>46731</v>
      </c>
      <c r="W278" t="s">
        <v>15</v>
      </c>
      <c r="AI278" s="1">
        <v>41671</v>
      </c>
      <c r="AJ278">
        <v>9671</v>
      </c>
      <c r="AK278" t="s">
        <v>25</v>
      </c>
      <c r="AW278" s="1">
        <v>41671</v>
      </c>
      <c r="AX278">
        <v>17008</v>
      </c>
      <c r="AY278" t="s">
        <v>24</v>
      </c>
    </row>
    <row r="279" spans="1:51" x14ac:dyDescent="0.25">
      <c r="A279" s="1">
        <v>41548</v>
      </c>
      <c r="B279">
        <v>13595</v>
      </c>
      <c r="C279" t="s">
        <v>5</v>
      </c>
      <c r="U279" s="1">
        <v>41487</v>
      </c>
      <c r="V279">
        <v>47444</v>
      </c>
      <c r="W279" t="s">
        <v>16</v>
      </c>
      <c r="AI279" s="1">
        <v>41699</v>
      </c>
      <c r="AJ279">
        <v>6588</v>
      </c>
      <c r="AK279" t="s">
        <v>24</v>
      </c>
      <c r="AW279" s="1">
        <v>41699</v>
      </c>
      <c r="AX279">
        <v>39691</v>
      </c>
      <c r="AY279" t="s">
        <v>22</v>
      </c>
    </row>
    <row r="280" spans="1:51" x14ac:dyDescent="0.25">
      <c r="A280" s="1">
        <v>41548</v>
      </c>
      <c r="B280">
        <v>41608</v>
      </c>
      <c r="C280" t="s">
        <v>2</v>
      </c>
      <c r="U280" s="1">
        <v>41487</v>
      </c>
      <c r="V280">
        <v>9920</v>
      </c>
      <c r="W280" t="s">
        <v>14</v>
      </c>
      <c r="AI280" s="1">
        <v>41699</v>
      </c>
      <c r="AJ280">
        <v>32180</v>
      </c>
      <c r="AK280" t="s">
        <v>22</v>
      </c>
      <c r="AW280" s="1">
        <v>41699</v>
      </c>
      <c r="AX280">
        <v>22506</v>
      </c>
      <c r="AY280" t="s">
        <v>25</v>
      </c>
    </row>
    <row r="281" spans="1:51" x14ac:dyDescent="0.25">
      <c r="A281" s="1">
        <v>41579</v>
      </c>
      <c r="B281">
        <v>969</v>
      </c>
      <c r="C281" t="s">
        <v>3</v>
      </c>
      <c r="U281" s="1">
        <v>41518</v>
      </c>
      <c r="V281">
        <v>30127</v>
      </c>
      <c r="W281" t="s">
        <v>15</v>
      </c>
      <c r="AI281" s="1">
        <v>41699</v>
      </c>
      <c r="AJ281">
        <v>8095</v>
      </c>
      <c r="AK281" t="s">
        <v>25</v>
      </c>
      <c r="AW281" s="1">
        <v>41699</v>
      </c>
      <c r="AX281">
        <v>13934</v>
      </c>
      <c r="AY281" t="s">
        <v>24</v>
      </c>
    </row>
    <row r="282" spans="1:51" x14ac:dyDescent="0.25">
      <c r="A282" s="1">
        <v>41579</v>
      </c>
      <c r="B282">
        <v>7821</v>
      </c>
      <c r="C282" t="s">
        <v>4</v>
      </c>
      <c r="U282" s="1">
        <v>41518</v>
      </c>
      <c r="V282">
        <v>35267</v>
      </c>
      <c r="W282" t="s">
        <v>16</v>
      </c>
      <c r="AI282" s="1">
        <v>41730</v>
      </c>
      <c r="AJ282">
        <v>3315</v>
      </c>
      <c r="AK282" t="s">
        <v>25</v>
      </c>
      <c r="AW282" s="1">
        <v>41730</v>
      </c>
      <c r="AX282">
        <v>40882</v>
      </c>
      <c r="AY282" t="s">
        <v>22</v>
      </c>
    </row>
    <row r="283" spans="1:51" x14ac:dyDescent="0.25">
      <c r="A283" s="1">
        <v>41579</v>
      </c>
      <c r="B283">
        <v>12144</v>
      </c>
      <c r="C283" t="s">
        <v>5</v>
      </c>
      <c r="U283" s="1">
        <v>41518</v>
      </c>
      <c r="V283">
        <v>8504</v>
      </c>
      <c r="W283" t="s">
        <v>14</v>
      </c>
      <c r="AI283" s="1">
        <v>41730</v>
      </c>
      <c r="AJ283">
        <v>9473</v>
      </c>
      <c r="AK283" t="s">
        <v>24</v>
      </c>
      <c r="AW283" s="1">
        <v>41730</v>
      </c>
      <c r="AX283">
        <v>19121</v>
      </c>
      <c r="AY283" t="s">
        <v>25</v>
      </c>
    </row>
    <row r="284" spans="1:51" x14ac:dyDescent="0.25">
      <c r="A284" s="1">
        <v>41579</v>
      </c>
      <c r="B284">
        <v>50491</v>
      </c>
      <c r="C284" t="s">
        <v>2</v>
      </c>
      <c r="U284" s="1">
        <v>41548</v>
      </c>
      <c r="V284">
        <v>22632</v>
      </c>
      <c r="W284" t="s">
        <v>15</v>
      </c>
      <c r="AI284" s="1">
        <v>41730</v>
      </c>
      <c r="AJ284">
        <v>34462</v>
      </c>
      <c r="AK284" t="s">
        <v>22</v>
      </c>
      <c r="AW284" s="1">
        <v>41730</v>
      </c>
      <c r="AX284">
        <v>12746</v>
      </c>
      <c r="AY284" t="s">
        <v>24</v>
      </c>
    </row>
    <row r="285" spans="1:51" x14ac:dyDescent="0.25">
      <c r="A285" s="1">
        <v>41609</v>
      </c>
      <c r="B285">
        <v>1125</v>
      </c>
      <c r="C285" t="s">
        <v>3</v>
      </c>
      <c r="U285" s="1">
        <v>41548</v>
      </c>
      <c r="V285">
        <v>33777</v>
      </c>
      <c r="W285" t="s">
        <v>16</v>
      </c>
      <c r="AI285" s="1">
        <v>41760</v>
      </c>
      <c r="AJ285">
        <v>3393</v>
      </c>
      <c r="AK285" t="s">
        <v>25</v>
      </c>
      <c r="AW285" s="1">
        <v>41760</v>
      </c>
      <c r="AX285">
        <v>52579</v>
      </c>
      <c r="AY285" t="s">
        <v>22</v>
      </c>
    </row>
    <row r="286" spans="1:51" x14ac:dyDescent="0.25">
      <c r="A286" s="1">
        <v>41609</v>
      </c>
      <c r="B286">
        <v>9232</v>
      </c>
      <c r="C286" t="s">
        <v>4</v>
      </c>
      <c r="U286" s="1">
        <v>41548</v>
      </c>
      <c r="V286">
        <v>7408</v>
      </c>
      <c r="W286" t="s">
        <v>14</v>
      </c>
      <c r="AI286" s="1">
        <v>41760</v>
      </c>
      <c r="AJ286">
        <v>11593</v>
      </c>
      <c r="AK286" t="s">
        <v>24</v>
      </c>
      <c r="AW286" s="1">
        <v>41760</v>
      </c>
      <c r="AX286">
        <v>20629</v>
      </c>
      <c r="AY286" t="s">
        <v>25</v>
      </c>
    </row>
    <row r="287" spans="1:51" x14ac:dyDescent="0.25">
      <c r="A287" s="1">
        <v>41609</v>
      </c>
      <c r="B287">
        <v>8436</v>
      </c>
      <c r="C287" t="s">
        <v>5</v>
      </c>
      <c r="U287" s="1">
        <v>41579</v>
      </c>
      <c r="V287">
        <v>24532</v>
      </c>
      <c r="W287" t="s">
        <v>15</v>
      </c>
      <c r="AI287" s="1">
        <v>41760</v>
      </c>
      <c r="AJ287">
        <v>46337</v>
      </c>
      <c r="AK287" t="s">
        <v>22</v>
      </c>
      <c r="AW287" s="1">
        <v>41760</v>
      </c>
      <c r="AX287">
        <v>14488</v>
      </c>
      <c r="AY287" t="s">
        <v>24</v>
      </c>
    </row>
    <row r="288" spans="1:51" x14ac:dyDescent="0.25">
      <c r="A288" s="1">
        <v>41609</v>
      </c>
      <c r="B288">
        <v>51152</v>
      </c>
      <c r="C288" t="s">
        <v>2</v>
      </c>
      <c r="U288" s="1">
        <v>41579</v>
      </c>
      <c r="V288">
        <v>40694</v>
      </c>
      <c r="W288" t="s">
        <v>16</v>
      </c>
      <c r="AI288" s="1">
        <v>41791</v>
      </c>
      <c r="AJ288">
        <v>11234</v>
      </c>
      <c r="AK288" t="s">
        <v>24</v>
      </c>
      <c r="AW288" s="1">
        <v>41791</v>
      </c>
      <c r="AX288">
        <v>60064</v>
      </c>
      <c r="AY288" t="s">
        <v>22</v>
      </c>
    </row>
    <row r="289" spans="1:51" x14ac:dyDescent="0.25">
      <c r="A289" s="1">
        <v>41640</v>
      </c>
      <c r="B289">
        <v>8940</v>
      </c>
      <c r="C289" t="s">
        <v>4</v>
      </c>
      <c r="U289" s="1">
        <v>41579</v>
      </c>
      <c r="V289">
        <v>6199</v>
      </c>
      <c r="W289" t="s">
        <v>14</v>
      </c>
      <c r="AI289" s="1">
        <v>41791</v>
      </c>
      <c r="AJ289">
        <v>3248</v>
      </c>
      <c r="AK289" t="s">
        <v>25</v>
      </c>
      <c r="AW289" s="1">
        <v>41791</v>
      </c>
      <c r="AX289">
        <v>19641</v>
      </c>
      <c r="AY289" t="s">
        <v>25</v>
      </c>
    </row>
    <row r="290" spans="1:51" x14ac:dyDescent="0.25">
      <c r="A290" s="1">
        <v>41640</v>
      </c>
      <c r="B290">
        <v>10673</v>
      </c>
      <c r="C290" t="s">
        <v>5</v>
      </c>
      <c r="U290" s="1">
        <v>41609</v>
      </c>
      <c r="V290">
        <v>25298</v>
      </c>
      <c r="W290" t="s">
        <v>15</v>
      </c>
      <c r="AI290" s="1">
        <v>41791</v>
      </c>
      <c r="AJ290">
        <v>49505</v>
      </c>
      <c r="AK290" t="s">
        <v>22</v>
      </c>
      <c r="AW290" s="1">
        <v>41791</v>
      </c>
      <c r="AX290">
        <v>14305</v>
      </c>
      <c r="AY290" t="s">
        <v>24</v>
      </c>
    </row>
    <row r="291" spans="1:51" x14ac:dyDescent="0.25">
      <c r="A291" s="1">
        <v>41640</v>
      </c>
      <c r="B291">
        <v>41585</v>
      </c>
      <c r="C291" t="s">
        <v>2</v>
      </c>
      <c r="U291" s="1">
        <v>41609</v>
      </c>
      <c r="V291">
        <v>40788</v>
      </c>
      <c r="W291" t="s">
        <v>16</v>
      </c>
      <c r="AI291" s="1">
        <v>41821</v>
      </c>
      <c r="AJ291">
        <v>2784</v>
      </c>
      <c r="AK291" t="s">
        <v>25</v>
      </c>
      <c r="AW291" s="1">
        <v>41821</v>
      </c>
      <c r="AX291">
        <v>71732</v>
      </c>
      <c r="AY291" t="s">
        <v>22</v>
      </c>
    </row>
    <row r="292" spans="1:51" x14ac:dyDescent="0.25">
      <c r="A292" s="1">
        <v>41671</v>
      </c>
      <c r="B292">
        <v>7816</v>
      </c>
      <c r="C292" t="s">
        <v>4</v>
      </c>
      <c r="U292" s="1">
        <v>41609</v>
      </c>
      <c r="V292">
        <v>3859</v>
      </c>
      <c r="W292" t="s">
        <v>14</v>
      </c>
      <c r="AI292" s="1">
        <v>41821</v>
      </c>
      <c r="AJ292">
        <v>10540</v>
      </c>
      <c r="AK292" t="s">
        <v>24</v>
      </c>
      <c r="AW292" s="1">
        <v>41821</v>
      </c>
      <c r="AX292">
        <v>19650</v>
      </c>
      <c r="AY292" t="s">
        <v>25</v>
      </c>
    </row>
    <row r="293" spans="1:51" x14ac:dyDescent="0.25">
      <c r="A293" s="1">
        <v>41671</v>
      </c>
      <c r="B293">
        <v>9613</v>
      </c>
      <c r="C293" t="s">
        <v>5</v>
      </c>
      <c r="U293" s="1">
        <v>41640</v>
      </c>
      <c r="V293">
        <v>23301</v>
      </c>
      <c r="W293" t="s">
        <v>15</v>
      </c>
      <c r="AI293" s="1">
        <v>41821</v>
      </c>
      <c r="AJ293">
        <v>55296</v>
      </c>
      <c r="AK293" t="s">
        <v>22</v>
      </c>
      <c r="AW293" s="1">
        <v>41821</v>
      </c>
      <c r="AX293">
        <v>15182</v>
      </c>
      <c r="AY293" t="s">
        <v>24</v>
      </c>
    </row>
    <row r="294" spans="1:51" x14ac:dyDescent="0.25">
      <c r="A294" s="1">
        <v>41671</v>
      </c>
      <c r="B294">
        <v>433</v>
      </c>
      <c r="C294" t="s">
        <v>6</v>
      </c>
      <c r="U294" s="1">
        <v>41640</v>
      </c>
      <c r="V294">
        <v>32552</v>
      </c>
      <c r="W294" t="s">
        <v>16</v>
      </c>
      <c r="AI294" s="1">
        <v>41852</v>
      </c>
      <c r="AJ294">
        <v>65987</v>
      </c>
      <c r="AK294" t="s">
        <v>22</v>
      </c>
      <c r="AW294" s="1">
        <v>41852</v>
      </c>
      <c r="AX294">
        <v>78272</v>
      </c>
      <c r="AY294" t="s">
        <v>22</v>
      </c>
    </row>
    <row r="295" spans="1:51" x14ac:dyDescent="0.25">
      <c r="A295" s="1">
        <v>41671</v>
      </c>
      <c r="B295">
        <v>40661</v>
      </c>
      <c r="C295" t="s">
        <v>2</v>
      </c>
      <c r="U295" s="1">
        <v>41640</v>
      </c>
      <c r="V295">
        <v>5345</v>
      </c>
      <c r="W295" t="s">
        <v>14</v>
      </c>
      <c r="AI295" s="1">
        <v>41852</v>
      </c>
      <c r="AJ295">
        <v>2417</v>
      </c>
      <c r="AK295" t="s">
        <v>25</v>
      </c>
      <c r="AW295" s="1">
        <v>41852</v>
      </c>
      <c r="AX295">
        <v>21026</v>
      </c>
      <c r="AY295" t="s">
        <v>25</v>
      </c>
    </row>
    <row r="296" spans="1:51" x14ac:dyDescent="0.25">
      <c r="A296" s="1">
        <v>41699</v>
      </c>
      <c r="B296">
        <v>16</v>
      </c>
      <c r="C296" t="s">
        <v>3</v>
      </c>
      <c r="U296" s="1">
        <v>41671</v>
      </c>
      <c r="V296">
        <v>21236</v>
      </c>
      <c r="W296" t="s">
        <v>15</v>
      </c>
      <c r="AI296" s="1">
        <v>41852</v>
      </c>
      <c r="AJ296">
        <v>13459</v>
      </c>
      <c r="AK296" t="s">
        <v>24</v>
      </c>
      <c r="AW296" s="1">
        <v>41852</v>
      </c>
      <c r="AX296">
        <v>17576</v>
      </c>
      <c r="AY296" t="s">
        <v>24</v>
      </c>
    </row>
    <row r="297" spans="1:51" x14ac:dyDescent="0.25">
      <c r="A297" s="1">
        <v>41699</v>
      </c>
      <c r="B297">
        <v>2610</v>
      </c>
      <c r="C297" t="s">
        <v>4</v>
      </c>
      <c r="U297" s="1">
        <v>41671</v>
      </c>
      <c r="V297">
        <v>32575</v>
      </c>
      <c r="W297" t="s">
        <v>16</v>
      </c>
      <c r="AI297" s="1">
        <v>41883</v>
      </c>
      <c r="AJ297">
        <v>2312</v>
      </c>
      <c r="AK297" t="s">
        <v>25</v>
      </c>
      <c r="AW297" s="1">
        <v>41883</v>
      </c>
      <c r="AX297">
        <v>76943</v>
      </c>
      <c r="AY297" t="s">
        <v>22</v>
      </c>
    </row>
    <row r="298" spans="1:51" x14ac:dyDescent="0.25">
      <c r="A298" s="1">
        <v>41699</v>
      </c>
      <c r="B298">
        <v>2000</v>
      </c>
      <c r="C298" t="s">
        <v>5</v>
      </c>
      <c r="U298" s="1">
        <v>41671</v>
      </c>
      <c r="V298">
        <v>4712</v>
      </c>
      <c r="W298" t="s">
        <v>14</v>
      </c>
      <c r="AI298" s="1">
        <v>41883</v>
      </c>
      <c r="AJ298">
        <v>14181</v>
      </c>
      <c r="AK298" t="s">
        <v>24</v>
      </c>
      <c r="AW298" s="1">
        <v>41883</v>
      </c>
      <c r="AX298">
        <v>22613</v>
      </c>
      <c r="AY298" t="s">
        <v>25</v>
      </c>
    </row>
    <row r="299" spans="1:51" x14ac:dyDescent="0.25">
      <c r="A299" s="1">
        <v>41699</v>
      </c>
      <c r="B299">
        <v>7802</v>
      </c>
      <c r="C299" t="s">
        <v>6</v>
      </c>
      <c r="U299" s="1">
        <v>41699</v>
      </c>
      <c r="V299">
        <v>15910</v>
      </c>
      <c r="W299" t="s">
        <v>15</v>
      </c>
      <c r="AI299" s="1">
        <v>41883</v>
      </c>
      <c r="AJ299">
        <v>67292</v>
      </c>
      <c r="AK299" t="s">
        <v>22</v>
      </c>
      <c r="AW299" s="1">
        <v>41883</v>
      </c>
      <c r="AX299">
        <v>18183</v>
      </c>
      <c r="AY299" t="s">
        <v>24</v>
      </c>
    </row>
    <row r="300" spans="1:51" x14ac:dyDescent="0.25">
      <c r="A300" s="1">
        <v>41699</v>
      </c>
      <c r="B300">
        <v>31931</v>
      </c>
      <c r="C300" t="s">
        <v>2</v>
      </c>
      <c r="U300" s="1">
        <v>41699</v>
      </c>
      <c r="V300">
        <v>25292</v>
      </c>
      <c r="W300" t="s">
        <v>16</v>
      </c>
      <c r="AI300" s="1">
        <v>41913</v>
      </c>
      <c r="AJ300">
        <v>2380</v>
      </c>
      <c r="AK300" t="s">
        <v>25</v>
      </c>
      <c r="AW300" s="1">
        <v>41913</v>
      </c>
      <c r="AX300">
        <v>72571</v>
      </c>
      <c r="AY300" t="s">
        <v>22</v>
      </c>
    </row>
    <row r="301" spans="1:51" x14ac:dyDescent="0.25">
      <c r="A301" s="1">
        <v>41730</v>
      </c>
      <c r="B301">
        <v>488</v>
      </c>
      <c r="C301" t="s">
        <v>4</v>
      </c>
      <c r="U301" s="1">
        <v>41699</v>
      </c>
      <c r="V301">
        <v>3157</v>
      </c>
      <c r="W301" t="s">
        <v>14</v>
      </c>
      <c r="AI301" s="1">
        <v>41913</v>
      </c>
      <c r="AJ301">
        <v>14351</v>
      </c>
      <c r="AK301" t="s">
        <v>24</v>
      </c>
      <c r="AW301" s="1">
        <v>41913</v>
      </c>
      <c r="AX301">
        <v>3822</v>
      </c>
      <c r="AY301" t="s">
        <v>25</v>
      </c>
    </row>
    <row r="302" spans="1:51" x14ac:dyDescent="0.25">
      <c r="A302" s="1">
        <v>41730</v>
      </c>
      <c r="B302">
        <v>203</v>
      </c>
      <c r="C302" t="s">
        <v>5</v>
      </c>
      <c r="U302" s="1">
        <v>41730</v>
      </c>
      <c r="V302">
        <v>18649</v>
      </c>
      <c r="W302" t="s">
        <v>15</v>
      </c>
      <c r="AI302" s="1">
        <v>41913</v>
      </c>
      <c r="AJ302">
        <v>63700</v>
      </c>
      <c r="AK302" t="s">
        <v>22</v>
      </c>
      <c r="AW302" s="1">
        <v>41913</v>
      </c>
      <c r="AX302">
        <v>39009</v>
      </c>
      <c r="AY302" t="s">
        <v>24</v>
      </c>
    </row>
    <row r="303" spans="1:51" x14ac:dyDescent="0.25">
      <c r="A303" s="1">
        <v>41730</v>
      </c>
      <c r="B303">
        <v>13317</v>
      </c>
      <c r="C303" t="s">
        <v>6</v>
      </c>
      <c r="U303" s="1">
        <v>41730</v>
      </c>
      <c r="V303">
        <v>33556</v>
      </c>
      <c r="W303" t="s">
        <v>16</v>
      </c>
      <c r="AI303" s="1">
        <v>41944</v>
      </c>
      <c r="AJ303">
        <v>15344</v>
      </c>
      <c r="AK303" t="s">
        <v>24</v>
      </c>
      <c r="AW303" s="1">
        <v>41944</v>
      </c>
      <c r="AX303">
        <v>67442</v>
      </c>
      <c r="AY303" t="s">
        <v>22</v>
      </c>
    </row>
    <row r="304" spans="1:51" x14ac:dyDescent="0.25">
      <c r="A304" s="1">
        <v>41730</v>
      </c>
      <c r="B304">
        <v>41535</v>
      </c>
      <c r="C304" t="s">
        <v>2</v>
      </c>
      <c r="U304" s="1">
        <v>41730</v>
      </c>
      <c r="V304">
        <v>3338</v>
      </c>
      <c r="W304" t="s">
        <v>14</v>
      </c>
      <c r="AI304" s="1">
        <v>41944</v>
      </c>
      <c r="AJ304">
        <v>2381</v>
      </c>
      <c r="AK304" t="s">
        <v>25</v>
      </c>
      <c r="AW304" s="1">
        <v>41944</v>
      </c>
      <c r="AX304">
        <v>3734</v>
      </c>
      <c r="AY304" t="s">
        <v>25</v>
      </c>
    </row>
    <row r="305" spans="1:51" x14ac:dyDescent="0.25">
      <c r="A305" s="1">
        <v>41760</v>
      </c>
      <c r="B305">
        <v>144</v>
      </c>
      <c r="C305" t="s">
        <v>4</v>
      </c>
      <c r="U305" s="1">
        <v>41760</v>
      </c>
      <c r="V305">
        <v>18072</v>
      </c>
      <c r="W305" t="s">
        <v>15</v>
      </c>
      <c r="AI305" s="1">
        <v>41944</v>
      </c>
      <c r="AJ305">
        <v>59685</v>
      </c>
      <c r="AK305" t="s">
        <v>22</v>
      </c>
      <c r="AW305" s="1">
        <v>41944</v>
      </c>
      <c r="AX305">
        <v>41903</v>
      </c>
      <c r="AY305" t="s">
        <v>24</v>
      </c>
    </row>
    <row r="306" spans="1:51" x14ac:dyDescent="0.25">
      <c r="A306" s="1">
        <v>41760</v>
      </c>
      <c r="B306">
        <v>50</v>
      </c>
      <c r="C306" t="s">
        <v>5</v>
      </c>
      <c r="U306" s="1">
        <v>41760</v>
      </c>
      <c r="V306">
        <v>36971</v>
      </c>
      <c r="W306" t="s">
        <v>16</v>
      </c>
      <c r="AI306" s="1">
        <v>41974</v>
      </c>
      <c r="AJ306">
        <v>2277</v>
      </c>
      <c r="AK306" t="s">
        <v>25</v>
      </c>
      <c r="AW306" s="1">
        <v>41974</v>
      </c>
      <c r="AX306">
        <v>70617</v>
      </c>
      <c r="AY306" t="s">
        <v>22</v>
      </c>
    </row>
    <row r="307" spans="1:51" x14ac:dyDescent="0.25">
      <c r="A307" s="1">
        <v>41760</v>
      </c>
      <c r="B307">
        <v>13013</v>
      </c>
      <c r="C307" t="s">
        <v>6</v>
      </c>
      <c r="U307" s="1">
        <v>41760</v>
      </c>
      <c r="V307">
        <v>2957</v>
      </c>
      <c r="W307" t="s">
        <v>14</v>
      </c>
      <c r="AI307" s="1">
        <v>41974</v>
      </c>
      <c r="AJ307">
        <v>15891</v>
      </c>
      <c r="AK307" t="s">
        <v>24</v>
      </c>
      <c r="AW307" s="1">
        <v>41974</v>
      </c>
      <c r="AX307">
        <v>3478</v>
      </c>
      <c r="AY307" t="s">
        <v>25</v>
      </c>
    </row>
    <row r="308" spans="1:51" x14ac:dyDescent="0.25">
      <c r="A308" s="1">
        <v>41760</v>
      </c>
      <c r="B308">
        <v>44793</v>
      </c>
      <c r="C308" t="s">
        <v>2</v>
      </c>
      <c r="U308" s="1">
        <v>41791</v>
      </c>
      <c r="V308">
        <v>19550</v>
      </c>
      <c r="W308" t="s">
        <v>15</v>
      </c>
      <c r="AI308" s="1">
        <v>41974</v>
      </c>
      <c r="AJ308">
        <v>54341</v>
      </c>
      <c r="AK308" t="s">
        <v>22</v>
      </c>
      <c r="AW308" s="1">
        <v>41974</v>
      </c>
      <c r="AX308">
        <v>43011</v>
      </c>
      <c r="AY308" t="s">
        <v>24</v>
      </c>
    </row>
    <row r="309" spans="1:51" x14ac:dyDescent="0.25">
      <c r="A309" s="1">
        <v>41791</v>
      </c>
      <c r="B309">
        <v>15</v>
      </c>
      <c r="C309" t="s">
        <v>4</v>
      </c>
      <c r="U309" s="1">
        <v>41791</v>
      </c>
      <c r="V309">
        <v>44546</v>
      </c>
      <c r="W309" t="s">
        <v>16</v>
      </c>
      <c r="AI309" s="1">
        <v>42005</v>
      </c>
      <c r="AJ309">
        <v>47249</v>
      </c>
      <c r="AK309" t="s">
        <v>22</v>
      </c>
      <c r="AW309" s="1">
        <v>42005</v>
      </c>
      <c r="AX309">
        <v>57379</v>
      </c>
      <c r="AY309" t="s">
        <v>22</v>
      </c>
    </row>
    <row r="310" spans="1:51" x14ac:dyDescent="0.25">
      <c r="A310" s="1">
        <v>41791</v>
      </c>
      <c r="B310">
        <v>13</v>
      </c>
      <c r="C310" t="s">
        <v>5</v>
      </c>
      <c r="U310" s="1">
        <v>41791</v>
      </c>
      <c r="V310">
        <v>3084</v>
      </c>
      <c r="W310" t="s">
        <v>14</v>
      </c>
      <c r="AI310" s="1">
        <v>42005</v>
      </c>
      <c r="AJ310">
        <v>1975</v>
      </c>
      <c r="AK310" t="s">
        <v>25</v>
      </c>
      <c r="AW310" s="1">
        <v>42005</v>
      </c>
      <c r="AX310">
        <v>2955</v>
      </c>
      <c r="AY310" t="s">
        <v>25</v>
      </c>
    </row>
    <row r="311" spans="1:51" x14ac:dyDescent="0.25">
      <c r="A311" s="1">
        <v>41791</v>
      </c>
      <c r="B311">
        <v>14294</v>
      </c>
      <c r="C311" t="s">
        <v>6</v>
      </c>
      <c r="U311" s="1">
        <v>41821</v>
      </c>
      <c r="V311">
        <v>19246</v>
      </c>
      <c r="W311" t="s">
        <v>15</v>
      </c>
      <c r="AI311" s="1">
        <v>42005</v>
      </c>
      <c r="AJ311">
        <v>19500</v>
      </c>
      <c r="AK311" t="s">
        <v>24</v>
      </c>
      <c r="AW311" s="1">
        <v>42005</v>
      </c>
      <c r="AX311">
        <v>46727</v>
      </c>
      <c r="AY311" t="s">
        <v>24</v>
      </c>
    </row>
    <row r="312" spans="1:51" x14ac:dyDescent="0.25">
      <c r="A312" s="1">
        <v>41791</v>
      </c>
      <c r="B312">
        <v>52858</v>
      </c>
      <c r="C312" t="s">
        <v>2</v>
      </c>
      <c r="U312" s="1">
        <v>41821</v>
      </c>
      <c r="V312">
        <v>47158</v>
      </c>
      <c r="W312" t="s">
        <v>16</v>
      </c>
      <c r="AI312" s="1">
        <v>42036</v>
      </c>
      <c r="AJ312">
        <v>2128</v>
      </c>
      <c r="AK312" t="s">
        <v>25</v>
      </c>
      <c r="AW312" s="1">
        <v>42036</v>
      </c>
      <c r="AX312">
        <v>65620</v>
      </c>
      <c r="AY312" t="s">
        <v>22</v>
      </c>
    </row>
    <row r="313" spans="1:51" x14ac:dyDescent="0.25">
      <c r="A313" s="1">
        <v>41821</v>
      </c>
      <c r="B313">
        <v>20</v>
      </c>
      <c r="C313" t="s">
        <v>4</v>
      </c>
      <c r="U313" s="1">
        <v>41821</v>
      </c>
      <c r="V313">
        <v>2342</v>
      </c>
      <c r="W313" t="s">
        <v>14</v>
      </c>
      <c r="AI313" s="1">
        <v>42036</v>
      </c>
      <c r="AJ313">
        <v>18810</v>
      </c>
      <c r="AK313" t="s">
        <v>24</v>
      </c>
      <c r="AW313" s="1">
        <v>42036</v>
      </c>
      <c r="AX313">
        <v>3183</v>
      </c>
      <c r="AY313" t="s">
        <v>25</v>
      </c>
    </row>
    <row r="314" spans="1:51" x14ac:dyDescent="0.25">
      <c r="A314" s="1">
        <v>41821</v>
      </c>
      <c r="B314">
        <v>10</v>
      </c>
      <c r="C314" t="s">
        <v>5</v>
      </c>
      <c r="U314" s="1">
        <v>41852</v>
      </c>
      <c r="V314">
        <v>34153</v>
      </c>
      <c r="W314" t="s">
        <v>15</v>
      </c>
      <c r="AI314" s="1">
        <v>42036</v>
      </c>
      <c r="AJ314">
        <v>50077</v>
      </c>
      <c r="AK314" t="s">
        <v>22</v>
      </c>
      <c r="AW314" s="1">
        <v>42036</v>
      </c>
      <c r="AX314">
        <v>54114</v>
      </c>
      <c r="AY314" t="s">
        <v>24</v>
      </c>
    </row>
    <row r="315" spans="1:51" x14ac:dyDescent="0.25">
      <c r="A315" s="1">
        <v>41821</v>
      </c>
      <c r="B315">
        <v>13253</v>
      </c>
      <c r="C315" t="s">
        <v>6</v>
      </c>
      <c r="U315" s="1">
        <v>41852</v>
      </c>
      <c r="V315">
        <v>58661</v>
      </c>
      <c r="W315" t="s">
        <v>16</v>
      </c>
      <c r="AI315" s="1">
        <v>42064</v>
      </c>
      <c r="AJ315">
        <v>22277</v>
      </c>
      <c r="AK315" t="s">
        <v>24</v>
      </c>
      <c r="AW315" s="1">
        <v>42064</v>
      </c>
      <c r="AX315">
        <v>50538</v>
      </c>
      <c r="AY315" t="s">
        <v>24</v>
      </c>
    </row>
    <row r="316" spans="1:51" x14ac:dyDescent="0.25">
      <c r="A316" s="1">
        <v>41821</v>
      </c>
      <c r="B316">
        <v>55463</v>
      </c>
      <c r="C316" t="s">
        <v>2</v>
      </c>
      <c r="U316" s="1">
        <v>41852</v>
      </c>
      <c r="V316">
        <v>2219</v>
      </c>
      <c r="W316" t="s">
        <v>14</v>
      </c>
      <c r="AI316" s="1">
        <v>42064</v>
      </c>
      <c r="AJ316">
        <v>1852</v>
      </c>
      <c r="AK316" t="s">
        <v>25</v>
      </c>
      <c r="AW316" s="1">
        <v>42064</v>
      </c>
      <c r="AX316">
        <v>45536</v>
      </c>
      <c r="AY316" t="s">
        <v>22</v>
      </c>
    </row>
    <row r="317" spans="1:51" x14ac:dyDescent="0.25">
      <c r="A317" s="1">
        <v>41852</v>
      </c>
      <c r="B317">
        <v>4942</v>
      </c>
      <c r="C317" t="s">
        <v>4</v>
      </c>
      <c r="U317" s="1">
        <v>41883</v>
      </c>
      <c r="V317">
        <v>27138</v>
      </c>
      <c r="W317" t="s">
        <v>15</v>
      </c>
      <c r="AI317" s="1">
        <v>42064</v>
      </c>
      <c r="AJ317">
        <v>39430</v>
      </c>
      <c r="AK317" t="s">
        <v>22</v>
      </c>
      <c r="AW317" s="1">
        <v>42064</v>
      </c>
      <c r="AX317">
        <v>2758</v>
      </c>
      <c r="AY317" t="s">
        <v>25</v>
      </c>
    </row>
    <row r="318" spans="1:51" x14ac:dyDescent="0.25">
      <c r="A318" s="1">
        <v>41852</v>
      </c>
      <c r="B318">
        <v>25</v>
      </c>
      <c r="C318" t="s">
        <v>5</v>
      </c>
      <c r="U318" s="1">
        <v>41883</v>
      </c>
      <c r="V318">
        <v>53474</v>
      </c>
      <c r="W318" t="s">
        <v>16</v>
      </c>
      <c r="AI318" s="1">
        <v>42095</v>
      </c>
      <c r="AJ318">
        <v>1910</v>
      </c>
      <c r="AK318" t="s">
        <v>25</v>
      </c>
      <c r="AW318" s="1">
        <v>42095</v>
      </c>
      <c r="AX318">
        <v>47059</v>
      </c>
      <c r="AY318" t="s">
        <v>22</v>
      </c>
    </row>
    <row r="319" spans="1:51" x14ac:dyDescent="0.25">
      <c r="A319" s="1">
        <v>41852</v>
      </c>
      <c r="B319">
        <v>15355</v>
      </c>
      <c r="C319" t="s">
        <v>6</v>
      </c>
      <c r="U319" s="1">
        <v>41883</v>
      </c>
      <c r="V319">
        <v>2631</v>
      </c>
      <c r="W319" t="s">
        <v>14</v>
      </c>
      <c r="AI319" s="1">
        <v>42095</v>
      </c>
      <c r="AJ319">
        <v>33106</v>
      </c>
      <c r="AK319" t="s">
        <v>24</v>
      </c>
      <c r="AW319" s="1">
        <v>42095</v>
      </c>
      <c r="AX319">
        <v>2890</v>
      </c>
      <c r="AY319" t="s">
        <v>25</v>
      </c>
    </row>
    <row r="320" spans="1:51" x14ac:dyDescent="0.25">
      <c r="A320" s="1">
        <v>41852</v>
      </c>
      <c r="B320">
        <v>74711</v>
      </c>
      <c r="C320" t="s">
        <v>2</v>
      </c>
      <c r="U320" s="1">
        <v>41913</v>
      </c>
      <c r="V320">
        <v>28527</v>
      </c>
      <c r="W320" t="s">
        <v>15</v>
      </c>
      <c r="AI320" s="1">
        <v>42095</v>
      </c>
      <c r="AJ320">
        <v>45765</v>
      </c>
      <c r="AK320" t="s">
        <v>22</v>
      </c>
      <c r="AW320" s="1">
        <v>42095</v>
      </c>
      <c r="AX320">
        <v>70674</v>
      </c>
      <c r="AY320" t="s">
        <v>24</v>
      </c>
    </row>
    <row r="321" spans="1:51" x14ac:dyDescent="0.25">
      <c r="A321" s="1">
        <v>41883</v>
      </c>
      <c r="B321">
        <v>1</v>
      </c>
      <c r="C321" t="s">
        <v>3</v>
      </c>
      <c r="U321" s="1">
        <v>41913</v>
      </c>
      <c r="V321">
        <v>52441</v>
      </c>
      <c r="W321" t="s">
        <v>16</v>
      </c>
      <c r="AI321" s="1">
        <v>42125</v>
      </c>
      <c r="AJ321">
        <v>63287</v>
      </c>
      <c r="AK321" t="s">
        <v>22</v>
      </c>
      <c r="AW321" s="1">
        <v>42125</v>
      </c>
      <c r="AX321">
        <v>64171</v>
      </c>
      <c r="AY321" t="s">
        <v>22</v>
      </c>
    </row>
    <row r="322" spans="1:51" x14ac:dyDescent="0.25">
      <c r="A322" s="1">
        <v>41883</v>
      </c>
      <c r="B322">
        <v>1198</v>
      </c>
      <c r="C322" t="s">
        <v>4</v>
      </c>
      <c r="U322" s="1">
        <v>41913</v>
      </c>
      <c r="V322">
        <v>2568</v>
      </c>
      <c r="W322" t="s">
        <v>14</v>
      </c>
      <c r="AI322" s="1">
        <v>42125</v>
      </c>
      <c r="AJ322">
        <v>2169</v>
      </c>
      <c r="AK322" t="s">
        <v>25</v>
      </c>
      <c r="AW322" s="1">
        <v>42125</v>
      </c>
      <c r="AX322">
        <v>3285</v>
      </c>
      <c r="AY322" t="s">
        <v>25</v>
      </c>
    </row>
    <row r="323" spans="1:51" x14ac:dyDescent="0.25">
      <c r="A323" s="1">
        <v>41883</v>
      </c>
      <c r="B323">
        <v>11</v>
      </c>
      <c r="C323" t="s">
        <v>5</v>
      </c>
      <c r="U323" s="1">
        <v>41944</v>
      </c>
      <c r="V323">
        <v>27618</v>
      </c>
      <c r="W323" t="s">
        <v>15</v>
      </c>
      <c r="AI323" s="1">
        <v>42125</v>
      </c>
      <c r="AJ323">
        <v>37447</v>
      </c>
      <c r="AK323" t="s">
        <v>24</v>
      </c>
      <c r="AW323" s="1">
        <v>42125</v>
      </c>
      <c r="AX323">
        <v>78177</v>
      </c>
      <c r="AY323" t="s">
        <v>24</v>
      </c>
    </row>
    <row r="324" spans="1:51" x14ac:dyDescent="0.25">
      <c r="A324" s="1">
        <v>41883</v>
      </c>
      <c r="B324">
        <v>16781</v>
      </c>
      <c r="C324" t="s">
        <v>6</v>
      </c>
      <c r="U324" s="1">
        <v>41944</v>
      </c>
      <c r="V324">
        <v>48167</v>
      </c>
      <c r="W324" t="s">
        <v>16</v>
      </c>
      <c r="AI324" s="1">
        <v>42156</v>
      </c>
      <c r="AJ324">
        <v>2004</v>
      </c>
      <c r="AK324" t="s">
        <v>25</v>
      </c>
      <c r="AW324" s="1">
        <v>42156</v>
      </c>
      <c r="AX324">
        <v>67676</v>
      </c>
      <c r="AY324" t="s">
        <v>22</v>
      </c>
    </row>
    <row r="325" spans="1:51" x14ac:dyDescent="0.25">
      <c r="A325" s="1">
        <v>41883</v>
      </c>
      <c r="B325">
        <v>65252</v>
      </c>
      <c r="C325" t="s">
        <v>2</v>
      </c>
      <c r="U325" s="1">
        <v>41944</v>
      </c>
      <c r="V325">
        <v>2198</v>
      </c>
      <c r="W325" t="s">
        <v>14</v>
      </c>
      <c r="AI325" s="1">
        <v>42156</v>
      </c>
      <c r="AJ325">
        <v>28536</v>
      </c>
      <c r="AK325" t="s">
        <v>24</v>
      </c>
      <c r="AW325" s="1">
        <v>42156</v>
      </c>
      <c r="AX325">
        <v>2905</v>
      </c>
      <c r="AY325" t="s">
        <v>25</v>
      </c>
    </row>
    <row r="326" spans="1:51" x14ac:dyDescent="0.25">
      <c r="A326" s="1">
        <v>41913</v>
      </c>
      <c r="B326">
        <v>302</v>
      </c>
      <c r="C326" t="s">
        <v>4</v>
      </c>
      <c r="U326" s="1">
        <v>41974</v>
      </c>
      <c r="V326">
        <v>29951</v>
      </c>
      <c r="W326" t="s">
        <v>15</v>
      </c>
      <c r="AI326" s="1">
        <v>42156</v>
      </c>
      <c r="AJ326">
        <v>66830</v>
      </c>
      <c r="AK326" t="s">
        <v>22</v>
      </c>
      <c r="AW326" s="1">
        <v>42156</v>
      </c>
      <c r="AX326">
        <v>60562</v>
      </c>
      <c r="AY326" t="s">
        <v>24</v>
      </c>
    </row>
    <row r="327" spans="1:51" x14ac:dyDescent="0.25">
      <c r="A327" s="1">
        <v>41913</v>
      </c>
      <c r="B327">
        <v>33</v>
      </c>
      <c r="C327" t="s">
        <v>5</v>
      </c>
      <c r="U327" s="1">
        <v>41974</v>
      </c>
      <c r="V327">
        <v>37180</v>
      </c>
      <c r="W327" t="s">
        <v>16</v>
      </c>
      <c r="AI327" s="1">
        <v>42186</v>
      </c>
      <c r="AJ327">
        <v>1721</v>
      </c>
      <c r="AK327" t="s">
        <v>25</v>
      </c>
      <c r="AW327" s="1">
        <v>42186</v>
      </c>
      <c r="AX327">
        <v>78212</v>
      </c>
      <c r="AY327" t="s">
        <v>22</v>
      </c>
    </row>
    <row r="328" spans="1:51" x14ac:dyDescent="0.25">
      <c r="A328" s="1">
        <v>41913</v>
      </c>
      <c r="B328">
        <v>18205</v>
      </c>
      <c r="C328" t="s">
        <v>6</v>
      </c>
      <c r="U328" s="1">
        <v>41974</v>
      </c>
      <c r="V328">
        <v>2266</v>
      </c>
      <c r="W328" t="s">
        <v>14</v>
      </c>
      <c r="AI328" s="1">
        <v>42186</v>
      </c>
      <c r="AJ328">
        <v>24520</v>
      </c>
      <c r="AK328" t="s">
        <v>24</v>
      </c>
      <c r="AW328" s="1">
        <v>42186</v>
      </c>
      <c r="AX328">
        <v>2527</v>
      </c>
      <c r="AY328" t="s">
        <v>25</v>
      </c>
    </row>
    <row r="329" spans="1:51" x14ac:dyDescent="0.25">
      <c r="A329" s="1">
        <v>41913</v>
      </c>
      <c r="B329">
        <v>64996</v>
      </c>
      <c r="C329" t="s">
        <v>2</v>
      </c>
      <c r="U329" s="1">
        <v>42005</v>
      </c>
      <c r="V329">
        <v>30559</v>
      </c>
      <c r="W329" t="s">
        <v>15</v>
      </c>
      <c r="AI329" s="1">
        <v>42186</v>
      </c>
      <c r="AJ329">
        <v>70152</v>
      </c>
      <c r="AK329" t="s">
        <v>22</v>
      </c>
      <c r="AW329" s="1">
        <v>42186</v>
      </c>
      <c r="AX329">
        <v>56416</v>
      </c>
      <c r="AY329" t="s">
        <v>24</v>
      </c>
    </row>
    <row r="330" spans="1:51" x14ac:dyDescent="0.25">
      <c r="A330" s="1">
        <v>41944</v>
      </c>
      <c r="B330">
        <v>3</v>
      </c>
      <c r="C330" t="s">
        <v>3</v>
      </c>
      <c r="U330" s="1">
        <v>42005</v>
      </c>
      <c r="V330">
        <v>37274</v>
      </c>
      <c r="W330" t="s">
        <v>16</v>
      </c>
      <c r="AI330" s="1">
        <v>42217</v>
      </c>
      <c r="AJ330">
        <v>1641</v>
      </c>
      <c r="AK330" t="s">
        <v>25</v>
      </c>
      <c r="AW330" s="1">
        <v>42217</v>
      </c>
      <c r="AX330">
        <v>93543</v>
      </c>
      <c r="AY330" t="s">
        <v>22</v>
      </c>
    </row>
    <row r="331" spans="1:51" x14ac:dyDescent="0.25">
      <c r="A331" s="1">
        <v>41944</v>
      </c>
      <c r="B331">
        <v>67</v>
      </c>
      <c r="C331" t="s">
        <v>4</v>
      </c>
      <c r="U331" s="1">
        <v>42005</v>
      </c>
      <c r="V331">
        <v>1926</v>
      </c>
      <c r="W331" t="s">
        <v>14</v>
      </c>
      <c r="AI331" s="1">
        <v>42217</v>
      </c>
      <c r="AJ331">
        <v>19762</v>
      </c>
      <c r="AK331" t="s">
        <v>24</v>
      </c>
      <c r="AW331" s="1">
        <v>42217</v>
      </c>
      <c r="AX331">
        <v>2529</v>
      </c>
      <c r="AY331" t="s">
        <v>25</v>
      </c>
    </row>
    <row r="332" spans="1:51" x14ac:dyDescent="0.25">
      <c r="A332" s="1">
        <v>41944</v>
      </c>
      <c r="B332">
        <v>15</v>
      </c>
      <c r="C332" t="s">
        <v>5</v>
      </c>
      <c r="U332" s="1">
        <v>42036</v>
      </c>
      <c r="V332">
        <v>53289</v>
      </c>
      <c r="W332" t="s">
        <v>15</v>
      </c>
      <c r="AI332" s="1">
        <v>42217</v>
      </c>
      <c r="AJ332">
        <v>73089</v>
      </c>
      <c r="AK332" t="s">
        <v>22</v>
      </c>
      <c r="AW332" s="1">
        <v>42217</v>
      </c>
      <c r="AX332">
        <v>55180</v>
      </c>
      <c r="AY332" t="s">
        <v>24</v>
      </c>
    </row>
    <row r="333" spans="1:51" x14ac:dyDescent="0.25">
      <c r="A333" s="1">
        <v>41944</v>
      </c>
      <c r="B333">
        <v>17771</v>
      </c>
      <c r="C333" t="s">
        <v>6</v>
      </c>
      <c r="U333" s="1">
        <v>42036</v>
      </c>
      <c r="V333">
        <v>41840</v>
      </c>
      <c r="W333" t="s">
        <v>16</v>
      </c>
      <c r="AI333" s="1">
        <v>42248</v>
      </c>
      <c r="AJ333">
        <v>1471</v>
      </c>
      <c r="AK333" t="s">
        <v>25</v>
      </c>
      <c r="AW333" s="1">
        <v>42248</v>
      </c>
      <c r="AX333">
        <v>87144</v>
      </c>
      <c r="AY333" t="s">
        <v>22</v>
      </c>
    </row>
    <row r="334" spans="1:51" x14ac:dyDescent="0.25">
      <c r="A334" s="1">
        <v>41944</v>
      </c>
      <c r="B334">
        <v>60127</v>
      </c>
      <c r="C334" t="s">
        <v>2</v>
      </c>
      <c r="U334" s="1">
        <v>42036</v>
      </c>
      <c r="V334">
        <v>2211</v>
      </c>
      <c r="W334" t="s">
        <v>14</v>
      </c>
      <c r="AI334" s="1">
        <v>42248</v>
      </c>
      <c r="AJ334">
        <v>15711</v>
      </c>
      <c r="AK334" t="s">
        <v>24</v>
      </c>
      <c r="AW334" s="1">
        <v>42248</v>
      </c>
      <c r="AX334">
        <v>2316</v>
      </c>
      <c r="AY334" t="s">
        <v>25</v>
      </c>
    </row>
    <row r="335" spans="1:51" x14ac:dyDescent="0.25">
      <c r="A335" s="1">
        <v>41974</v>
      </c>
      <c r="B335">
        <v>1</v>
      </c>
      <c r="C335" t="s">
        <v>3</v>
      </c>
      <c r="U335" s="1">
        <v>42064</v>
      </c>
      <c r="V335">
        <v>43003</v>
      </c>
      <c r="W335" t="s">
        <v>15</v>
      </c>
      <c r="AI335" s="1">
        <v>42248</v>
      </c>
      <c r="AJ335">
        <v>71662</v>
      </c>
      <c r="AK335" t="s">
        <v>22</v>
      </c>
      <c r="AW335" s="1">
        <v>42248</v>
      </c>
      <c r="AX335">
        <v>47513</v>
      </c>
      <c r="AY335" t="s">
        <v>24</v>
      </c>
    </row>
    <row r="336" spans="1:51" x14ac:dyDescent="0.25">
      <c r="A336" s="1">
        <v>41974</v>
      </c>
      <c r="B336">
        <v>18</v>
      </c>
      <c r="C336" t="s">
        <v>4</v>
      </c>
      <c r="U336" s="1">
        <v>42064</v>
      </c>
      <c r="V336">
        <v>29926</v>
      </c>
      <c r="W336" t="s">
        <v>16</v>
      </c>
      <c r="AI336" s="1">
        <v>42278</v>
      </c>
      <c r="AJ336">
        <v>69102</v>
      </c>
      <c r="AK336" t="s">
        <v>22</v>
      </c>
      <c r="AW336" s="1">
        <v>42278</v>
      </c>
      <c r="AX336">
        <v>78995</v>
      </c>
      <c r="AY336" t="s">
        <v>22</v>
      </c>
    </row>
    <row r="337" spans="1:51" x14ac:dyDescent="0.25">
      <c r="A337" s="1">
        <v>41974</v>
      </c>
      <c r="B337">
        <v>1</v>
      </c>
      <c r="C337" t="s">
        <v>5</v>
      </c>
      <c r="U337" s="1">
        <v>42064</v>
      </c>
      <c r="V337">
        <v>1947</v>
      </c>
      <c r="W337" t="s">
        <v>14</v>
      </c>
      <c r="AI337" s="1">
        <v>42278</v>
      </c>
      <c r="AJ337">
        <v>1498</v>
      </c>
      <c r="AK337" t="s">
        <v>25</v>
      </c>
      <c r="AW337" s="1">
        <v>42278</v>
      </c>
      <c r="AX337">
        <v>2363</v>
      </c>
      <c r="AY337" t="s">
        <v>25</v>
      </c>
    </row>
    <row r="338" spans="1:51" x14ac:dyDescent="0.25">
      <c r="A338" s="1">
        <v>41974</v>
      </c>
      <c r="B338">
        <v>20639</v>
      </c>
      <c r="C338" t="s">
        <v>6</v>
      </c>
      <c r="U338" s="1">
        <v>42095</v>
      </c>
      <c r="V338">
        <v>54294</v>
      </c>
      <c r="W338" t="s">
        <v>15</v>
      </c>
      <c r="AI338" s="1">
        <v>42278</v>
      </c>
      <c r="AJ338">
        <v>15047</v>
      </c>
      <c r="AK338" t="s">
        <v>24</v>
      </c>
      <c r="AW338" s="1">
        <v>42278</v>
      </c>
      <c r="AX338">
        <v>44660</v>
      </c>
      <c r="AY338" t="s">
        <v>24</v>
      </c>
    </row>
    <row r="339" spans="1:51" x14ac:dyDescent="0.25">
      <c r="A339" s="1">
        <v>41974</v>
      </c>
      <c r="B339">
        <v>48738</v>
      </c>
      <c r="C339" t="s">
        <v>2</v>
      </c>
      <c r="U339" s="1">
        <v>42095</v>
      </c>
      <c r="V339">
        <v>40194</v>
      </c>
      <c r="W339" t="s">
        <v>16</v>
      </c>
      <c r="AI339" s="1">
        <v>42309</v>
      </c>
      <c r="AJ339">
        <v>16140</v>
      </c>
      <c r="AK339" t="s">
        <v>24</v>
      </c>
      <c r="AW339" s="1">
        <v>42309</v>
      </c>
      <c r="AX339">
        <v>2226</v>
      </c>
      <c r="AY339" t="s">
        <v>25</v>
      </c>
    </row>
    <row r="340" spans="1:51" x14ac:dyDescent="0.25">
      <c r="A340" s="1">
        <v>42005</v>
      </c>
      <c r="B340">
        <v>1</v>
      </c>
      <c r="C340" t="s">
        <v>3</v>
      </c>
      <c r="U340" s="1">
        <v>42095</v>
      </c>
      <c r="V340">
        <v>2099</v>
      </c>
      <c r="W340" t="s">
        <v>14</v>
      </c>
      <c r="AI340" s="1">
        <v>42309</v>
      </c>
      <c r="AJ340">
        <v>1452</v>
      </c>
      <c r="AK340" t="s">
        <v>25</v>
      </c>
      <c r="AW340" s="1">
        <v>42309</v>
      </c>
      <c r="AX340">
        <v>46143</v>
      </c>
      <c r="AY340" t="s">
        <v>24</v>
      </c>
    </row>
    <row r="341" spans="1:51" x14ac:dyDescent="0.25">
      <c r="A341" s="1">
        <v>42005</v>
      </c>
      <c r="B341">
        <v>67</v>
      </c>
      <c r="C341" t="s">
        <v>4</v>
      </c>
      <c r="U341" s="1">
        <v>42125</v>
      </c>
      <c r="V341">
        <v>49112</v>
      </c>
      <c r="W341" t="s">
        <v>15</v>
      </c>
      <c r="AI341" s="1">
        <v>42309</v>
      </c>
      <c r="AJ341">
        <v>65190</v>
      </c>
      <c r="AK341" t="s">
        <v>22</v>
      </c>
      <c r="AW341" s="1">
        <v>42309</v>
      </c>
      <c r="AX341">
        <v>74401</v>
      </c>
      <c r="AY341" t="s">
        <v>22</v>
      </c>
    </row>
    <row r="342" spans="1:51" x14ac:dyDescent="0.25">
      <c r="A342" s="1">
        <v>42005</v>
      </c>
      <c r="B342">
        <v>17</v>
      </c>
      <c r="C342" t="s">
        <v>5</v>
      </c>
      <c r="U342" s="1">
        <v>42125</v>
      </c>
      <c r="V342">
        <v>45666</v>
      </c>
      <c r="W342" t="s">
        <v>16</v>
      </c>
      <c r="AI342" s="1">
        <v>42339</v>
      </c>
      <c r="AJ342">
        <v>1357</v>
      </c>
      <c r="AK342" t="s">
        <v>25</v>
      </c>
      <c r="AW342" s="1">
        <v>42339</v>
      </c>
      <c r="AX342">
        <v>46372</v>
      </c>
      <c r="AY342" t="s">
        <v>24</v>
      </c>
    </row>
    <row r="343" spans="1:51" x14ac:dyDescent="0.25">
      <c r="A343" s="1">
        <v>42005</v>
      </c>
      <c r="B343">
        <v>20018</v>
      </c>
      <c r="C343" t="s">
        <v>6</v>
      </c>
      <c r="U343" s="1">
        <v>42125</v>
      </c>
      <c r="V343">
        <v>2013</v>
      </c>
      <c r="W343" t="s">
        <v>14</v>
      </c>
      <c r="AI343" s="1">
        <v>42339</v>
      </c>
      <c r="AJ343">
        <v>17122</v>
      </c>
      <c r="AK343" t="s">
        <v>24</v>
      </c>
      <c r="AW343" s="1">
        <v>42339</v>
      </c>
      <c r="AX343">
        <v>2112</v>
      </c>
      <c r="AY343" t="s">
        <v>25</v>
      </c>
    </row>
    <row r="344" spans="1:51" x14ac:dyDescent="0.25">
      <c r="A344" s="1">
        <v>42005</v>
      </c>
      <c r="B344">
        <v>49656</v>
      </c>
      <c r="C344" t="s">
        <v>2</v>
      </c>
      <c r="U344" s="1">
        <v>42156</v>
      </c>
      <c r="V344">
        <v>51430</v>
      </c>
      <c r="W344" t="s">
        <v>15</v>
      </c>
      <c r="AI344" s="1">
        <v>42339</v>
      </c>
      <c r="AJ344">
        <v>61618</v>
      </c>
      <c r="AK344" t="s">
        <v>22</v>
      </c>
      <c r="AW344" s="1">
        <v>42339</v>
      </c>
      <c r="AX344">
        <v>66295</v>
      </c>
      <c r="AY344" t="s">
        <v>22</v>
      </c>
    </row>
    <row r="345" spans="1:51" x14ac:dyDescent="0.25">
      <c r="A345" s="1">
        <v>42036</v>
      </c>
      <c r="B345">
        <v>9</v>
      </c>
      <c r="C345" t="s">
        <v>3</v>
      </c>
      <c r="U345" s="1">
        <v>42156</v>
      </c>
      <c r="V345">
        <v>53369</v>
      </c>
      <c r="W345" t="s">
        <v>16</v>
      </c>
      <c r="AI345" s="1">
        <v>42370</v>
      </c>
      <c r="AJ345">
        <v>43151</v>
      </c>
      <c r="AK345" t="s">
        <v>22</v>
      </c>
      <c r="AW345" s="1">
        <v>42370</v>
      </c>
      <c r="AX345">
        <v>45494</v>
      </c>
      <c r="AY345" t="s">
        <v>22</v>
      </c>
    </row>
    <row r="346" spans="1:51" x14ac:dyDescent="0.25">
      <c r="A346" s="1">
        <v>42036</v>
      </c>
      <c r="B346">
        <v>7528</v>
      </c>
      <c r="C346" t="s">
        <v>4</v>
      </c>
      <c r="U346" s="1">
        <v>42156</v>
      </c>
      <c r="V346">
        <v>1859</v>
      </c>
      <c r="W346" t="s">
        <v>14</v>
      </c>
      <c r="AI346" s="1">
        <v>42370</v>
      </c>
      <c r="AJ346">
        <v>961</v>
      </c>
      <c r="AK346" t="s">
        <v>25</v>
      </c>
      <c r="AW346" s="1">
        <v>42370</v>
      </c>
      <c r="AX346">
        <v>35833</v>
      </c>
      <c r="AY346" t="s">
        <v>24</v>
      </c>
    </row>
    <row r="347" spans="1:51" x14ac:dyDescent="0.25">
      <c r="A347" s="1">
        <v>42036</v>
      </c>
      <c r="B347">
        <v>26</v>
      </c>
      <c r="C347" t="s">
        <v>5</v>
      </c>
      <c r="U347" s="1">
        <v>42186</v>
      </c>
      <c r="V347">
        <v>43435</v>
      </c>
      <c r="W347" t="s">
        <v>15</v>
      </c>
      <c r="AI347" s="1">
        <v>42370</v>
      </c>
      <c r="AJ347">
        <v>13678</v>
      </c>
      <c r="AK347" t="s">
        <v>24</v>
      </c>
      <c r="AW347" s="1">
        <v>42370</v>
      </c>
      <c r="AX347">
        <v>1626</v>
      </c>
      <c r="AY347" t="s">
        <v>25</v>
      </c>
    </row>
    <row r="348" spans="1:51" x14ac:dyDescent="0.25">
      <c r="A348" s="1">
        <v>42036</v>
      </c>
      <c r="B348">
        <v>26307</v>
      </c>
      <c r="C348" t="s">
        <v>6</v>
      </c>
      <c r="U348" s="1">
        <v>42186</v>
      </c>
      <c r="V348">
        <v>58490</v>
      </c>
      <c r="W348" t="s">
        <v>16</v>
      </c>
      <c r="AI348" s="1">
        <v>42401</v>
      </c>
      <c r="AJ348">
        <v>434</v>
      </c>
      <c r="AK348" t="s">
        <v>25</v>
      </c>
      <c r="AW348" s="1">
        <v>42401</v>
      </c>
      <c r="AX348">
        <v>17971</v>
      </c>
      <c r="AY348" t="s">
        <v>24</v>
      </c>
    </row>
    <row r="349" spans="1:51" x14ac:dyDescent="0.25">
      <c r="A349" s="1">
        <v>42036</v>
      </c>
      <c r="B349">
        <v>63470</v>
      </c>
      <c r="C349" t="s">
        <v>2</v>
      </c>
      <c r="U349" s="1">
        <v>42186</v>
      </c>
      <c r="V349">
        <v>1686</v>
      </c>
      <c r="W349" t="s">
        <v>14</v>
      </c>
      <c r="AI349" s="1">
        <v>42401</v>
      </c>
      <c r="AJ349">
        <v>5279</v>
      </c>
      <c r="AK349" t="s">
        <v>24</v>
      </c>
      <c r="AW349" s="1">
        <v>42401</v>
      </c>
      <c r="AX349">
        <v>1089</v>
      </c>
      <c r="AY349" t="s">
        <v>25</v>
      </c>
    </row>
    <row r="350" spans="1:51" x14ac:dyDescent="0.25">
      <c r="A350" s="1">
        <v>42064</v>
      </c>
      <c r="B350">
        <v>3319</v>
      </c>
      <c r="C350" t="s">
        <v>3</v>
      </c>
      <c r="U350" s="1">
        <v>42217</v>
      </c>
      <c r="V350">
        <v>34021</v>
      </c>
      <c r="W350" t="s">
        <v>15</v>
      </c>
      <c r="AI350" s="1">
        <v>42401</v>
      </c>
      <c r="AJ350">
        <v>21694</v>
      </c>
      <c r="AK350" t="s">
        <v>22</v>
      </c>
      <c r="AW350" s="1">
        <v>42401</v>
      </c>
      <c r="AX350">
        <v>23227</v>
      </c>
      <c r="AY350" t="s">
        <v>22</v>
      </c>
    </row>
    <row r="351" spans="1:51" x14ac:dyDescent="0.25">
      <c r="A351" s="1">
        <v>42064</v>
      </c>
      <c r="B351">
        <v>34</v>
      </c>
      <c r="C351" t="s">
        <v>4</v>
      </c>
      <c r="U351" s="1">
        <v>42217</v>
      </c>
      <c r="V351">
        <v>50580</v>
      </c>
      <c r="W351" t="s">
        <v>16</v>
      </c>
      <c r="AI351" s="1">
        <v>42430</v>
      </c>
      <c r="AJ351">
        <v>1</v>
      </c>
      <c r="AK351" t="s">
        <v>25</v>
      </c>
      <c r="AW351" s="1">
        <v>42430</v>
      </c>
      <c r="AX351">
        <v>204</v>
      </c>
      <c r="AY351" t="s">
        <v>24</v>
      </c>
    </row>
    <row r="352" spans="1:51" x14ac:dyDescent="0.25">
      <c r="A352" s="1">
        <v>42064</v>
      </c>
      <c r="B352">
        <v>27603</v>
      </c>
      <c r="C352" t="s">
        <v>6</v>
      </c>
      <c r="U352" s="1">
        <v>42217</v>
      </c>
      <c r="V352">
        <v>1399</v>
      </c>
      <c r="W352" t="s">
        <v>14</v>
      </c>
      <c r="AI352" s="1">
        <v>42430</v>
      </c>
      <c r="AJ352">
        <v>15</v>
      </c>
      <c r="AK352" t="s">
        <v>24</v>
      </c>
      <c r="AW352" s="1">
        <v>42430</v>
      </c>
      <c r="AX352">
        <v>12</v>
      </c>
      <c r="AY352" t="s">
        <v>25</v>
      </c>
    </row>
    <row r="353" spans="1:51" x14ac:dyDescent="0.25">
      <c r="A353" s="1">
        <v>42064</v>
      </c>
      <c r="B353">
        <v>43920</v>
      </c>
      <c r="C353" t="s">
        <v>2</v>
      </c>
      <c r="U353" s="1">
        <v>42248</v>
      </c>
      <c r="V353">
        <v>29633</v>
      </c>
      <c r="W353" t="s">
        <v>15</v>
      </c>
      <c r="AI353" s="1">
        <v>42430</v>
      </c>
      <c r="AJ353">
        <v>26</v>
      </c>
      <c r="AK353" t="s">
        <v>22</v>
      </c>
      <c r="AW353" s="1">
        <v>42430</v>
      </c>
      <c r="AX353">
        <v>67</v>
      </c>
      <c r="AY353" t="s">
        <v>22</v>
      </c>
    </row>
    <row r="354" spans="1:51" x14ac:dyDescent="0.25">
      <c r="A354" s="1">
        <v>42095</v>
      </c>
      <c r="B354">
        <v>1</v>
      </c>
      <c r="C354" t="s">
        <v>4</v>
      </c>
      <c r="U354" s="1">
        <v>42248</v>
      </c>
      <c r="V354">
        <v>62040</v>
      </c>
      <c r="W354" t="s">
        <v>16</v>
      </c>
    </row>
    <row r="355" spans="1:51" x14ac:dyDescent="0.25">
      <c r="A355" s="1">
        <v>42095</v>
      </c>
      <c r="B355">
        <v>1</v>
      </c>
      <c r="C355" t="s">
        <v>5</v>
      </c>
      <c r="U355" s="1">
        <v>42248</v>
      </c>
      <c r="V355">
        <v>1669</v>
      </c>
      <c r="W355" t="s">
        <v>14</v>
      </c>
    </row>
    <row r="356" spans="1:51" x14ac:dyDescent="0.25">
      <c r="A356" s="1">
        <v>42095</v>
      </c>
      <c r="B356">
        <v>38841</v>
      </c>
      <c r="C356" t="s">
        <v>6</v>
      </c>
      <c r="U356" s="1">
        <v>42278</v>
      </c>
      <c r="V356">
        <v>32151</v>
      </c>
      <c r="W356" t="s">
        <v>15</v>
      </c>
    </row>
    <row r="357" spans="1:51" x14ac:dyDescent="0.25">
      <c r="A357" s="1">
        <v>42095</v>
      </c>
      <c r="B357">
        <v>57744</v>
      </c>
      <c r="C357" t="s">
        <v>2</v>
      </c>
      <c r="U357" s="1">
        <v>42278</v>
      </c>
      <c r="V357">
        <v>56968</v>
      </c>
      <c r="W357" t="s">
        <v>16</v>
      </c>
    </row>
    <row r="358" spans="1:51" x14ac:dyDescent="0.25">
      <c r="A358" s="1">
        <v>42125</v>
      </c>
      <c r="B358">
        <v>211</v>
      </c>
      <c r="C358" t="s">
        <v>4</v>
      </c>
      <c r="U358" s="1">
        <v>42278</v>
      </c>
      <c r="V358">
        <v>1726</v>
      </c>
      <c r="W358" t="s">
        <v>14</v>
      </c>
    </row>
    <row r="359" spans="1:51" x14ac:dyDescent="0.25">
      <c r="A359" s="1">
        <v>42125</v>
      </c>
      <c r="B359">
        <v>32819</v>
      </c>
      <c r="C359" t="s">
        <v>6</v>
      </c>
      <c r="U359" s="1">
        <v>42309</v>
      </c>
      <c r="V359">
        <v>1395</v>
      </c>
      <c r="W359" t="s">
        <v>14</v>
      </c>
    </row>
    <row r="360" spans="1:51" x14ac:dyDescent="0.25">
      <c r="A360" s="1">
        <v>42125</v>
      </c>
      <c r="B360">
        <v>63761</v>
      </c>
      <c r="C360" t="s">
        <v>2</v>
      </c>
      <c r="U360" s="1">
        <v>42309</v>
      </c>
      <c r="V360">
        <v>45390</v>
      </c>
      <c r="W360" t="s">
        <v>16</v>
      </c>
    </row>
    <row r="361" spans="1:51" x14ac:dyDescent="0.25">
      <c r="A361" s="1">
        <v>42156</v>
      </c>
      <c r="B361">
        <v>2804</v>
      </c>
      <c r="C361" t="s">
        <v>4</v>
      </c>
      <c r="U361" s="1">
        <v>42309</v>
      </c>
      <c r="V361">
        <v>32016</v>
      </c>
      <c r="W361" t="s">
        <v>15</v>
      </c>
    </row>
    <row r="362" spans="1:51" x14ac:dyDescent="0.25">
      <c r="A362" s="1">
        <v>42156</v>
      </c>
      <c r="B362">
        <v>2</v>
      </c>
      <c r="C362" t="s">
        <v>5</v>
      </c>
      <c r="U362" s="1">
        <v>42339</v>
      </c>
      <c r="V362">
        <v>1188</v>
      </c>
      <c r="W362" t="s">
        <v>14</v>
      </c>
    </row>
    <row r="363" spans="1:51" x14ac:dyDescent="0.25">
      <c r="A363" s="1">
        <v>42156</v>
      </c>
      <c r="B363">
        <v>29652</v>
      </c>
      <c r="C363" t="s">
        <v>6</v>
      </c>
      <c r="U363" s="1">
        <v>42339</v>
      </c>
      <c r="V363">
        <v>41614</v>
      </c>
      <c r="W363" t="s">
        <v>16</v>
      </c>
    </row>
    <row r="364" spans="1:51" x14ac:dyDescent="0.25">
      <c r="A364" s="1">
        <v>42156</v>
      </c>
      <c r="B364">
        <v>74200</v>
      </c>
      <c r="C364" t="s">
        <v>2</v>
      </c>
      <c r="U364" s="1">
        <v>42339</v>
      </c>
      <c r="V364">
        <v>31162</v>
      </c>
      <c r="W364" t="s">
        <v>15</v>
      </c>
    </row>
    <row r="365" spans="1:51" x14ac:dyDescent="0.25">
      <c r="A365" s="1">
        <v>42186</v>
      </c>
      <c r="B365">
        <v>1279</v>
      </c>
      <c r="C365" t="s">
        <v>4</v>
      </c>
      <c r="U365" s="1">
        <v>42370</v>
      </c>
      <c r="V365">
        <v>20137</v>
      </c>
      <c r="W365" t="s">
        <v>15</v>
      </c>
    </row>
    <row r="366" spans="1:51" x14ac:dyDescent="0.25">
      <c r="A366" s="1">
        <v>42186</v>
      </c>
      <c r="B366">
        <v>24711</v>
      </c>
      <c r="C366" t="s">
        <v>6</v>
      </c>
      <c r="U366" s="1">
        <v>42370</v>
      </c>
      <c r="V366">
        <v>722</v>
      </c>
      <c r="W366" t="s">
        <v>14</v>
      </c>
    </row>
    <row r="367" spans="1:51" x14ac:dyDescent="0.25">
      <c r="A367" s="1">
        <v>42186</v>
      </c>
      <c r="B367">
        <v>77621</v>
      </c>
      <c r="C367" t="s">
        <v>2</v>
      </c>
      <c r="U367" s="1">
        <v>42370</v>
      </c>
      <c r="V367">
        <v>28453</v>
      </c>
      <c r="W367" t="s">
        <v>16</v>
      </c>
    </row>
    <row r="368" spans="1:51" x14ac:dyDescent="0.25">
      <c r="A368" s="1">
        <v>42217</v>
      </c>
      <c r="B368">
        <v>17994</v>
      </c>
      <c r="C368" t="s">
        <v>6</v>
      </c>
    </row>
    <row r="369" spans="1:3" x14ac:dyDescent="0.25">
      <c r="A369" s="1">
        <v>42217</v>
      </c>
      <c r="B369">
        <v>68006</v>
      </c>
      <c r="C369" t="s">
        <v>2</v>
      </c>
    </row>
    <row r="370" spans="1:3" x14ac:dyDescent="0.25">
      <c r="A370" s="1">
        <v>42248</v>
      </c>
      <c r="B370">
        <v>11</v>
      </c>
      <c r="C370" t="s">
        <v>4</v>
      </c>
    </row>
    <row r="371" spans="1:3" x14ac:dyDescent="0.25">
      <c r="A371" s="1">
        <v>42248</v>
      </c>
      <c r="B371">
        <v>18141</v>
      </c>
      <c r="C371" t="s">
        <v>6</v>
      </c>
    </row>
    <row r="372" spans="1:3" x14ac:dyDescent="0.25">
      <c r="A372" s="1">
        <v>42248</v>
      </c>
      <c r="B372">
        <v>75190</v>
      </c>
      <c r="C372" t="s">
        <v>2</v>
      </c>
    </row>
    <row r="373" spans="1:3" x14ac:dyDescent="0.25">
      <c r="A373" s="1">
        <v>42278</v>
      </c>
      <c r="B373">
        <v>531</v>
      </c>
      <c r="C373" t="s">
        <v>4</v>
      </c>
    </row>
    <row r="374" spans="1:3" x14ac:dyDescent="0.25">
      <c r="A374" s="1">
        <v>42278</v>
      </c>
      <c r="B374">
        <v>17495</v>
      </c>
      <c r="C374" t="s">
        <v>6</v>
      </c>
    </row>
    <row r="375" spans="1:3" x14ac:dyDescent="0.25">
      <c r="A375" s="1">
        <v>42278</v>
      </c>
      <c r="B375">
        <v>72819</v>
      </c>
      <c r="C375" t="s">
        <v>2</v>
      </c>
    </row>
    <row r="376" spans="1:3" x14ac:dyDescent="0.25">
      <c r="A376" s="1">
        <v>42309</v>
      </c>
      <c r="B376">
        <v>17242</v>
      </c>
      <c r="C376" t="s">
        <v>6</v>
      </c>
    </row>
    <row r="377" spans="1:3" x14ac:dyDescent="0.25">
      <c r="A377" s="1">
        <v>42309</v>
      </c>
      <c r="B377">
        <v>63</v>
      </c>
      <c r="C377" t="s">
        <v>5</v>
      </c>
    </row>
    <row r="378" spans="1:3" x14ac:dyDescent="0.25">
      <c r="A378" s="1">
        <v>42309</v>
      </c>
      <c r="B378">
        <v>116</v>
      </c>
      <c r="C378" t="s">
        <v>3</v>
      </c>
    </row>
    <row r="379" spans="1:3" x14ac:dyDescent="0.25">
      <c r="A379" s="1">
        <v>42309</v>
      </c>
      <c r="B379">
        <v>61380</v>
      </c>
      <c r="C379" t="s">
        <v>2</v>
      </c>
    </row>
    <row r="380" spans="1:3" x14ac:dyDescent="0.25">
      <c r="A380" s="1">
        <v>42339</v>
      </c>
      <c r="B380">
        <v>56308</v>
      </c>
      <c r="C380" t="s">
        <v>2</v>
      </c>
    </row>
    <row r="381" spans="1:3" x14ac:dyDescent="0.25">
      <c r="A381" s="1">
        <v>42339</v>
      </c>
      <c r="B381">
        <v>17651</v>
      </c>
      <c r="C381" t="s">
        <v>6</v>
      </c>
    </row>
    <row r="382" spans="1:3" x14ac:dyDescent="0.25">
      <c r="A382" s="1">
        <v>42339</v>
      </c>
      <c r="B382">
        <v>5</v>
      </c>
      <c r="C382" t="s">
        <v>5</v>
      </c>
    </row>
    <row r="383" spans="1:3" x14ac:dyDescent="0.25">
      <c r="A383" s="1">
        <v>42370</v>
      </c>
      <c r="B383">
        <v>38576</v>
      </c>
      <c r="C383" t="s">
        <v>2</v>
      </c>
    </row>
    <row r="384" spans="1:3" x14ac:dyDescent="0.25">
      <c r="A384" s="1">
        <v>42370</v>
      </c>
      <c r="B384">
        <v>10736</v>
      </c>
      <c r="C384" t="s">
        <v>6</v>
      </c>
    </row>
  </sheetData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37"/>
  <sheetViews>
    <sheetView workbookViewId="0">
      <selection activeCell="BK35" sqref="BK35"/>
    </sheetView>
  </sheetViews>
  <sheetFormatPr defaultRowHeight="15" x14ac:dyDescent="0.25"/>
  <cols>
    <col min="1" max="1" width="9.7109375" style="1" bestFit="1" customWidth="1"/>
    <col min="2" max="2" width="9.140625" customWidth="1"/>
    <col min="23" max="23" width="9.7109375" style="1" bestFit="1" customWidth="1"/>
    <col min="30" max="30" width="10.7109375" style="1" bestFit="1" customWidth="1"/>
    <col min="38" max="38" width="9.7109375" style="1" bestFit="1" customWidth="1"/>
  </cols>
  <sheetData>
    <row r="1" spans="1:43" x14ac:dyDescent="0.25">
      <c r="B1" t="s">
        <v>2</v>
      </c>
      <c r="C1" t="s">
        <v>3</v>
      </c>
      <c r="D1" t="s">
        <v>4</v>
      </c>
      <c r="E1" t="s">
        <v>5</v>
      </c>
      <c r="F1" t="s">
        <v>6</v>
      </c>
      <c r="X1" t="s">
        <v>16</v>
      </c>
      <c r="Y1" t="s">
        <v>15</v>
      </c>
      <c r="Z1" t="s">
        <v>14</v>
      </c>
      <c r="AE1" t="s">
        <v>22</v>
      </c>
      <c r="AF1" t="s">
        <v>23</v>
      </c>
      <c r="AG1" t="s">
        <v>24</v>
      </c>
      <c r="AH1" t="s">
        <v>25</v>
      </c>
      <c r="AK1" t="s">
        <v>35</v>
      </c>
      <c r="AM1" t="s">
        <v>22</v>
      </c>
      <c r="AN1" t="s">
        <v>23</v>
      </c>
      <c r="AO1" t="s">
        <v>24</v>
      </c>
      <c r="AP1" t="s">
        <v>25</v>
      </c>
      <c r="AQ1" t="s">
        <v>8</v>
      </c>
    </row>
    <row r="2" spans="1:43" x14ac:dyDescent="0.25">
      <c r="A2" s="1">
        <v>38687</v>
      </c>
      <c r="B2">
        <v>116679</v>
      </c>
      <c r="C2">
        <v>19057</v>
      </c>
      <c r="W2" s="1">
        <v>38687</v>
      </c>
      <c r="X2">
        <v>69801</v>
      </c>
      <c r="Y2">
        <v>64164</v>
      </c>
      <c r="Z2">
        <v>1771</v>
      </c>
      <c r="AD2" s="1">
        <v>38353</v>
      </c>
      <c r="AE2">
        <v>1751</v>
      </c>
      <c r="AF2">
        <v>226</v>
      </c>
      <c r="AL2" s="1">
        <v>38353</v>
      </c>
      <c r="AM2">
        <v>18274</v>
      </c>
      <c r="AN2">
        <v>19296</v>
      </c>
    </row>
    <row r="3" spans="1:43" x14ac:dyDescent="0.25">
      <c r="A3" s="1">
        <v>38718</v>
      </c>
      <c r="B3">
        <v>101038</v>
      </c>
      <c r="C3">
        <v>15165</v>
      </c>
      <c r="W3" s="1">
        <v>38718</v>
      </c>
      <c r="X3">
        <v>56048</v>
      </c>
      <c r="Y3">
        <v>58448</v>
      </c>
      <c r="Z3">
        <v>1707</v>
      </c>
      <c r="AD3" s="1">
        <v>38384</v>
      </c>
      <c r="AE3">
        <v>1713</v>
      </c>
      <c r="AF3">
        <v>237</v>
      </c>
      <c r="AL3" s="1">
        <v>38384</v>
      </c>
      <c r="AM3">
        <v>17818</v>
      </c>
      <c r="AN3">
        <v>19367</v>
      </c>
    </row>
    <row r="4" spans="1:43" x14ac:dyDescent="0.25">
      <c r="A4" s="1">
        <v>38749</v>
      </c>
      <c r="B4">
        <v>85924</v>
      </c>
      <c r="C4">
        <v>13726</v>
      </c>
      <c r="W4" s="1">
        <v>38749</v>
      </c>
      <c r="X4">
        <v>48505</v>
      </c>
      <c r="Y4">
        <v>49549</v>
      </c>
      <c r="Z4">
        <v>1596</v>
      </c>
      <c r="AD4" s="1">
        <v>38412</v>
      </c>
      <c r="AE4">
        <v>1379</v>
      </c>
      <c r="AF4">
        <v>165</v>
      </c>
      <c r="AL4" s="1">
        <v>38412</v>
      </c>
      <c r="AM4">
        <v>14430</v>
      </c>
      <c r="AN4">
        <v>16217</v>
      </c>
    </row>
    <row r="5" spans="1:43" x14ac:dyDescent="0.25">
      <c r="A5" s="1">
        <v>38777</v>
      </c>
      <c r="B5">
        <v>85045</v>
      </c>
      <c r="C5">
        <v>13317</v>
      </c>
      <c r="W5" s="1">
        <v>38777</v>
      </c>
      <c r="X5">
        <v>45628</v>
      </c>
      <c r="Y5">
        <v>50913</v>
      </c>
      <c r="Z5">
        <v>1821</v>
      </c>
      <c r="AD5" s="1">
        <v>38443</v>
      </c>
      <c r="AE5">
        <v>1406</v>
      </c>
      <c r="AF5">
        <v>248</v>
      </c>
      <c r="AL5" s="1">
        <v>38443</v>
      </c>
      <c r="AM5">
        <v>16447</v>
      </c>
      <c r="AN5">
        <v>18282</v>
      </c>
    </row>
    <row r="6" spans="1:43" x14ac:dyDescent="0.25">
      <c r="A6" s="1">
        <v>38808</v>
      </c>
      <c r="B6">
        <v>91876</v>
      </c>
      <c r="C6">
        <v>13740</v>
      </c>
      <c r="W6" s="1">
        <v>38808</v>
      </c>
      <c r="X6">
        <v>50072</v>
      </c>
      <c r="Y6">
        <v>54093</v>
      </c>
      <c r="Z6">
        <v>1451</v>
      </c>
      <c r="AD6" s="1">
        <v>38473</v>
      </c>
      <c r="AE6">
        <v>1954</v>
      </c>
      <c r="AF6">
        <v>357</v>
      </c>
      <c r="AL6" s="1">
        <v>38473</v>
      </c>
      <c r="AM6">
        <v>21208</v>
      </c>
      <c r="AN6">
        <v>22945</v>
      </c>
    </row>
    <row r="7" spans="1:43" x14ac:dyDescent="0.25">
      <c r="A7" s="1">
        <v>38838</v>
      </c>
      <c r="B7">
        <v>83181</v>
      </c>
      <c r="C7">
        <v>11485</v>
      </c>
      <c r="W7" s="1">
        <v>38838</v>
      </c>
      <c r="X7">
        <v>50281</v>
      </c>
      <c r="Y7">
        <v>43099</v>
      </c>
      <c r="Z7">
        <v>1286</v>
      </c>
      <c r="AD7" s="1">
        <v>38504</v>
      </c>
      <c r="AE7">
        <v>2080</v>
      </c>
      <c r="AF7">
        <v>256</v>
      </c>
      <c r="AL7" s="1">
        <v>38504</v>
      </c>
      <c r="AM7">
        <v>20814</v>
      </c>
      <c r="AN7">
        <v>17249</v>
      </c>
    </row>
    <row r="8" spans="1:43" x14ac:dyDescent="0.25">
      <c r="A8" s="1">
        <v>38869</v>
      </c>
      <c r="B8">
        <v>96000</v>
      </c>
      <c r="C8">
        <v>11763</v>
      </c>
      <c r="W8" s="1">
        <v>38869</v>
      </c>
      <c r="X8">
        <v>60815</v>
      </c>
      <c r="Y8">
        <v>45484</v>
      </c>
      <c r="Z8">
        <v>1464</v>
      </c>
      <c r="AD8" s="1">
        <v>38534</v>
      </c>
      <c r="AE8">
        <v>2676</v>
      </c>
      <c r="AF8">
        <v>314</v>
      </c>
      <c r="AL8" s="1">
        <v>38534</v>
      </c>
      <c r="AM8">
        <v>25422</v>
      </c>
      <c r="AN8">
        <v>20889</v>
      </c>
    </row>
    <row r="9" spans="1:43" x14ac:dyDescent="0.25">
      <c r="A9" s="1">
        <v>38899</v>
      </c>
      <c r="B9">
        <v>94899</v>
      </c>
      <c r="C9">
        <v>10532</v>
      </c>
      <c r="W9" s="1">
        <v>38899</v>
      </c>
      <c r="X9">
        <v>62896</v>
      </c>
      <c r="Y9">
        <v>41248</v>
      </c>
      <c r="Z9">
        <v>1287</v>
      </c>
      <c r="AD9" s="1">
        <v>38565</v>
      </c>
      <c r="AE9">
        <v>3211</v>
      </c>
      <c r="AF9">
        <v>372</v>
      </c>
      <c r="AL9" s="1">
        <v>38565</v>
      </c>
      <c r="AM9">
        <v>32384</v>
      </c>
      <c r="AN9">
        <v>27493</v>
      </c>
    </row>
    <row r="10" spans="1:43" x14ac:dyDescent="0.25">
      <c r="A10" s="1">
        <v>38930</v>
      </c>
      <c r="B10">
        <v>106784</v>
      </c>
      <c r="C10">
        <v>11293</v>
      </c>
      <c r="W10" s="1">
        <v>38930</v>
      </c>
      <c r="X10">
        <v>74272</v>
      </c>
      <c r="Y10">
        <v>42532</v>
      </c>
      <c r="Z10">
        <v>1273</v>
      </c>
      <c r="AD10" s="1">
        <v>38596</v>
      </c>
      <c r="AE10">
        <v>4048</v>
      </c>
      <c r="AF10">
        <v>617</v>
      </c>
      <c r="AL10" s="1">
        <v>38596</v>
      </c>
      <c r="AM10">
        <v>29845</v>
      </c>
      <c r="AN10">
        <v>31231</v>
      </c>
    </row>
    <row r="11" spans="1:43" x14ac:dyDescent="0.25">
      <c r="A11" s="1">
        <v>38961</v>
      </c>
      <c r="B11">
        <v>107277</v>
      </c>
      <c r="C11">
        <v>11420</v>
      </c>
      <c r="W11" s="1">
        <v>38961</v>
      </c>
      <c r="X11">
        <v>74289</v>
      </c>
      <c r="Y11">
        <v>43129</v>
      </c>
      <c r="Z11">
        <v>1279</v>
      </c>
      <c r="AD11" s="1">
        <v>38626</v>
      </c>
      <c r="AE11">
        <v>7481</v>
      </c>
      <c r="AF11">
        <v>996</v>
      </c>
      <c r="AL11" s="1">
        <v>38626</v>
      </c>
      <c r="AM11">
        <v>29919</v>
      </c>
      <c r="AN11">
        <v>30344</v>
      </c>
    </row>
    <row r="12" spans="1:43" x14ac:dyDescent="0.25">
      <c r="A12" s="1">
        <v>38991</v>
      </c>
      <c r="B12">
        <v>92041</v>
      </c>
      <c r="C12">
        <v>11613</v>
      </c>
      <c r="W12" s="1">
        <v>38991</v>
      </c>
      <c r="X12">
        <v>59427</v>
      </c>
      <c r="Y12">
        <v>43075</v>
      </c>
      <c r="Z12">
        <v>1152</v>
      </c>
      <c r="AD12" s="1">
        <v>38657</v>
      </c>
      <c r="AE12">
        <v>15991</v>
      </c>
      <c r="AF12">
        <v>2199</v>
      </c>
      <c r="AL12" s="1">
        <v>38657</v>
      </c>
      <c r="AM12">
        <v>25968</v>
      </c>
      <c r="AN12">
        <v>27266</v>
      </c>
    </row>
    <row r="13" spans="1:43" x14ac:dyDescent="0.25">
      <c r="A13" s="1">
        <v>39022</v>
      </c>
      <c r="B13">
        <v>83109</v>
      </c>
      <c r="C13">
        <v>13547</v>
      </c>
      <c r="W13" s="1">
        <v>39022</v>
      </c>
      <c r="X13">
        <v>48845</v>
      </c>
      <c r="Y13">
        <v>46704</v>
      </c>
      <c r="Z13">
        <v>1107</v>
      </c>
      <c r="AD13" s="1">
        <v>38687</v>
      </c>
      <c r="AE13">
        <v>58394</v>
      </c>
      <c r="AF13">
        <v>9660</v>
      </c>
      <c r="AL13" s="1">
        <v>38687</v>
      </c>
      <c r="AM13">
        <v>23032</v>
      </c>
      <c r="AN13">
        <v>26896</v>
      </c>
    </row>
    <row r="14" spans="1:43" x14ac:dyDescent="0.25">
      <c r="A14" s="1">
        <v>39052</v>
      </c>
      <c r="B14">
        <v>109560</v>
      </c>
      <c r="C14">
        <v>18639</v>
      </c>
      <c r="W14" s="1">
        <v>39052</v>
      </c>
      <c r="X14">
        <v>65808</v>
      </c>
      <c r="Y14">
        <v>60968</v>
      </c>
      <c r="Z14">
        <v>1423</v>
      </c>
      <c r="AD14" s="1">
        <v>38718</v>
      </c>
      <c r="AE14">
        <v>96347</v>
      </c>
      <c r="AF14">
        <v>14686</v>
      </c>
      <c r="AL14" s="1">
        <v>38718</v>
      </c>
      <c r="AM14">
        <v>19087</v>
      </c>
      <c r="AN14">
        <v>20216</v>
      </c>
    </row>
    <row r="15" spans="1:43" x14ac:dyDescent="0.25">
      <c r="A15" s="1">
        <v>39083</v>
      </c>
      <c r="B15">
        <v>90090</v>
      </c>
      <c r="C15">
        <v>16054</v>
      </c>
      <c r="W15" s="1">
        <v>39083</v>
      </c>
      <c r="X15">
        <v>52477</v>
      </c>
      <c r="Y15">
        <v>52621</v>
      </c>
      <c r="Z15">
        <v>1046</v>
      </c>
      <c r="AD15" s="1">
        <v>38749</v>
      </c>
      <c r="AE15">
        <v>93070</v>
      </c>
      <c r="AF15">
        <v>13545</v>
      </c>
      <c r="AL15" s="1">
        <v>38749</v>
      </c>
      <c r="AM15">
        <v>17037</v>
      </c>
      <c r="AN15">
        <v>16824</v>
      </c>
    </row>
    <row r="16" spans="1:43" x14ac:dyDescent="0.25">
      <c r="A16" s="1">
        <v>39114</v>
      </c>
      <c r="B16">
        <v>105785</v>
      </c>
      <c r="C16">
        <v>23045</v>
      </c>
      <c r="W16" s="1">
        <v>39114</v>
      </c>
      <c r="X16">
        <v>56557</v>
      </c>
      <c r="Y16">
        <v>71070</v>
      </c>
      <c r="Z16">
        <v>1203</v>
      </c>
      <c r="AD16" s="1">
        <v>38777</v>
      </c>
      <c r="AE16">
        <v>77021</v>
      </c>
      <c r="AF16">
        <v>12671</v>
      </c>
      <c r="AL16" s="1">
        <v>38777</v>
      </c>
      <c r="AM16">
        <v>13255</v>
      </c>
      <c r="AN16">
        <v>14656</v>
      </c>
    </row>
    <row r="17" spans="1:40" x14ac:dyDescent="0.25">
      <c r="A17" s="1">
        <v>39142</v>
      </c>
      <c r="B17">
        <v>107547</v>
      </c>
      <c r="C17">
        <v>21585</v>
      </c>
      <c r="W17" s="1">
        <v>39142</v>
      </c>
      <c r="X17">
        <v>60614</v>
      </c>
      <c r="Y17">
        <v>67164</v>
      </c>
      <c r="Z17">
        <v>1354</v>
      </c>
      <c r="AD17" s="1">
        <v>38808</v>
      </c>
      <c r="AE17">
        <v>86488</v>
      </c>
      <c r="AF17">
        <v>13588</v>
      </c>
      <c r="AL17" s="1">
        <v>38808</v>
      </c>
      <c r="AM17">
        <v>15658</v>
      </c>
      <c r="AN17">
        <v>16622</v>
      </c>
    </row>
    <row r="18" spans="1:40" x14ac:dyDescent="0.25">
      <c r="A18" s="1">
        <v>39173</v>
      </c>
      <c r="B18">
        <v>100318</v>
      </c>
      <c r="C18">
        <v>20927</v>
      </c>
      <c r="W18" s="1">
        <v>39173</v>
      </c>
      <c r="X18">
        <v>55862</v>
      </c>
      <c r="Y18">
        <v>64185</v>
      </c>
      <c r="Z18">
        <v>1198</v>
      </c>
      <c r="AD18" s="1">
        <v>38838</v>
      </c>
      <c r="AE18">
        <v>99743</v>
      </c>
      <c r="AF18">
        <v>13902</v>
      </c>
      <c r="AL18" s="1">
        <v>38838</v>
      </c>
      <c r="AM18">
        <v>20502</v>
      </c>
      <c r="AN18">
        <v>19203</v>
      </c>
    </row>
    <row r="19" spans="1:40" x14ac:dyDescent="0.25">
      <c r="A19" s="1">
        <v>39203</v>
      </c>
      <c r="B19">
        <v>111446</v>
      </c>
      <c r="C19">
        <v>23119</v>
      </c>
      <c r="W19" s="1">
        <v>39203</v>
      </c>
      <c r="X19">
        <v>63827</v>
      </c>
      <c r="Y19">
        <v>69464</v>
      </c>
      <c r="Z19">
        <v>1274</v>
      </c>
      <c r="AD19" s="1">
        <v>38869</v>
      </c>
      <c r="AE19">
        <v>94688</v>
      </c>
      <c r="AF19">
        <v>12297</v>
      </c>
      <c r="AL19" s="1">
        <v>38869</v>
      </c>
      <c r="AM19">
        <v>19385</v>
      </c>
      <c r="AN19">
        <v>16151</v>
      </c>
    </row>
    <row r="20" spans="1:40" x14ac:dyDescent="0.25">
      <c r="A20" s="1">
        <v>39234</v>
      </c>
      <c r="B20">
        <v>112135</v>
      </c>
      <c r="C20">
        <v>20337</v>
      </c>
      <c r="W20" s="1">
        <v>39234</v>
      </c>
      <c r="X20">
        <v>69687</v>
      </c>
      <c r="Y20">
        <v>61490</v>
      </c>
      <c r="Z20">
        <v>1295</v>
      </c>
      <c r="AD20" s="1">
        <v>38899</v>
      </c>
      <c r="AE20">
        <v>102712</v>
      </c>
      <c r="AF20">
        <v>11912</v>
      </c>
      <c r="AL20" s="1">
        <v>38899</v>
      </c>
      <c r="AM20">
        <v>21324</v>
      </c>
      <c r="AN20">
        <v>15699</v>
      </c>
    </row>
    <row r="21" spans="1:40" x14ac:dyDescent="0.25">
      <c r="A21" s="1">
        <v>39264</v>
      </c>
      <c r="B21">
        <v>100566</v>
      </c>
      <c r="C21">
        <v>17646</v>
      </c>
      <c r="W21" s="1">
        <v>39264</v>
      </c>
      <c r="X21">
        <v>63220</v>
      </c>
      <c r="Y21">
        <v>53816</v>
      </c>
      <c r="Z21">
        <v>1176</v>
      </c>
      <c r="AD21" s="1">
        <v>38930</v>
      </c>
      <c r="AE21">
        <v>111389</v>
      </c>
      <c r="AF21">
        <v>11212</v>
      </c>
      <c r="AL21" s="1">
        <v>38930</v>
      </c>
      <c r="AM21">
        <v>21062</v>
      </c>
      <c r="AN21">
        <v>13990</v>
      </c>
    </row>
    <row r="22" spans="1:40" x14ac:dyDescent="0.25">
      <c r="A22" s="1">
        <v>39295</v>
      </c>
      <c r="B22">
        <v>117065</v>
      </c>
      <c r="C22">
        <v>17169</v>
      </c>
      <c r="W22" s="1">
        <v>39295</v>
      </c>
      <c r="X22">
        <v>77551</v>
      </c>
      <c r="Y22">
        <v>55366</v>
      </c>
      <c r="Z22">
        <v>1317</v>
      </c>
      <c r="AD22" s="1">
        <v>38961</v>
      </c>
      <c r="AE22">
        <v>101464</v>
      </c>
      <c r="AF22">
        <v>10662</v>
      </c>
      <c r="AL22" s="1">
        <v>38961</v>
      </c>
      <c r="AM22">
        <v>18244</v>
      </c>
      <c r="AN22">
        <v>12747</v>
      </c>
    </row>
    <row r="23" spans="1:40" x14ac:dyDescent="0.25">
      <c r="A23" s="1">
        <v>39326</v>
      </c>
      <c r="B23">
        <v>136772</v>
      </c>
      <c r="C23">
        <v>17527</v>
      </c>
      <c r="W23" s="1">
        <v>39326</v>
      </c>
      <c r="X23">
        <v>97102</v>
      </c>
      <c r="Y23">
        <v>55888</v>
      </c>
      <c r="Z23">
        <v>1309</v>
      </c>
      <c r="AD23" s="1">
        <v>38991</v>
      </c>
      <c r="AE23">
        <v>102383</v>
      </c>
      <c r="AF23">
        <v>11537</v>
      </c>
      <c r="AL23" s="1">
        <v>38991</v>
      </c>
      <c r="AM23">
        <v>21523</v>
      </c>
      <c r="AN23">
        <v>15647</v>
      </c>
    </row>
    <row r="24" spans="1:40" x14ac:dyDescent="0.25">
      <c r="A24" s="1">
        <v>39356</v>
      </c>
      <c r="B24">
        <v>108346</v>
      </c>
      <c r="C24">
        <v>17939</v>
      </c>
      <c r="W24" s="1">
        <v>39356</v>
      </c>
      <c r="X24">
        <v>72966</v>
      </c>
      <c r="Y24">
        <v>51812</v>
      </c>
      <c r="Z24">
        <v>1507</v>
      </c>
      <c r="AD24" s="1">
        <v>39022</v>
      </c>
      <c r="AE24">
        <v>96093</v>
      </c>
      <c r="AF24">
        <v>12948</v>
      </c>
      <c r="AL24" s="1">
        <v>39022</v>
      </c>
      <c r="AM24">
        <v>20834</v>
      </c>
      <c r="AN24">
        <v>16622</v>
      </c>
    </row>
    <row r="25" spans="1:40" x14ac:dyDescent="0.25">
      <c r="A25" s="1">
        <v>39387</v>
      </c>
      <c r="B25">
        <v>118469</v>
      </c>
      <c r="C25">
        <v>22061</v>
      </c>
      <c r="W25" s="1">
        <v>39387</v>
      </c>
      <c r="X25">
        <v>77897</v>
      </c>
      <c r="Y25">
        <v>61078</v>
      </c>
      <c r="Z25">
        <v>1555</v>
      </c>
      <c r="AD25" s="1">
        <v>39052</v>
      </c>
      <c r="AE25">
        <v>107332</v>
      </c>
      <c r="AF25">
        <v>17880</v>
      </c>
      <c r="AL25" s="1">
        <v>39052</v>
      </c>
      <c r="AM25">
        <v>21144</v>
      </c>
      <c r="AN25">
        <v>20654</v>
      </c>
    </row>
    <row r="26" spans="1:40" x14ac:dyDescent="0.25">
      <c r="A26" s="1">
        <v>39417</v>
      </c>
      <c r="B26">
        <v>108670</v>
      </c>
      <c r="C26">
        <v>23242</v>
      </c>
      <c r="W26" s="1">
        <v>39417</v>
      </c>
      <c r="X26">
        <v>69883</v>
      </c>
      <c r="Y26">
        <v>60449</v>
      </c>
      <c r="Z26">
        <v>1580</v>
      </c>
      <c r="AD26" s="1">
        <v>39083</v>
      </c>
      <c r="AE26">
        <v>98456</v>
      </c>
      <c r="AF26">
        <v>17232</v>
      </c>
      <c r="AL26" s="1">
        <v>39083</v>
      </c>
      <c r="AM26">
        <v>20779</v>
      </c>
      <c r="AN26">
        <v>19393</v>
      </c>
    </row>
    <row r="27" spans="1:40" x14ac:dyDescent="0.25">
      <c r="A27" s="1">
        <v>39448</v>
      </c>
      <c r="B27">
        <v>90455</v>
      </c>
      <c r="C27">
        <v>25971</v>
      </c>
      <c r="W27" s="1">
        <v>39448</v>
      </c>
      <c r="X27">
        <v>54557</v>
      </c>
      <c r="Y27">
        <v>60598</v>
      </c>
      <c r="Z27">
        <v>1271</v>
      </c>
      <c r="AD27" s="1">
        <v>39114</v>
      </c>
      <c r="AE27">
        <v>99305</v>
      </c>
      <c r="AF27">
        <v>21209</v>
      </c>
      <c r="AL27" s="1">
        <v>39114</v>
      </c>
      <c r="AM27">
        <v>21525</v>
      </c>
      <c r="AN27">
        <v>22776</v>
      </c>
    </row>
    <row r="28" spans="1:40" x14ac:dyDescent="0.25">
      <c r="A28" s="1">
        <v>39479</v>
      </c>
      <c r="B28">
        <v>124215</v>
      </c>
      <c r="C28">
        <v>41508</v>
      </c>
      <c r="W28" s="1">
        <v>39479</v>
      </c>
      <c r="X28">
        <v>72837</v>
      </c>
      <c r="Y28">
        <v>91402</v>
      </c>
      <c r="Z28">
        <v>1484</v>
      </c>
      <c r="AD28" s="1">
        <v>39142</v>
      </c>
      <c r="AE28">
        <v>86895</v>
      </c>
      <c r="AF28">
        <v>20923</v>
      </c>
      <c r="AL28" s="1">
        <v>39142</v>
      </c>
      <c r="AM28">
        <v>18020</v>
      </c>
      <c r="AN28">
        <v>22740</v>
      </c>
    </row>
    <row r="29" spans="1:40" x14ac:dyDescent="0.25">
      <c r="A29" s="1">
        <v>39508</v>
      </c>
      <c r="B29">
        <v>88535</v>
      </c>
      <c r="C29">
        <v>49873</v>
      </c>
      <c r="W29" s="1">
        <v>39508</v>
      </c>
      <c r="X29">
        <v>43659</v>
      </c>
      <c r="Y29">
        <v>93377</v>
      </c>
      <c r="Z29">
        <v>1372</v>
      </c>
      <c r="AD29" s="1">
        <v>39173</v>
      </c>
      <c r="AE29">
        <v>93294</v>
      </c>
      <c r="AF29">
        <v>18017</v>
      </c>
      <c r="AL29" s="1">
        <v>39173</v>
      </c>
      <c r="AM29">
        <v>18869</v>
      </c>
      <c r="AN29">
        <v>20586</v>
      </c>
    </row>
    <row r="30" spans="1:40" x14ac:dyDescent="0.25">
      <c r="A30" s="1">
        <v>39539</v>
      </c>
      <c r="B30">
        <v>98952</v>
      </c>
      <c r="C30">
        <v>44733</v>
      </c>
      <c r="W30" s="1">
        <v>39539</v>
      </c>
      <c r="X30">
        <v>50960</v>
      </c>
      <c r="Y30">
        <v>91357</v>
      </c>
      <c r="Z30">
        <v>1368</v>
      </c>
      <c r="AD30" s="1">
        <v>39203</v>
      </c>
      <c r="AE30">
        <v>118081</v>
      </c>
      <c r="AF30">
        <v>22875</v>
      </c>
      <c r="AL30" s="1">
        <v>39203</v>
      </c>
      <c r="AM30">
        <v>25321</v>
      </c>
      <c r="AN30">
        <v>25028</v>
      </c>
    </row>
    <row r="31" spans="1:40" x14ac:dyDescent="0.25">
      <c r="A31" s="1">
        <v>39569</v>
      </c>
      <c r="B31">
        <v>110414</v>
      </c>
      <c r="C31">
        <v>41194</v>
      </c>
      <c r="W31" s="1">
        <v>39569</v>
      </c>
      <c r="X31">
        <v>58452</v>
      </c>
      <c r="Y31">
        <v>91752</v>
      </c>
      <c r="Z31">
        <v>1404</v>
      </c>
      <c r="AD31" s="1">
        <v>39234</v>
      </c>
      <c r="AE31">
        <v>122699</v>
      </c>
      <c r="AF31">
        <v>24801</v>
      </c>
      <c r="AL31" s="1">
        <v>39234</v>
      </c>
      <c r="AM31">
        <v>27815</v>
      </c>
      <c r="AN31">
        <v>26551</v>
      </c>
    </row>
    <row r="32" spans="1:40" x14ac:dyDescent="0.25">
      <c r="A32" s="1">
        <v>39600</v>
      </c>
      <c r="B32">
        <v>108177</v>
      </c>
      <c r="C32">
        <v>30865</v>
      </c>
      <c r="W32" s="1">
        <v>39600</v>
      </c>
      <c r="X32">
        <v>67055</v>
      </c>
      <c r="Y32">
        <v>70617</v>
      </c>
      <c r="Z32">
        <v>1370</v>
      </c>
      <c r="AD32" s="1">
        <v>39264</v>
      </c>
      <c r="AE32">
        <v>125488</v>
      </c>
      <c r="AF32">
        <v>21810</v>
      </c>
      <c r="AL32" s="1">
        <v>39264</v>
      </c>
      <c r="AM32">
        <v>32290</v>
      </c>
      <c r="AN32">
        <v>26375</v>
      </c>
    </row>
    <row r="33" spans="1:40" x14ac:dyDescent="0.25">
      <c r="A33" s="1">
        <v>39630</v>
      </c>
      <c r="B33">
        <v>62302</v>
      </c>
      <c r="C33">
        <v>15169</v>
      </c>
      <c r="W33" s="1">
        <v>39630</v>
      </c>
      <c r="X33">
        <v>41004</v>
      </c>
      <c r="Y33">
        <v>36040</v>
      </c>
      <c r="Z33">
        <v>427</v>
      </c>
      <c r="AD33" s="1">
        <v>39295</v>
      </c>
      <c r="AE33">
        <v>118350</v>
      </c>
      <c r="AF33">
        <v>17435</v>
      </c>
      <c r="AL33" s="1">
        <v>39295</v>
      </c>
      <c r="AM33">
        <v>29663</v>
      </c>
      <c r="AN33">
        <v>21015</v>
      </c>
    </row>
    <row r="34" spans="1:40" x14ac:dyDescent="0.25">
      <c r="A34" s="1">
        <v>39661</v>
      </c>
      <c r="B34">
        <v>68339</v>
      </c>
      <c r="C34">
        <v>12928</v>
      </c>
      <c r="W34" s="1">
        <v>39661</v>
      </c>
      <c r="X34">
        <v>47631</v>
      </c>
      <c r="Y34">
        <v>33217</v>
      </c>
      <c r="Z34">
        <v>419</v>
      </c>
      <c r="AD34" s="1">
        <v>39326</v>
      </c>
      <c r="AE34">
        <v>113663</v>
      </c>
      <c r="AF34">
        <v>15467</v>
      </c>
      <c r="AL34" s="1">
        <v>39326</v>
      </c>
      <c r="AM34">
        <v>24698</v>
      </c>
      <c r="AN34">
        <v>16987</v>
      </c>
    </row>
    <row r="35" spans="1:40" x14ac:dyDescent="0.25">
      <c r="A35" s="1">
        <v>39692</v>
      </c>
      <c r="B35">
        <v>66445</v>
      </c>
      <c r="C35">
        <v>11279</v>
      </c>
      <c r="W35" s="1">
        <v>39692</v>
      </c>
      <c r="X35">
        <v>47720</v>
      </c>
      <c r="Y35">
        <v>29595</v>
      </c>
      <c r="Z35">
        <v>409</v>
      </c>
      <c r="AD35" s="1">
        <v>39356</v>
      </c>
      <c r="AE35">
        <v>110255</v>
      </c>
      <c r="AF35">
        <v>15255</v>
      </c>
      <c r="AL35" s="1">
        <v>39356</v>
      </c>
      <c r="AM35">
        <v>24976</v>
      </c>
      <c r="AN35">
        <v>18729</v>
      </c>
    </row>
    <row r="36" spans="1:40" x14ac:dyDescent="0.25">
      <c r="A36" s="1">
        <v>39722</v>
      </c>
      <c r="B36">
        <v>45734</v>
      </c>
      <c r="C36">
        <v>9037</v>
      </c>
      <c r="W36" s="1">
        <v>39722</v>
      </c>
      <c r="X36">
        <v>31841</v>
      </c>
      <c r="Y36">
        <v>22753</v>
      </c>
      <c r="Z36">
        <v>177</v>
      </c>
      <c r="AD36" s="1">
        <v>39387</v>
      </c>
      <c r="AE36">
        <v>99633</v>
      </c>
      <c r="AF36">
        <v>18097</v>
      </c>
      <c r="AL36" s="1">
        <v>39387</v>
      </c>
      <c r="AM36">
        <v>22959</v>
      </c>
      <c r="AN36">
        <v>20447</v>
      </c>
    </row>
    <row r="37" spans="1:40" x14ac:dyDescent="0.25">
      <c r="A37" s="1">
        <v>39753</v>
      </c>
      <c r="B37">
        <v>43655</v>
      </c>
      <c r="C37">
        <v>13338</v>
      </c>
      <c r="W37" s="1">
        <v>39753</v>
      </c>
      <c r="X37">
        <v>28701</v>
      </c>
      <c r="Y37">
        <v>27885</v>
      </c>
      <c r="Z37">
        <v>407</v>
      </c>
      <c r="AD37" s="1">
        <v>39417</v>
      </c>
      <c r="AE37">
        <v>101090</v>
      </c>
      <c r="AF37">
        <v>21973</v>
      </c>
      <c r="AL37" s="1">
        <v>39417</v>
      </c>
      <c r="AM37">
        <v>25043</v>
      </c>
      <c r="AN37">
        <v>25996</v>
      </c>
    </row>
    <row r="38" spans="1:40" x14ac:dyDescent="0.25">
      <c r="A38" s="1">
        <v>39783</v>
      </c>
      <c r="B38">
        <v>50259</v>
      </c>
      <c r="C38">
        <v>12980</v>
      </c>
      <c r="W38" s="1">
        <v>39783</v>
      </c>
      <c r="X38">
        <v>34511</v>
      </c>
      <c r="Y38">
        <v>28353</v>
      </c>
      <c r="Z38">
        <v>375</v>
      </c>
      <c r="AD38" s="1">
        <v>39448</v>
      </c>
      <c r="AE38">
        <v>88196</v>
      </c>
      <c r="AF38">
        <v>20897</v>
      </c>
      <c r="AL38" s="1">
        <v>39448</v>
      </c>
      <c r="AM38">
        <v>24510</v>
      </c>
      <c r="AN38">
        <v>25319</v>
      </c>
    </row>
    <row r="39" spans="1:40" x14ac:dyDescent="0.25">
      <c r="A39" s="1">
        <v>39814</v>
      </c>
      <c r="B39">
        <v>45008</v>
      </c>
      <c r="C39">
        <v>20693</v>
      </c>
      <c r="W39" s="1">
        <v>39814</v>
      </c>
      <c r="X39">
        <v>28940</v>
      </c>
      <c r="Y39">
        <v>36364</v>
      </c>
      <c r="Z39">
        <v>397</v>
      </c>
      <c r="AD39" s="1">
        <v>39479</v>
      </c>
      <c r="AE39">
        <v>95942</v>
      </c>
      <c r="AF39">
        <v>30555</v>
      </c>
      <c r="AL39" s="1">
        <v>39479</v>
      </c>
      <c r="AM39">
        <v>23884</v>
      </c>
      <c r="AN39">
        <v>27711</v>
      </c>
    </row>
    <row r="40" spans="1:40" x14ac:dyDescent="0.25">
      <c r="A40" s="1">
        <v>39845</v>
      </c>
      <c r="B40">
        <v>54314</v>
      </c>
      <c r="C40">
        <v>60330</v>
      </c>
      <c r="W40" s="1">
        <v>39845</v>
      </c>
      <c r="X40">
        <v>24431</v>
      </c>
      <c r="Y40">
        <v>88963</v>
      </c>
      <c r="Z40">
        <v>1250</v>
      </c>
      <c r="AD40" s="1">
        <v>39508</v>
      </c>
      <c r="AE40">
        <v>78249</v>
      </c>
      <c r="AF40">
        <v>34268</v>
      </c>
      <c r="AL40" s="1">
        <v>39508</v>
      </c>
      <c r="AM40">
        <v>20975</v>
      </c>
      <c r="AN40">
        <v>31314</v>
      </c>
    </row>
    <row r="41" spans="1:40" x14ac:dyDescent="0.25">
      <c r="A41" s="1">
        <v>39873</v>
      </c>
      <c r="B41">
        <v>90938</v>
      </c>
      <c r="C41">
        <v>126468</v>
      </c>
      <c r="W41" s="1">
        <v>39873</v>
      </c>
      <c r="X41">
        <v>27687</v>
      </c>
      <c r="Y41">
        <v>187401</v>
      </c>
      <c r="Z41">
        <v>2318</v>
      </c>
      <c r="AD41" s="1">
        <v>39539</v>
      </c>
      <c r="AE41">
        <v>99187</v>
      </c>
      <c r="AF41">
        <v>60058</v>
      </c>
      <c r="AL41" s="1">
        <v>39539</v>
      </c>
      <c r="AM41">
        <v>22787</v>
      </c>
      <c r="AN41">
        <v>42764</v>
      </c>
    </row>
    <row r="42" spans="1:40" x14ac:dyDescent="0.25">
      <c r="A42" s="1">
        <v>39904</v>
      </c>
      <c r="B42">
        <v>70127</v>
      </c>
      <c r="C42">
        <v>91317</v>
      </c>
      <c r="D42">
        <v>4758</v>
      </c>
      <c r="E42">
        <v>286</v>
      </c>
      <c r="W42" s="1">
        <v>39904</v>
      </c>
      <c r="X42">
        <v>24673</v>
      </c>
      <c r="Y42">
        <v>140030</v>
      </c>
      <c r="Z42">
        <v>1785</v>
      </c>
      <c r="AD42" s="1">
        <v>39569</v>
      </c>
      <c r="AE42">
        <v>102401</v>
      </c>
      <c r="AF42">
        <v>41596</v>
      </c>
      <c r="AL42" s="1">
        <v>39569</v>
      </c>
      <c r="AM42">
        <v>21383</v>
      </c>
      <c r="AN42">
        <v>31567</v>
      </c>
    </row>
    <row r="43" spans="1:40" x14ac:dyDescent="0.25">
      <c r="A43" s="1">
        <v>39934</v>
      </c>
      <c r="B43">
        <v>67567</v>
      </c>
      <c r="C43">
        <v>25662</v>
      </c>
      <c r="D43">
        <v>51705</v>
      </c>
      <c r="E43">
        <v>5842</v>
      </c>
      <c r="W43" s="1">
        <v>39934</v>
      </c>
      <c r="X43">
        <v>24641</v>
      </c>
      <c r="Y43">
        <v>123547</v>
      </c>
      <c r="Z43">
        <v>2588</v>
      </c>
      <c r="AD43" s="1">
        <v>39600</v>
      </c>
      <c r="AE43">
        <v>98365</v>
      </c>
      <c r="AF43">
        <v>38213</v>
      </c>
      <c r="AL43" s="1">
        <v>39600</v>
      </c>
      <c r="AM43">
        <v>22525</v>
      </c>
      <c r="AN43">
        <v>29505</v>
      </c>
    </row>
    <row r="44" spans="1:40" x14ac:dyDescent="0.25">
      <c r="A44" s="1">
        <v>39965</v>
      </c>
      <c r="B44">
        <v>104095</v>
      </c>
      <c r="C44">
        <v>7053</v>
      </c>
      <c r="D44">
        <v>106391</v>
      </c>
      <c r="E44">
        <v>16517</v>
      </c>
      <c r="W44" s="1">
        <v>39965</v>
      </c>
      <c r="X44">
        <v>41335</v>
      </c>
      <c r="Y44">
        <v>183268</v>
      </c>
      <c r="Z44">
        <v>9453</v>
      </c>
      <c r="AD44" s="1">
        <v>39630</v>
      </c>
      <c r="AE44">
        <v>81925</v>
      </c>
      <c r="AF44">
        <v>23471</v>
      </c>
      <c r="AL44" s="1">
        <v>39630</v>
      </c>
      <c r="AM44">
        <v>23075</v>
      </c>
      <c r="AN44">
        <v>22067</v>
      </c>
    </row>
    <row r="45" spans="1:40" x14ac:dyDescent="0.25">
      <c r="A45" s="1">
        <v>39995</v>
      </c>
      <c r="B45">
        <v>71014</v>
      </c>
      <c r="C45">
        <v>781</v>
      </c>
      <c r="D45">
        <v>60337</v>
      </c>
      <c r="E45">
        <v>22075</v>
      </c>
      <c r="W45" s="1">
        <v>39995</v>
      </c>
      <c r="X45">
        <v>32476</v>
      </c>
      <c r="Y45">
        <v>107233</v>
      </c>
      <c r="Z45">
        <v>14498</v>
      </c>
      <c r="AD45" s="1">
        <v>39661</v>
      </c>
      <c r="AE45">
        <v>80739</v>
      </c>
      <c r="AF45">
        <v>17448</v>
      </c>
      <c r="AL45" s="1">
        <v>39661</v>
      </c>
      <c r="AM45">
        <v>19612</v>
      </c>
      <c r="AN45">
        <v>15491</v>
      </c>
    </row>
    <row r="46" spans="1:40" x14ac:dyDescent="0.25">
      <c r="A46" s="1">
        <v>40026</v>
      </c>
      <c r="B46">
        <v>82357</v>
      </c>
      <c r="C46">
        <v>173</v>
      </c>
      <c r="D46">
        <v>55906</v>
      </c>
      <c r="E46">
        <v>25210</v>
      </c>
      <c r="W46" s="1">
        <v>40026</v>
      </c>
      <c r="X46">
        <v>42643</v>
      </c>
      <c r="Y46">
        <v>104917</v>
      </c>
      <c r="Z46">
        <v>16086</v>
      </c>
      <c r="AD46" s="1">
        <v>39692</v>
      </c>
      <c r="AE46">
        <v>67217</v>
      </c>
      <c r="AF46">
        <v>11582</v>
      </c>
      <c r="AL46" s="1">
        <v>39692</v>
      </c>
      <c r="AM46">
        <v>15980</v>
      </c>
      <c r="AN46">
        <v>10494</v>
      </c>
    </row>
    <row r="47" spans="1:40" x14ac:dyDescent="0.25">
      <c r="A47" s="1">
        <v>40057</v>
      </c>
      <c r="B47">
        <v>70570</v>
      </c>
      <c r="C47">
        <v>258</v>
      </c>
      <c r="D47">
        <v>31910</v>
      </c>
      <c r="E47">
        <v>15667</v>
      </c>
      <c r="W47" s="1">
        <v>40057</v>
      </c>
      <c r="X47">
        <v>41473</v>
      </c>
      <c r="Y47">
        <v>67936</v>
      </c>
      <c r="Z47">
        <v>8996</v>
      </c>
      <c r="AD47" s="1">
        <v>39722</v>
      </c>
      <c r="AE47">
        <v>45117</v>
      </c>
      <c r="AF47">
        <v>7202</v>
      </c>
      <c r="AL47" s="1">
        <v>39722</v>
      </c>
      <c r="AM47">
        <v>14635</v>
      </c>
      <c r="AN47">
        <v>8915</v>
      </c>
    </row>
    <row r="48" spans="1:40" x14ac:dyDescent="0.25">
      <c r="A48" s="1">
        <v>40087</v>
      </c>
      <c r="B48">
        <v>61209</v>
      </c>
      <c r="C48">
        <v>1059</v>
      </c>
      <c r="D48">
        <v>23119</v>
      </c>
      <c r="E48">
        <v>12098</v>
      </c>
      <c r="W48" s="1">
        <v>40087</v>
      </c>
      <c r="X48">
        <v>37039</v>
      </c>
      <c r="Y48">
        <v>54105</v>
      </c>
      <c r="Z48">
        <v>6341</v>
      </c>
      <c r="AD48" s="1">
        <v>39753</v>
      </c>
      <c r="AE48">
        <v>50694</v>
      </c>
      <c r="AF48">
        <v>10585</v>
      </c>
      <c r="AL48" s="1">
        <v>39753</v>
      </c>
      <c r="AM48">
        <v>14115</v>
      </c>
      <c r="AN48">
        <v>9826</v>
      </c>
    </row>
    <row r="49" spans="1:42" x14ac:dyDescent="0.25">
      <c r="A49" s="1">
        <v>40118</v>
      </c>
      <c r="B49">
        <v>54618</v>
      </c>
      <c r="C49">
        <v>77</v>
      </c>
      <c r="D49">
        <v>22548</v>
      </c>
      <c r="E49">
        <v>16580</v>
      </c>
      <c r="W49" s="1">
        <v>40118</v>
      </c>
      <c r="X49">
        <v>32297</v>
      </c>
      <c r="Y49">
        <v>53423</v>
      </c>
      <c r="Z49">
        <v>8103</v>
      </c>
      <c r="AD49" s="1">
        <v>39783</v>
      </c>
      <c r="AE49">
        <v>52103</v>
      </c>
      <c r="AF49">
        <v>15821</v>
      </c>
      <c r="AL49" s="1">
        <v>39783</v>
      </c>
      <c r="AM49">
        <v>15394</v>
      </c>
      <c r="AN49">
        <v>12743</v>
      </c>
    </row>
    <row r="50" spans="1:42" x14ac:dyDescent="0.25">
      <c r="A50" s="1">
        <v>40148</v>
      </c>
      <c r="B50">
        <v>70439</v>
      </c>
      <c r="C50">
        <v>336</v>
      </c>
      <c r="D50">
        <v>30548</v>
      </c>
      <c r="E50">
        <v>25493</v>
      </c>
      <c r="W50" s="1">
        <v>40148</v>
      </c>
      <c r="X50">
        <v>42345</v>
      </c>
      <c r="Y50">
        <v>71676</v>
      </c>
      <c r="Z50">
        <v>12795</v>
      </c>
      <c r="AD50" s="1">
        <v>39814</v>
      </c>
      <c r="AE50">
        <v>32448</v>
      </c>
      <c r="AF50">
        <v>7542</v>
      </c>
      <c r="AL50" s="1">
        <v>39814</v>
      </c>
      <c r="AM50">
        <v>11771</v>
      </c>
      <c r="AN50">
        <v>9484</v>
      </c>
    </row>
    <row r="51" spans="1:42" x14ac:dyDescent="0.25">
      <c r="A51" s="1">
        <v>40179</v>
      </c>
      <c r="B51">
        <v>51271</v>
      </c>
      <c r="C51">
        <v>360</v>
      </c>
      <c r="D51">
        <v>24350</v>
      </c>
      <c r="E51">
        <v>24649</v>
      </c>
      <c r="W51" s="1">
        <v>40179</v>
      </c>
      <c r="X51">
        <v>29955</v>
      </c>
      <c r="Y51">
        <v>57979</v>
      </c>
      <c r="Z51">
        <v>12696</v>
      </c>
      <c r="AD51" s="1">
        <v>39845</v>
      </c>
      <c r="AE51">
        <v>52470</v>
      </c>
      <c r="AF51">
        <v>32323</v>
      </c>
      <c r="AL51" s="1">
        <v>39845</v>
      </c>
      <c r="AM51">
        <v>15596</v>
      </c>
      <c r="AN51">
        <v>20177</v>
      </c>
    </row>
    <row r="52" spans="1:42" x14ac:dyDescent="0.25">
      <c r="A52" s="1">
        <v>40210</v>
      </c>
      <c r="B52">
        <v>51586</v>
      </c>
      <c r="C52">
        <v>77</v>
      </c>
      <c r="D52">
        <v>28003</v>
      </c>
      <c r="E52">
        <v>26299</v>
      </c>
      <c r="W52" s="1">
        <v>40210</v>
      </c>
      <c r="X52">
        <v>27636</v>
      </c>
      <c r="Y52">
        <v>64815</v>
      </c>
      <c r="Z52">
        <v>13514</v>
      </c>
      <c r="AD52" s="1">
        <v>39873</v>
      </c>
      <c r="AE52">
        <v>58125</v>
      </c>
      <c r="AF52">
        <v>81505</v>
      </c>
      <c r="AL52" s="1">
        <v>39873</v>
      </c>
      <c r="AM52">
        <v>17183</v>
      </c>
      <c r="AN52">
        <v>66165</v>
      </c>
    </row>
    <row r="53" spans="1:42" x14ac:dyDescent="0.25">
      <c r="A53" s="1">
        <v>40238</v>
      </c>
      <c r="B53">
        <v>56751</v>
      </c>
      <c r="C53">
        <v>679</v>
      </c>
      <c r="D53">
        <v>25937</v>
      </c>
      <c r="E53">
        <v>21183</v>
      </c>
      <c r="W53" s="1">
        <v>40238</v>
      </c>
      <c r="X53">
        <v>30875</v>
      </c>
      <c r="Y53">
        <v>61902</v>
      </c>
      <c r="Z53">
        <v>11773</v>
      </c>
      <c r="AD53" s="1">
        <v>39904</v>
      </c>
      <c r="AE53">
        <v>72314</v>
      </c>
      <c r="AF53">
        <v>104826</v>
      </c>
      <c r="AL53" s="1">
        <v>39904</v>
      </c>
      <c r="AM53">
        <v>19205</v>
      </c>
      <c r="AN53">
        <v>81476</v>
      </c>
    </row>
    <row r="54" spans="1:42" x14ac:dyDescent="0.25">
      <c r="A54" s="1">
        <v>40269</v>
      </c>
      <c r="B54">
        <v>37231</v>
      </c>
      <c r="C54">
        <v>113</v>
      </c>
      <c r="D54">
        <v>14416</v>
      </c>
      <c r="E54">
        <v>19513</v>
      </c>
      <c r="W54" s="1">
        <v>40269</v>
      </c>
      <c r="X54">
        <v>23058</v>
      </c>
      <c r="Y54">
        <v>37869</v>
      </c>
      <c r="Z54">
        <v>10346</v>
      </c>
      <c r="AD54" s="1">
        <v>39934</v>
      </c>
      <c r="AE54">
        <v>87478</v>
      </c>
      <c r="AF54">
        <v>108692</v>
      </c>
      <c r="AL54" s="1">
        <v>39934</v>
      </c>
      <c r="AM54">
        <v>22244</v>
      </c>
      <c r="AN54">
        <v>84588</v>
      </c>
    </row>
    <row r="55" spans="1:42" x14ac:dyDescent="0.25">
      <c r="A55" s="1">
        <v>40299</v>
      </c>
      <c r="B55">
        <v>46855</v>
      </c>
      <c r="C55">
        <v>25</v>
      </c>
      <c r="D55">
        <v>15988</v>
      </c>
      <c r="E55">
        <v>17575</v>
      </c>
      <c r="W55" s="1">
        <v>40299</v>
      </c>
      <c r="X55">
        <v>30710</v>
      </c>
      <c r="Y55">
        <v>40562</v>
      </c>
      <c r="Z55">
        <v>9171</v>
      </c>
      <c r="AD55" s="1">
        <v>39965</v>
      </c>
      <c r="AE55">
        <v>80976</v>
      </c>
      <c r="AG55">
        <v>94312</v>
      </c>
      <c r="AH55">
        <v>10383</v>
      </c>
      <c r="AL55" s="1">
        <v>39965</v>
      </c>
      <c r="AM55">
        <v>27796</v>
      </c>
      <c r="AO55">
        <v>81756</v>
      </c>
      <c r="AP55">
        <v>22119</v>
      </c>
    </row>
    <row r="56" spans="1:42" x14ac:dyDescent="0.25">
      <c r="A56" s="1">
        <v>40330</v>
      </c>
      <c r="B56">
        <v>55813</v>
      </c>
      <c r="C56">
        <v>4</v>
      </c>
      <c r="D56">
        <v>14269</v>
      </c>
      <c r="E56">
        <v>19523</v>
      </c>
      <c r="W56" s="1">
        <v>40330</v>
      </c>
      <c r="X56">
        <v>38377</v>
      </c>
      <c r="Y56">
        <v>40799</v>
      </c>
      <c r="Z56">
        <v>10433</v>
      </c>
      <c r="AD56" s="1">
        <v>39995</v>
      </c>
      <c r="AE56">
        <v>82570</v>
      </c>
      <c r="AG56">
        <v>90531</v>
      </c>
      <c r="AH56">
        <v>16311</v>
      </c>
      <c r="AL56" s="1">
        <v>39995</v>
      </c>
      <c r="AM56">
        <v>35162</v>
      </c>
      <c r="AO56">
        <v>98694</v>
      </c>
      <c r="AP56">
        <v>39349</v>
      </c>
    </row>
    <row r="57" spans="1:42" x14ac:dyDescent="0.25">
      <c r="A57" s="1">
        <v>40360</v>
      </c>
      <c r="B57">
        <v>50706</v>
      </c>
      <c r="C57">
        <v>1</v>
      </c>
      <c r="D57">
        <v>13900</v>
      </c>
      <c r="E57">
        <v>19158</v>
      </c>
      <c r="W57" s="1">
        <v>40360</v>
      </c>
      <c r="X57">
        <v>36953</v>
      </c>
      <c r="Y57">
        <v>37795</v>
      </c>
      <c r="Z57">
        <v>9017</v>
      </c>
      <c r="AD57" s="1">
        <v>40026</v>
      </c>
      <c r="AE57">
        <v>89410</v>
      </c>
      <c r="AG57">
        <v>71783</v>
      </c>
      <c r="AH57">
        <v>25480</v>
      </c>
      <c r="AL57" s="1">
        <v>40026</v>
      </c>
      <c r="AM57">
        <v>33907</v>
      </c>
      <c r="AO57">
        <v>79985</v>
      </c>
      <c r="AP57">
        <v>41471</v>
      </c>
    </row>
    <row r="58" spans="1:42" x14ac:dyDescent="0.25">
      <c r="A58" s="1">
        <v>40391</v>
      </c>
      <c r="B58">
        <v>48810</v>
      </c>
      <c r="C58">
        <v>1120</v>
      </c>
      <c r="D58">
        <v>16488</v>
      </c>
      <c r="E58">
        <v>20121</v>
      </c>
      <c r="W58" s="1">
        <v>40391</v>
      </c>
      <c r="X58">
        <v>32778</v>
      </c>
      <c r="Y58">
        <v>44543</v>
      </c>
      <c r="Z58">
        <v>9218</v>
      </c>
      <c r="AD58" s="1">
        <v>40057</v>
      </c>
      <c r="AE58">
        <v>83867</v>
      </c>
      <c r="AG58">
        <v>45076</v>
      </c>
      <c r="AH58">
        <v>22620</v>
      </c>
      <c r="AL58" s="1">
        <v>40057</v>
      </c>
      <c r="AM58">
        <v>25673</v>
      </c>
      <c r="AO58">
        <v>49944</v>
      </c>
      <c r="AP58">
        <v>30038</v>
      </c>
    </row>
    <row r="59" spans="1:42" x14ac:dyDescent="0.25">
      <c r="A59" s="1">
        <v>40422</v>
      </c>
      <c r="B59">
        <v>42017</v>
      </c>
      <c r="C59">
        <v>326</v>
      </c>
      <c r="D59">
        <v>24337</v>
      </c>
      <c r="E59">
        <v>38354</v>
      </c>
      <c r="W59" s="1">
        <v>40422</v>
      </c>
      <c r="X59">
        <v>25077</v>
      </c>
      <c r="Y59">
        <v>63945</v>
      </c>
      <c r="Z59">
        <v>16012</v>
      </c>
      <c r="AD59" s="1">
        <v>40087</v>
      </c>
      <c r="AE59">
        <v>62931</v>
      </c>
      <c r="AG59">
        <v>24616</v>
      </c>
      <c r="AH59">
        <v>16406</v>
      </c>
      <c r="AL59" s="1">
        <v>40087</v>
      </c>
      <c r="AM59">
        <v>25546</v>
      </c>
      <c r="AO59">
        <v>32936</v>
      </c>
      <c r="AP59">
        <v>21784</v>
      </c>
    </row>
    <row r="60" spans="1:42" x14ac:dyDescent="0.25">
      <c r="A60" s="1">
        <v>40452</v>
      </c>
      <c r="B60">
        <v>39705</v>
      </c>
      <c r="C60">
        <v>3</v>
      </c>
      <c r="D60">
        <v>29103</v>
      </c>
      <c r="E60">
        <v>36203</v>
      </c>
      <c r="W60" s="1">
        <v>40452</v>
      </c>
      <c r="X60">
        <v>21824</v>
      </c>
      <c r="Y60">
        <v>69234</v>
      </c>
      <c r="Z60">
        <v>13956</v>
      </c>
      <c r="AD60" s="1">
        <v>40118</v>
      </c>
      <c r="AE60">
        <v>58846</v>
      </c>
      <c r="AG60">
        <v>20958</v>
      </c>
      <c r="AH60">
        <v>13051</v>
      </c>
      <c r="AL60" s="1">
        <v>40118</v>
      </c>
      <c r="AM60">
        <v>24426</v>
      </c>
      <c r="AO60">
        <v>25969</v>
      </c>
      <c r="AP60">
        <v>18281</v>
      </c>
    </row>
    <row r="61" spans="1:42" x14ac:dyDescent="0.25">
      <c r="A61" s="1">
        <v>40483</v>
      </c>
      <c r="B61">
        <v>35585</v>
      </c>
      <c r="C61">
        <v>24</v>
      </c>
      <c r="D61">
        <v>28907</v>
      </c>
      <c r="E61">
        <v>39308</v>
      </c>
      <c r="W61" s="1">
        <v>40483</v>
      </c>
      <c r="X61">
        <v>19204</v>
      </c>
      <c r="Y61">
        <v>68606</v>
      </c>
      <c r="Z61">
        <v>16014</v>
      </c>
      <c r="AD61" s="1">
        <v>40148</v>
      </c>
      <c r="AE61">
        <v>62802</v>
      </c>
      <c r="AG61">
        <v>26484</v>
      </c>
      <c r="AH61">
        <v>18179</v>
      </c>
      <c r="AL61" s="1">
        <v>40148</v>
      </c>
      <c r="AM61">
        <v>26861</v>
      </c>
      <c r="AO61">
        <v>26137</v>
      </c>
      <c r="AP61">
        <v>20048</v>
      </c>
    </row>
    <row r="62" spans="1:42" x14ac:dyDescent="0.25">
      <c r="A62" s="1">
        <v>40513</v>
      </c>
      <c r="B62">
        <v>33399</v>
      </c>
      <c r="C62">
        <v>3</v>
      </c>
      <c r="D62">
        <v>29330</v>
      </c>
      <c r="E62">
        <v>45723</v>
      </c>
      <c r="W62" s="1">
        <v>40513</v>
      </c>
      <c r="X62">
        <v>17561</v>
      </c>
      <c r="Y62">
        <v>73157</v>
      </c>
      <c r="Z62">
        <v>17737</v>
      </c>
      <c r="AD62" s="1">
        <v>40179</v>
      </c>
      <c r="AE62">
        <v>60390</v>
      </c>
      <c r="AG62">
        <v>27562</v>
      </c>
      <c r="AH62">
        <v>23590</v>
      </c>
      <c r="AL62" s="1">
        <v>40179</v>
      </c>
      <c r="AM62">
        <v>27023</v>
      </c>
      <c r="AO62">
        <v>27335</v>
      </c>
      <c r="AP62">
        <v>22598</v>
      </c>
    </row>
    <row r="63" spans="1:42" x14ac:dyDescent="0.25">
      <c r="A63" s="1">
        <v>40544</v>
      </c>
      <c r="B63">
        <v>40868</v>
      </c>
      <c r="D63">
        <v>36053</v>
      </c>
      <c r="E63">
        <v>31180</v>
      </c>
      <c r="W63" s="1">
        <v>40544</v>
      </c>
      <c r="X63">
        <v>21831</v>
      </c>
      <c r="Y63">
        <v>71333</v>
      </c>
      <c r="Z63">
        <v>14937</v>
      </c>
      <c r="AD63" s="1">
        <v>40210</v>
      </c>
      <c r="AE63">
        <v>54738</v>
      </c>
      <c r="AG63">
        <v>29806</v>
      </c>
      <c r="AH63">
        <v>26564</v>
      </c>
      <c r="AL63" s="1">
        <v>40210</v>
      </c>
      <c r="AM63">
        <v>24131</v>
      </c>
      <c r="AO63">
        <v>31066</v>
      </c>
      <c r="AP63">
        <v>26006</v>
      </c>
    </row>
    <row r="64" spans="1:42" x14ac:dyDescent="0.25">
      <c r="A64" s="1">
        <v>40575</v>
      </c>
      <c r="B64">
        <v>38825</v>
      </c>
      <c r="C64">
        <v>150</v>
      </c>
      <c r="D64">
        <v>24920</v>
      </c>
      <c r="E64">
        <v>36604</v>
      </c>
      <c r="W64" s="1">
        <v>40575</v>
      </c>
      <c r="X64">
        <v>22007</v>
      </c>
      <c r="Y64">
        <v>61002</v>
      </c>
      <c r="Z64">
        <v>17490</v>
      </c>
      <c r="AD64" s="1">
        <v>40238</v>
      </c>
      <c r="AE64">
        <v>43730</v>
      </c>
      <c r="AG64">
        <v>25134</v>
      </c>
      <c r="AH64">
        <v>24648</v>
      </c>
      <c r="AL64" s="1">
        <v>40238</v>
      </c>
      <c r="AM64">
        <v>15542</v>
      </c>
      <c r="AO64">
        <v>24996</v>
      </c>
      <c r="AP64">
        <v>24778</v>
      </c>
    </row>
    <row r="65" spans="1:42" x14ac:dyDescent="0.25">
      <c r="A65" s="1">
        <v>40603</v>
      </c>
      <c r="B65">
        <v>29596</v>
      </c>
      <c r="C65">
        <v>2646</v>
      </c>
      <c r="D65">
        <v>11405</v>
      </c>
      <c r="E65">
        <v>19980</v>
      </c>
      <c r="W65" s="1">
        <v>40603</v>
      </c>
      <c r="X65">
        <v>16260</v>
      </c>
      <c r="Y65">
        <v>36850</v>
      </c>
      <c r="Z65">
        <v>10517</v>
      </c>
      <c r="AD65" s="1">
        <v>40269</v>
      </c>
      <c r="AE65">
        <v>42612</v>
      </c>
      <c r="AG65">
        <v>17800</v>
      </c>
      <c r="AH65">
        <v>17440</v>
      </c>
      <c r="AL65" s="1">
        <v>40269</v>
      </c>
      <c r="AM65">
        <v>15025</v>
      </c>
      <c r="AO65">
        <v>16955</v>
      </c>
      <c r="AP65">
        <v>19537</v>
      </c>
    </row>
    <row r="66" spans="1:42" x14ac:dyDescent="0.25">
      <c r="A66" s="1">
        <v>40634</v>
      </c>
      <c r="B66">
        <v>24320</v>
      </c>
      <c r="C66">
        <v>10</v>
      </c>
      <c r="D66">
        <v>9549</v>
      </c>
      <c r="E66">
        <v>18800</v>
      </c>
      <c r="W66" s="1">
        <v>40634</v>
      </c>
      <c r="X66">
        <v>15307</v>
      </c>
      <c r="Y66">
        <v>28254</v>
      </c>
      <c r="Z66">
        <v>9118</v>
      </c>
      <c r="AD66" s="1">
        <v>40299</v>
      </c>
      <c r="AE66">
        <v>46375</v>
      </c>
      <c r="AG66">
        <v>16829</v>
      </c>
      <c r="AH66">
        <v>21045</v>
      </c>
      <c r="AL66" s="1">
        <v>40299</v>
      </c>
      <c r="AM66">
        <v>24751</v>
      </c>
      <c r="AO66">
        <v>23261</v>
      </c>
      <c r="AP66">
        <v>23581</v>
      </c>
    </row>
    <row r="67" spans="1:42" x14ac:dyDescent="0.25">
      <c r="A67" s="1">
        <v>40664</v>
      </c>
      <c r="B67">
        <v>26412</v>
      </c>
      <c r="D67">
        <v>7249</v>
      </c>
      <c r="E67">
        <v>12820</v>
      </c>
      <c r="W67" s="1">
        <v>40664</v>
      </c>
      <c r="X67">
        <v>18349</v>
      </c>
      <c r="Y67">
        <v>22304</v>
      </c>
      <c r="Z67">
        <v>5828</v>
      </c>
      <c r="AD67" s="1">
        <v>40330</v>
      </c>
      <c r="AE67">
        <v>49599</v>
      </c>
      <c r="AG67">
        <v>14699</v>
      </c>
      <c r="AH67">
        <v>19445</v>
      </c>
      <c r="AL67" s="1">
        <v>40330</v>
      </c>
      <c r="AM67">
        <v>26297</v>
      </c>
      <c r="AO67">
        <v>19774</v>
      </c>
      <c r="AP67">
        <v>21651</v>
      </c>
    </row>
    <row r="68" spans="1:42" x14ac:dyDescent="0.25">
      <c r="A68" s="1">
        <v>40695</v>
      </c>
      <c r="B68">
        <v>32058</v>
      </c>
      <c r="D68">
        <v>7079</v>
      </c>
      <c r="E68">
        <v>12588</v>
      </c>
      <c r="W68" s="1">
        <v>40695</v>
      </c>
      <c r="X68">
        <v>23616</v>
      </c>
      <c r="Y68">
        <v>22239</v>
      </c>
      <c r="Z68">
        <v>5870</v>
      </c>
      <c r="AD68" s="1">
        <v>40360</v>
      </c>
      <c r="AE68">
        <v>51493</v>
      </c>
      <c r="AG68">
        <v>11907</v>
      </c>
      <c r="AH68">
        <v>15205</v>
      </c>
      <c r="AL68" s="1">
        <v>40360</v>
      </c>
      <c r="AM68">
        <v>29344</v>
      </c>
      <c r="AO68">
        <v>16373</v>
      </c>
      <c r="AP68">
        <v>17093</v>
      </c>
    </row>
    <row r="69" spans="1:42" x14ac:dyDescent="0.25">
      <c r="A69" s="1">
        <v>40725</v>
      </c>
      <c r="B69">
        <v>25325</v>
      </c>
      <c r="D69">
        <v>5161</v>
      </c>
      <c r="E69">
        <v>11579</v>
      </c>
      <c r="W69" s="1">
        <v>40725</v>
      </c>
      <c r="X69">
        <v>19009</v>
      </c>
      <c r="Y69">
        <v>16955</v>
      </c>
      <c r="Z69">
        <v>6101</v>
      </c>
      <c r="AD69" s="1">
        <v>40391</v>
      </c>
      <c r="AE69">
        <v>55048</v>
      </c>
      <c r="AG69">
        <v>16456</v>
      </c>
      <c r="AH69">
        <v>21345</v>
      </c>
      <c r="AL69" s="1">
        <v>40391</v>
      </c>
      <c r="AM69">
        <v>36104</v>
      </c>
      <c r="AO69">
        <v>22123</v>
      </c>
      <c r="AP69">
        <v>19377</v>
      </c>
    </row>
    <row r="70" spans="1:42" x14ac:dyDescent="0.25">
      <c r="A70" s="1">
        <v>40756</v>
      </c>
      <c r="B70">
        <v>34306</v>
      </c>
      <c r="D70">
        <v>8995</v>
      </c>
      <c r="E70">
        <v>13279</v>
      </c>
      <c r="W70" s="1">
        <v>40756</v>
      </c>
      <c r="X70">
        <v>25639</v>
      </c>
      <c r="Y70">
        <v>24762</v>
      </c>
      <c r="Z70">
        <v>6179</v>
      </c>
      <c r="AD70" s="1">
        <v>40422</v>
      </c>
      <c r="AE70">
        <v>40328</v>
      </c>
      <c r="AG70">
        <v>22322</v>
      </c>
      <c r="AH70">
        <v>28168</v>
      </c>
      <c r="AL70" s="1">
        <v>40422</v>
      </c>
      <c r="AM70">
        <v>28611</v>
      </c>
      <c r="AO70">
        <v>34966</v>
      </c>
      <c r="AP70">
        <v>25614</v>
      </c>
    </row>
    <row r="71" spans="1:42" x14ac:dyDescent="0.25">
      <c r="A71" s="1">
        <v>40787</v>
      </c>
      <c r="B71">
        <v>35181</v>
      </c>
      <c r="D71">
        <v>9559</v>
      </c>
      <c r="E71">
        <v>15550</v>
      </c>
      <c r="W71" s="1">
        <v>40787</v>
      </c>
      <c r="X71">
        <v>27102</v>
      </c>
      <c r="Y71">
        <v>25880</v>
      </c>
      <c r="Z71">
        <v>7308</v>
      </c>
      <c r="AD71" s="1">
        <v>40452</v>
      </c>
      <c r="AE71">
        <v>41549</v>
      </c>
      <c r="AG71">
        <v>30002</v>
      </c>
      <c r="AH71">
        <v>33340</v>
      </c>
      <c r="AL71" s="1">
        <v>40452</v>
      </c>
      <c r="AM71">
        <v>34726</v>
      </c>
      <c r="AO71">
        <v>54825</v>
      </c>
      <c r="AP71">
        <v>35899</v>
      </c>
    </row>
    <row r="72" spans="1:42" x14ac:dyDescent="0.25">
      <c r="A72" s="1">
        <v>40817</v>
      </c>
      <c r="B72">
        <v>28354</v>
      </c>
      <c r="D72">
        <v>15321</v>
      </c>
      <c r="E72">
        <v>16474</v>
      </c>
      <c r="W72" s="1">
        <v>40817</v>
      </c>
      <c r="X72">
        <v>20424</v>
      </c>
      <c r="Y72">
        <v>32509</v>
      </c>
      <c r="Z72">
        <v>7216</v>
      </c>
      <c r="AD72" s="1">
        <v>40483</v>
      </c>
      <c r="AE72">
        <v>37450</v>
      </c>
      <c r="AG72">
        <v>30869</v>
      </c>
      <c r="AH72">
        <v>38106</v>
      </c>
      <c r="AL72" s="1">
        <v>40483</v>
      </c>
      <c r="AM72">
        <v>34796</v>
      </c>
      <c r="AO72">
        <v>65313</v>
      </c>
      <c r="AP72">
        <v>39955</v>
      </c>
    </row>
    <row r="73" spans="1:42" x14ac:dyDescent="0.25">
      <c r="A73" s="1">
        <v>40848</v>
      </c>
      <c r="B73">
        <v>22321</v>
      </c>
      <c r="C73">
        <v>16</v>
      </c>
      <c r="D73">
        <v>16181</v>
      </c>
      <c r="E73">
        <v>15358</v>
      </c>
      <c r="W73" s="1">
        <v>40848</v>
      </c>
      <c r="X73">
        <v>15277</v>
      </c>
      <c r="Y73">
        <v>31848</v>
      </c>
      <c r="Z73">
        <v>6751</v>
      </c>
      <c r="AD73" s="1">
        <v>40513</v>
      </c>
      <c r="AE73">
        <v>38964</v>
      </c>
      <c r="AG73">
        <v>34888</v>
      </c>
      <c r="AH73">
        <v>43237</v>
      </c>
      <c r="AL73" s="1">
        <v>40513</v>
      </c>
      <c r="AM73">
        <v>32088</v>
      </c>
      <c r="AO73">
        <v>68437</v>
      </c>
      <c r="AP73">
        <v>43745</v>
      </c>
    </row>
    <row r="74" spans="1:42" x14ac:dyDescent="0.25">
      <c r="A74" s="1">
        <v>40878</v>
      </c>
      <c r="B74">
        <v>12661</v>
      </c>
      <c r="D74">
        <v>13058</v>
      </c>
      <c r="E74">
        <v>17850</v>
      </c>
      <c r="W74" s="1">
        <v>40878</v>
      </c>
      <c r="X74">
        <v>7570</v>
      </c>
      <c r="Y74">
        <v>30460</v>
      </c>
      <c r="Z74">
        <v>5539</v>
      </c>
      <c r="AD74" s="1">
        <v>40544</v>
      </c>
      <c r="AE74">
        <v>36931</v>
      </c>
      <c r="AG74">
        <v>33215</v>
      </c>
      <c r="AH74">
        <v>44477</v>
      </c>
      <c r="AL74" s="1">
        <v>40544</v>
      </c>
      <c r="AM74">
        <v>31798</v>
      </c>
      <c r="AO74">
        <v>71391</v>
      </c>
      <c r="AP74">
        <v>44688</v>
      </c>
    </row>
    <row r="75" spans="1:42" x14ac:dyDescent="0.25">
      <c r="A75" s="1">
        <v>40909</v>
      </c>
      <c r="B75">
        <v>26095</v>
      </c>
      <c r="D75">
        <v>21613</v>
      </c>
      <c r="E75">
        <v>21469</v>
      </c>
      <c r="W75" s="1">
        <v>40909</v>
      </c>
      <c r="X75">
        <v>16546</v>
      </c>
      <c r="Y75">
        <v>40253</v>
      </c>
      <c r="Z75">
        <v>12378</v>
      </c>
      <c r="AD75" s="1">
        <v>40575</v>
      </c>
      <c r="AE75">
        <v>41383</v>
      </c>
      <c r="AG75">
        <v>30768</v>
      </c>
      <c r="AH75">
        <v>37322</v>
      </c>
      <c r="AL75" s="1">
        <v>40575</v>
      </c>
      <c r="AM75">
        <v>32165</v>
      </c>
      <c r="AO75">
        <v>61672</v>
      </c>
      <c r="AP75">
        <v>43163</v>
      </c>
    </row>
    <row r="76" spans="1:42" x14ac:dyDescent="0.25">
      <c r="A76" s="1">
        <v>40940</v>
      </c>
      <c r="B76">
        <v>35310</v>
      </c>
      <c r="D76">
        <v>35057</v>
      </c>
      <c r="E76">
        <v>19436</v>
      </c>
      <c r="W76" s="1">
        <v>40940</v>
      </c>
      <c r="X76">
        <v>20135</v>
      </c>
      <c r="Y76">
        <v>59797</v>
      </c>
      <c r="Z76">
        <v>9871</v>
      </c>
      <c r="AD76" s="1">
        <v>40603</v>
      </c>
      <c r="AE76">
        <v>32412</v>
      </c>
      <c r="AG76">
        <v>20081</v>
      </c>
      <c r="AH76">
        <v>32289</v>
      </c>
      <c r="AL76" s="1">
        <v>40603</v>
      </c>
      <c r="AM76">
        <v>20587</v>
      </c>
      <c r="AO76">
        <v>39380</v>
      </c>
      <c r="AP76">
        <v>37615</v>
      </c>
    </row>
    <row r="77" spans="1:42" x14ac:dyDescent="0.25">
      <c r="A77" s="1">
        <v>40969</v>
      </c>
      <c r="B77">
        <v>26813</v>
      </c>
      <c r="D77">
        <v>28239</v>
      </c>
      <c r="E77">
        <v>29010</v>
      </c>
      <c r="W77" s="1">
        <v>40969</v>
      </c>
      <c r="X77">
        <v>14854</v>
      </c>
      <c r="Y77">
        <v>52700</v>
      </c>
      <c r="Z77">
        <v>16508</v>
      </c>
      <c r="AD77" s="1">
        <v>40634</v>
      </c>
      <c r="AE77">
        <v>22609</v>
      </c>
      <c r="AG77">
        <v>10793</v>
      </c>
      <c r="AH77">
        <v>21224</v>
      </c>
      <c r="AL77" s="1">
        <v>40634</v>
      </c>
      <c r="AM77">
        <v>22676</v>
      </c>
      <c r="AO77">
        <v>28893</v>
      </c>
      <c r="AP77">
        <v>30023</v>
      </c>
    </row>
    <row r="78" spans="1:42" x14ac:dyDescent="0.25">
      <c r="A78" s="1">
        <v>41000</v>
      </c>
      <c r="B78">
        <v>37089</v>
      </c>
      <c r="D78">
        <v>30739</v>
      </c>
      <c r="E78">
        <v>18814</v>
      </c>
      <c r="W78" s="1">
        <v>41000</v>
      </c>
      <c r="X78">
        <v>22249</v>
      </c>
      <c r="Y78">
        <v>52285</v>
      </c>
      <c r="Z78">
        <v>12108</v>
      </c>
      <c r="AD78" s="1">
        <v>40664</v>
      </c>
      <c r="AE78">
        <v>29809</v>
      </c>
      <c r="AG78">
        <v>9553</v>
      </c>
      <c r="AH78">
        <v>14491</v>
      </c>
      <c r="AL78" s="1">
        <v>40664</v>
      </c>
      <c r="AM78">
        <v>27054</v>
      </c>
      <c r="AO78">
        <v>23356</v>
      </c>
      <c r="AP78">
        <v>30663</v>
      </c>
    </row>
    <row r="79" spans="1:42" x14ac:dyDescent="0.25">
      <c r="A79" s="1">
        <v>41030</v>
      </c>
      <c r="B79">
        <v>26357</v>
      </c>
      <c r="C79">
        <v>28</v>
      </c>
      <c r="D79">
        <v>17578</v>
      </c>
      <c r="E79">
        <v>22353</v>
      </c>
      <c r="W79" s="1">
        <v>41030</v>
      </c>
      <c r="X79">
        <v>16856</v>
      </c>
      <c r="Y79">
        <v>37066</v>
      </c>
      <c r="Z79">
        <v>12394</v>
      </c>
      <c r="AD79" s="1">
        <v>40695</v>
      </c>
      <c r="AE79">
        <v>30453</v>
      </c>
      <c r="AG79">
        <v>7592</v>
      </c>
      <c r="AH79">
        <v>13261</v>
      </c>
      <c r="AL79" s="1">
        <v>40695</v>
      </c>
      <c r="AM79">
        <v>26124</v>
      </c>
      <c r="AO79">
        <v>16989</v>
      </c>
      <c r="AP79">
        <v>26665</v>
      </c>
    </row>
    <row r="80" spans="1:42" x14ac:dyDescent="0.25">
      <c r="A80" s="1">
        <v>41061</v>
      </c>
      <c r="B80">
        <v>49421</v>
      </c>
      <c r="D80">
        <v>25831</v>
      </c>
      <c r="E80">
        <v>23679</v>
      </c>
      <c r="W80" s="1">
        <v>41061</v>
      </c>
      <c r="X80">
        <v>37261</v>
      </c>
      <c r="Y80">
        <v>46044</v>
      </c>
      <c r="Z80">
        <v>15626</v>
      </c>
      <c r="AD80" s="1">
        <v>40725</v>
      </c>
      <c r="AE80">
        <v>31433</v>
      </c>
      <c r="AG80">
        <v>6380</v>
      </c>
      <c r="AH80">
        <v>11117</v>
      </c>
      <c r="AL80" s="1">
        <v>40725</v>
      </c>
      <c r="AM80">
        <v>30974</v>
      </c>
      <c r="AO80">
        <v>15387</v>
      </c>
      <c r="AP80">
        <v>24085</v>
      </c>
    </row>
    <row r="81" spans="1:42" x14ac:dyDescent="0.25">
      <c r="A81" s="1">
        <v>41091</v>
      </c>
      <c r="B81">
        <v>37815</v>
      </c>
      <c r="D81">
        <v>18827</v>
      </c>
      <c r="E81">
        <v>21930</v>
      </c>
      <c r="W81" s="1">
        <v>41091</v>
      </c>
      <c r="X81">
        <v>26911</v>
      </c>
      <c r="Y81">
        <v>36784</v>
      </c>
      <c r="Z81">
        <v>14877</v>
      </c>
      <c r="AD81" s="1">
        <v>40756</v>
      </c>
      <c r="AE81">
        <v>41640</v>
      </c>
      <c r="AG81">
        <v>8952</v>
      </c>
      <c r="AH81">
        <v>12492</v>
      </c>
      <c r="AL81" s="1">
        <v>40756</v>
      </c>
      <c r="AM81">
        <v>35877</v>
      </c>
      <c r="AO81">
        <v>16908</v>
      </c>
      <c r="AP81">
        <v>26981</v>
      </c>
    </row>
    <row r="82" spans="1:42" x14ac:dyDescent="0.25">
      <c r="A82" s="1">
        <v>41122</v>
      </c>
      <c r="B82">
        <v>51040</v>
      </c>
      <c r="D82">
        <v>26774</v>
      </c>
      <c r="E82">
        <v>25715</v>
      </c>
      <c r="W82" s="1">
        <v>41122</v>
      </c>
      <c r="X82">
        <v>37843</v>
      </c>
      <c r="Y82">
        <v>51984</v>
      </c>
      <c r="Z82">
        <v>13702</v>
      </c>
      <c r="AD82" s="1">
        <v>40787</v>
      </c>
      <c r="AE82">
        <v>37088</v>
      </c>
      <c r="AG82">
        <v>9875</v>
      </c>
      <c r="AH82">
        <v>14123</v>
      </c>
      <c r="AL82" s="1">
        <v>40787</v>
      </c>
      <c r="AM82">
        <v>34579</v>
      </c>
      <c r="AO82">
        <v>18583</v>
      </c>
      <c r="AP82">
        <v>26476</v>
      </c>
    </row>
    <row r="83" spans="1:42" x14ac:dyDescent="0.25">
      <c r="A83" s="1">
        <v>41153</v>
      </c>
      <c r="B83">
        <v>34014</v>
      </c>
      <c r="D83">
        <v>25041</v>
      </c>
      <c r="E83">
        <v>20098</v>
      </c>
      <c r="W83" s="1">
        <v>41153</v>
      </c>
      <c r="X83">
        <v>23418</v>
      </c>
      <c r="Y83">
        <v>44391</v>
      </c>
      <c r="Z83">
        <v>11344</v>
      </c>
      <c r="AD83" s="1">
        <v>40817</v>
      </c>
      <c r="AE83">
        <v>36313</v>
      </c>
      <c r="AG83">
        <v>11433</v>
      </c>
      <c r="AH83">
        <v>14084</v>
      </c>
      <c r="AL83" s="1">
        <v>40817</v>
      </c>
      <c r="AM83">
        <v>40512</v>
      </c>
      <c r="AO83">
        <v>25002</v>
      </c>
      <c r="AP83">
        <v>26683</v>
      </c>
    </row>
    <row r="84" spans="1:42" x14ac:dyDescent="0.25">
      <c r="A84" s="1">
        <v>41183</v>
      </c>
      <c r="B84">
        <v>50866</v>
      </c>
      <c r="D84">
        <v>38833</v>
      </c>
      <c r="E84">
        <v>23340</v>
      </c>
      <c r="W84" s="1">
        <v>41183</v>
      </c>
      <c r="X84">
        <v>34325</v>
      </c>
      <c r="Y84">
        <v>66015</v>
      </c>
      <c r="Z84">
        <v>12699</v>
      </c>
      <c r="AD84" s="1">
        <v>40848</v>
      </c>
      <c r="AE84">
        <v>32247</v>
      </c>
      <c r="AG84">
        <v>22206</v>
      </c>
      <c r="AH84">
        <v>17551</v>
      </c>
      <c r="AL84" s="1">
        <v>40848</v>
      </c>
      <c r="AM84">
        <v>39519</v>
      </c>
      <c r="AO84">
        <v>40035</v>
      </c>
      <c r="AP84">
        <v>28920</v>
      </c>
    </row>
    <row r="85" spans="1:42" x14ac:dyDescent="0.25">
      <c r="A85" s="1">
        <v>41214</v>
      </c>
      <c r="B85">
        <v>70841</v>
      </c>
      <c r="C85">
        <v>1190</v>
      </c>
      <c r="D85">
        <v>49783</v>
      </c>
      <c r="E85">
        <v>40576</v>
      </c>
      <c r="W85" s="1">
        <v>41214</v>
      </c>
      <c r="X85">
        <v>46278</v>
      </c>
      <c r="Y85">
        <v>95074</v>
      </c>
      <c r="Z85">
        <v>21038</v>
      </c>
      <c r="AD85" s="1">
        <v>40878</v>
      </c>
      <c r="AE85">
        <v>24462</v>
      </c>
      <c r="AG85">
        <v>21822</v>
      </c>
      <c r="AH85">
        <v>20154</v>
      </c>
      <c r="AL85" s="1">
        <v>40878</v>
      </c>
      <c r="AM85">
        <v>45073</v>
      </c>
      <c r="AO85">
        <v>62449</v>
      </c>
      <c r="AP85">
        <v>35167</v>
      </c>
    </row>
    <row r="86" spans="1:42" x14ac:dyDescent="0.25">
      <c r="A86" s="1">
        <v>41244</v>
      </c>
      <c r="B86">
        <v>26902</v>
      </c>
      <c r="C86">
        <v>7</v>
      </c>
      <c r="D86">
        <v>23978</v>
      </c>
      <c r="E86">
        <v>16073</v>
      </c>
      <c r="W86" s="1">
        <v>41244</v>
      </c>
      <c r="X86">
        <v>16571</v>
      </c>
      <c r="Y86">
        <v>41588</v>
      </c>
      <c r="Z86">
        <v>8801</v>
      </c>
      <c r="AD86" s="1">
        <v>40909</v>
      </c>
      <c r="AE86">
        <v>25527</v>
      </c>
      <c r="AG86">
        <v>22762</v>
      </c>
      <c r="AH86">
        <v>21857</v>
      </c>
      <c r="AL86" s="1">
        <v>40909</v>
      </c>
      <c r="AM86">
        <v>43789</v>
      </c>
      <c r="AO86">
        <v>69339</v>
      </c>
      <c r="AP86">
        <v>36302</v>
      </c>
    </row>
    <row r="87" spans="1:42" x14ac:dyDescent="0.25">
      <c r="A87" s="1">
        <v>41275</v>
      </c>
      <c r="B87">
        <v>42899</v>
      </c>
      <c r="D87">
        <v>39760</v>
      </c>
      <c r="E87">
        <v>31891</v>
      </c>
      <c r="W87" s="1">
        <v>41275</v>
      </c>
      <c r="X87">
        <v>25177</v>
      </c>
      <c r="Y87">
        <v>73417</v>
      </c>
      <c r="Z87">
        <v>15956</v>
      </c>
      <c r="AD87" s="1">
        <v>40940</v>
      </c>
      <c r="AE87">
        <v>30765</v>
      </c>
      <c r="AG87">
        <v>25465</v>
      </c>
      <c r="AH87">
        <v>18923</v>
      </c>
      <c r="AL87" s="1">
        <v>40940</v>
      </c>
      <c r="AM87">
        <v>45234</v>
      </c>
      <c r="AO87">
        <v>68368</v>
      </c>
      <c r="AP87">
        <v>37421</v>
      </c>
    </row>
    <row r="88" spans="1:42" x14ac:dyDescent="0.25">
      <c r="A88" s="1">
        <v>41306</v>
      </c>
      <c r="B88">
        <v>41255</v>
      </c>
      <c r="D88">
        <v>38300</v>
      </c>
      <c r="E88">
        <v>28858</v>
      </c>
      <c r="W88" s="1">
        <v>41306</v>
      </c>
      <c r="X88">
        <v>25580</v>
      </c>
      <c r="Y88">
        <v>67911</v>
      </c>
      <c r="Z88">
        <v>14922</v>
      </c>
      <c r="AD88" s="1">
        <v>40969</v>
      </c>
      <c r="AE88">
        <v>21029</v>
      </c>
      <c r="AG88">
        <v>22392</v>
      </c>
      <c r="AH88">
        <v>20650</v>
      </c>
      <c r="AL88" s="1">
        <v>40969</v>
      </c>
      <c r="AM88">
        <v>37294</v>
      </c>
      <c r="AO88">
        <v>74896</v>
      </c>
      <c r="AP88">
        <v>41993</v>
      </c>
    </row>
    <row r="89" spans="1:42" x14ac:dyDescent="0.25">
      <c r="A89" s="1">
        <v>41334</v>
      </c>
      <c r="B89">
        <v>48881</v>
      </c>
      <c r="C89">
        <v>8</v>
      </c>
      <c r="D89">
        <v>48117</v>
      </c>
      <c r="E89">
        <v>30621</v>
      </c>
      <c r="W89" s="1">
        <v>41334</v>
      </c>
      <c r="X89">
        <v>28914</v>
      </c>
      <c r="Y89">
        <v>82614</v>
      </c>
      <c r="Z89">
        <v>16099</v>
      </c>
      <c r="AD89" s="1">
        <v>41000</v>
      </c>
      <c r="AE89">
        <v>20238</v>
      </c>
      <c r="AG89">
        <v>22169</v>
      </c>
      <c r="AH89">
        <v>23750</v>
      </c>
      <c r="AL89" s="1">
        <v>41000</v>
      </c>
      <c r="AM89">
        <v>43130</v>
      </c>
      <c r="AO89">
        <v>87727</v>
      </c>
      <c r="AP89">
        <v>46599</v>
      </c>
    </row>
    <row r="90" spans="1:42" x14ac:dyDescent="0.25">
      <c r="A90" s="1">
        <v>41365</v>
      </c>
      <c r="B90">
        <v>53226</v>
      </c>
      <c r="C90">
        <v>7</v>
      </c>
      <c r="D90">
        <v>40468</v>
      </c>
      <c r="E90">
        <v>33414</v>
      </c>
      <c r="W90" s="1">
        <v>41365</v>
      </c>
      <c r="X90">
        <v>35275</v>
      </c>
      <c r="Y90">
        <v>75037</v>
      </c>
      <c r="Z90">
        <v>16803</v>
      </c>
      <c r="AD90" s="1">
        <v>41030</v>
      </c>
      <c r="AE90">
        <v>24408</v>
      </c>
      <c r="AG90">
        <v>21904</v>
      </c>
      <c r="AH90">
        <v>22147</v>
      </c>
      <c r="AL90" s="1">
        <v>41030</v>
      </c>
      <c r="AM90">
        <v>56078</v>
      </c>
      <c r="AO90">
        <v>83635</v>
      </c>
      <c r="AP90">
        <v>44701</v>
      </c>
    </row>
    <row r="91" spans="1:42" x14ac:dyDescent="0.25">
      <c r="A91" s="1">
        <v>41395</v>
      </c>
      <c r="B91">
        <v>49248</v>
      </c>
      <c r="C91">
        <v>88</v>
      </c>
      <c r="D91">
        <v>26944</v>
      </c>
      <c r="E91">
        <v>28554</v>
      </c>
      <c r="W91" s="1">
        <v>41395</v>
      </c>
      <c r="X91">
        <v>34586</v>
      </c>
      <c r="Y91">
        <v>55021</v>
      </c>
      <c r="Z91">
        <v>15227</v>
      </c>
      <c r="AD91" s="1">
        <v>41061</v>
      </c>
      <c r="AE91">
        <v>32500</v>
      </c>
      <c r="AG91">
        <v>18591</v>
      </c>
      <c r="AH91">
        <v>20132</v>
      </c>
      <c r="AL91" s="1">
        <v>41061</v>
      </c>
      <c r="AM91">
        <v>54558</v>
      </c>
      <c r="AO91">
        <v>66120</v>
      </c>
      <c r="AP91">
        <v>41557</v>
      </c>
    </row>
    <row r="92" spans="1:42" x14ac:dyDescent="0.25">
      <c r="A92" s="1">
        <v>41426</v>
      </c>
      <c r="B92">
        <v>62348</v>
      </c>
      <c r="C92">
        <v>19</v>
      </c>
      <c r="D92">
        <v>33375</v>
      </c>
      <c r="E92">
        <v>30201</v>
      </c>
      <c r="W92" s="1">
        <v>41426</v>
      </c>
      <c r="X92">
        <v>44700</v>
      </c>
      <c r="Y92">
        <v>66427</v>
      </c>
      <c r="Z92">
        <v>14816</v>
      </c>
      <c r="AD92" s="1">
        <v>41091</v>
      </c>
      <c r="AE92">
        <v>40914</v>
      </c>
      <c r="AG92">
        <v>20169</v>
      </c>
      <c r="AH92">
        <v>20818</v>
      </c>
      <c r="AL92" s="1">
        <v>41091</v>
      </c>
      <c r="AM92">
        <v>63132</v>
      </c>
      <c r="AO92">
        <v>58704</v>
      </c>
      <c r="AP92">
        <v>42169</v>
      </c>
    </row>
    <row r="93" spans="1:42" x14ac:dyDescent="0.25">
      <c r="A93" s="1">
        <v>41456</v>
      </c>
      <c r="B93">
        <v>52562</v>
      </c>
      <c r="D93">
        <v>26413</v>
      </c>
      <c r="E93">
        <v>22463</v>
      </c>
      <c r="W93" s="1">
        <v>41456</v>
      </c>
      <c r="X93">
        <v>39068</v>
      </c>
      <c r="Y93">
        <v>51039</v>
      </c>
      <c r="Z93">
        <v>11331</v>
      </c>
      <c r="AD93" s="1">
        <v>41122</v>
      </c>
      <c r="AE93">
        <v>40188</v>
      </c>
      <c r="AG93">
        <v>20467</v>
      </c>
      <c r="AH93">
        <v>21157</v>
      </c>
      <c r="AL93" s="1">
        <v>41122</v>
      </c>
      <c r="AM93">
        <v>71358</v>
      </c>
      <c r="AO93">
        <v>68002</v>
      </c>
      <c r="AP93">
        <v>42658</v>
      </c>
    </row>
    <row r="94" spans="1:42" x14ac:dyDescent="0.25">
      <c r="A94" s="1">
        <v>41487</v>
      </c>
      <c r="B94">
        <v>62201</v>
      </c>
      <c r="C94">
        <v>1</v>
      </c>
      <c r="D94">
        <v>23108</v>
      </c>
      <c r="E94">
        <v>18785</v>
      </c>
      <c r="W94" s="1">
        <v>41487</v>
      </c>
      <c r="X94">
        <v>47444</v>
      </c>
      <c r="Y94">
        <v>46731</v>
      </c>
      <c r="Z94">
        <v>9920</v>
      </c>
      <c r="AD94" s="1">
        <v>41153</v>
      </c>
      <c r="AE94">
        <v>43003</v>
      </c>
      <c r="AG94">
        <v>25359</v>
      </c>
      <c r="AH94">
        <v>23362</v>
      </c>
      <c r="AL94" s="1">
        <v>41153</v>
      </c>
      <c r="AM94">
        <v>64773</v>
      </c>
      <c r="AO94">
        <v>62940</v>
      </c>
      <c r="AP94">
        <v>60637</v>
      </c>
    </row>
    <row r="95" spans="1:42" x14ac:dyDescent="0.25">
      <c r="A95" s="1">
        <v>41518</v>
      </c>
      <c r="B95">
        <v>44797</v>
      </c>
      <c r="C95">
        <v>90</v>
      </c>
      <c r="D95">
        <v>12617</v>
      </c>
      <c r="E95">
        <v>16394</v>
      </c>
      <c r="W95" s="1">
        <v>41518</v>
      </c>
      <c r="X95">
        <v>35267</v>
      </c>
      <c r="Y95">
        <v>30127</v>
      </c>
      <c r="Z95">
        <v>8504</v>
      </c>
      <c r="AD95" s="1">
        <v>41183</v>
      </c>
      <c r="AE95">
        <v>47014</v>
      </c>
      <c r="AG95">
        <v>33904</v>
      </c>
      <c r="AH95">
        <v>24936</v>
      </c>
      <c r="AL95" s="1">
        <v>41183</v>
      </c>
      <c r="AM95">
        <v>66759</v>
      </c>
      <c r="AO95">
        <v>77943</v>
      </c>
      <c r="AP95">
        <v>67250</v>
      </c>
    </row>
    <row r="96" spans="1:42" x14ac:dyDescent="0.25">
      <c r="A96" s="1">
        <v>41548</v>
      </c>
      <c r="B96">
        <v>41608</v>
      </c>
      <c r="D96">
        <v>8614</v>
      </c>
      <c r="E96">
        <v>13595</v>
      </c>
      <c r="W96" s="1">
        <v>41548</v>
      </c>
      <c r="X96">
        <v>33777</v>
      </c>
      <c r="Y96">
        <v>22632</v>
      </c>
      <c r="Z96">
        <v>7408</v>
      </c>
      <c r="AD96" s="1">
        <v>41214</v>
      </c>
      <c r="AE96">
        <v>49817</v>
      </c>
      <c r="AG96">
        <v>40037</v>
      </c>
      <c r="AH96">
        <v>26328</v>
      </c>
      <c r="AL96" s="1">
        <v>41214</v>
      </c>
      <c r="AM96">
        <v>54797</v>
      </c>
      <c r="AO96">
        <v>67527</v>
      </c>
      <c r="AP96">
        <v>63599</v>
      </c>
    </row>
    <row r="97" spans="1:42" x14ac:dyDescent="0.25">
      <c r="A97" s="1">
        <v>41579</v>
      </c>
      <c r="B97">
        <v>50491</v>
      </c>
      <c r="C97">
        <v>969</v>
      </c>
      <c r="D97">
        <v>7821</v>
      </c>
      <c r="E97">
        <v>12144</v>
      </c>
      <c r="W97" s="1">
        <v>41579</v>
      </c>
      <c r="X97">
        <v>40694</v>
      </c>
      <c r="Y97">
        <v>24532</v>
      </c>
      <c r="Z97">
        <v>6199</v>
      </c>
      <c r="AD97" s="1">
        <v>41244</v>
      </c>
      <c r="AE97">
        <v>49997</v>
      </c>
      <c r="AG97">
        <v>40485</v>
      </c>
      <c r="AH97">
        <v>29752</v>
      </c>
      <c r="AL97" s="1">
        <v>41244</v>
      </c>
      <c r="AM97">
        <v>58892</v>
      </c>
      <c r="AO97">
        <v>83263</v>
      </c>
      <c r="AP97">
        <v>74296</v>
      </c>
    </row>
    <row r="98" spans="1:42" x14ac:dyDescent="0.25">
      <c r="A98" s="1">
        <v>41609</v>
      </c>
      <c r="B98">
        <v>51152</v>
      </c>
      <c r="C98">
        <v>1125</v>
      </c>
      <c r="D98">
        <v>9232</v>
      </c>
      <c r="E98">
        <v>8436</v>
      </c>
      <c r="W98" s="1">
        <v>41609</v>
      </c>
      <c r="X98">
        <v>40788</v>
      </c>
      <c r="Y98">
        <v>25298</v>
      </c>
      <c r="Z98">
        <v>3859</v>
      </c>
      <c r="AD98" s="1">
        <v>41275</v>
      </c>
      <c r="AE98">
        <v>39735</v>
      </c>
      <c r="AG98">
        <v>36497</v>
      </c>
      <c r="AH98">
        <v>26820</v>
      </c>
      <c r="AL98" s="1">
        <v>41275</v>
      </c>
      <c r="AM98">
        <v>58734</v>
      </c>
      <c r="AO98">
        <v>84096</v>
      </c>
      <c r="AP98">
        <v>70012</v>
      </c>
    </row>
    <row r="99" spans="1:42" x14ac:dyDescent="0.25">
      <c r="A99" s="1">
        <v>41640</v>
      </c>
      <c r="B99">
        <v>41585</v>
      </c>
      <c r="D99">
        <v>8940</v>
      </c>
      <c r="E99">
        <v>10673</v>
      </c>
      <c r="W99" s="1">
        <v>41640</v>
      </c>
      <c r="X99">
        <v>32552</v>
      </c>
      <c r="Y99">
        <v>23301</v>
      </c>
      <c r="Z99">
        <v>5345</v>
      </c>
      <c r="AD99" s="1">
        <v>41306</v>
      </c>
      <c r="AE99">
        <v>44263</v>
      </c>
      <c r="AG99">
        <v>41281</v>
      </c>
      <c r="AH99">
        <v>27439</v>
      </c>
      <c r="AL99" s="1">
        <v>41306</v>
      </c>
      <c r="AM99">
        <v>56759</v>
      </c>
      <c r="AO99">
        <v>83542</v>
      </c>
      <c r="AP99">
        <v>71858</v>
      </c>
    </row>
    <row r="100" spans="1:42" x14ac:dyDescent="0.25">
      <c r="A100" s="1">
        <v>41671</v>
      </c>
      <c r="B100">
        <v>40661</v>
      </c>
      <c r="D100">
        <v>7816</v>
      </c>
      <c r="E100">
        <v>9613</v>
      </c>
      <c r="F100">
        <v>433</v>
      </c>
      <c r="W100" s="1">
        <v>41671</v>
      </c>
      <c r="X100">
        <v>32575</v>
      </c>
      <c r="Y100">
        <v>21236</v>
      </c>
      <c r="Z100">
        <v>4712</v>
      </c>
      <c r="AD100" s="1">
        <v>41334</v>
      </c>
      <c r="AE100">
        <v>42586</v>
      </c>
      <c r="AG100">
        <v>45862</v>
      </c>
      <c r="AH100">
        <v>29625</v>
      </c>
      <c r="AL100" s="1">
        <v>41334</v>
      </c>
      <c r="AM100">
        <v>42223</v>
      </c>
      <c r="AO100">
        <v>80177</v>
      </c>
      <c r="AP100">
        <v>73084</v>
      </c>
    </row>
    <row r="101" spans="1:42" x14ac:dyDescent="0.25">
      <c r="A101" s="1">
        <v>41699</v>
      </c>
      <c r="B101">
        <v>31931</v>
      </c>
      <c r="C101">
        <v>16</v>
      </c>
      <c r="D101">
        <v>2610</v>
      </c>
      <c r="E101">
        <v>2000</v>
      </c>
      <c r="F101">
        <v>7802</v>
      </c>
      <c r="W101" s="1">
        <v>41699</v>
      </c>
      <c r="X101">
        <v>25292</v>
      </c>
      <c r="Y101">
        <v>15910</v>
      </c>
      <c r="Z101">
        <v>3157</v>
      </c>
      <c r="AD101" s="1">
        <v>41365</v>
      </c>
      <c r="AE101">
        <v>46377</v>
      </c>
      <c r="AG101">
        <v>40421</v>
      </c>
      <c r="AH101">
        <v>29886</v>
      </c>
      <c r="AL101" s="1">
        <v>41365</v>
      </c>
      <c r="AM101">
        <v>39632</v>
      </c>
      <c r="AO101">
        <v>62542</v>
      </c>
      <c r="AP101">
        <v>64077</v>
      </c>
    </row>
    <row r="102" spans="1:42" x14ac:dyDescent="0.25">
      <c r="A102" s="1">
        <v>41730</v>
      </c>
      <c r="B102">
        <v>41535</v>
      </c>
      <c r="D102">
        <v>488</v>
      </c>
      <c r="E102">
        <v>203</v>
      </c>
      <c r="F102">
        <v>13317</v>
      </c>
      <c r="W102" s="1">
        <v>41730</v>
      </c>
      <c r="X102">
        <v>33556</v>
      </c>
      <c r="Y102">
        <v>18649</v>
      </c>
      <c r="Z102">
        <v>3338</v>
      </c>
      <c r="AD102" s="1">
        <v>41395</v>
      </c>
      <c r="AE102">
        <v>47960</v>
      </c>
      <c r="AG102">
        <v>30711</v>
      </c>
      <c r="AH102">
        <v>30220</v>
      </c>
      <c r="AL102" s="1">
        <v>41395</v>
      </c>
      <c r="AM102">
        <v>60513</v>
      </c>
      <c r="AO102">
        <v>70534</v>
      </c>
      <c r="AP102">
        <v>66704</v>
      </c>
    </row>
    <row r="103" spans="1:42" x14ac:dyDescent="0.25">
      <c r="A103" s="1">
        <v>41760</v>
      </c>
      <c r="B103">
        <v>44793</v>
      </c>
      <c r="D103">
        <v>144</v>
      </c>
      <c r="E103">
        <v>50</v>
      </c>
      <c r="F103">
        <v>13013</v>
      </c>
      <c r="W103" s="1">
        <v>41760</v>
      </c>
      <c r="X103">
        <v>36971</v>
      </c>
      <c r="Y103">
        <v>18072</v>
      </c>
      <c r="Z103">
        <v>2957</v>
      </c>
      <c r="AD103" s="1">
        <v>41426</v>
      </c>
      <c r="AE103">
        <v>48520</v>
      </c>
      <c r="AG103">
        <v>26806</v>
      </c>
      <c r="AH103">
        <v>28244</v>
      </c>
      <c r="AL103" s="1">
        <v>41426</v>
      </c>
      <c r="AM103">
        <v>70508</v>
      </c>
      <c r="AO103">
        <v>65961</v>
      </c>
      <c r="AP103">
        <v>64185</v>
      </c>
    </row>
    <row r="104" spans="1:42" x14ac:dyDescent="0.25">
      <c r="A104" s="1">
        <v>41791</v>
      </c>
      <c r="B104">
        <v>52858</v>
      </c>
      <c r="D104">
        <v>15</v>
      </c>
      <c r="E104">
        <v>13</v>
      </c>
      <c r="F104">
        <v>14294</v>
      </c>
      <c r="W104" s="1">
        <v>41791</v>
      </c>
      <c r="X104">
        <v>44546</v>
      </c>
      <c r="Y104">
        <v>19550</v>
      </c>
      <c r="Z104">
        <v>3084</v>
      </c>
      <c r="AD104" s="1">
        <v>41456</v>
      </c>
      <c r="AE104">
        <v>62247</v>
      </c>
      <c r="AG104">
        <v>32722</v>
      </c>
      <c r="AH104">
        <v>26787</v>
      </c>
      <c r="AL104" s="1">
        <v>41456</v>
      </c>
      <c r="AM104">
        <v>80327</v>
      </c>
      <c r="AO104">
        <v>61838</v>
      </c>
      <c r="AP104">
        <v>62288</v>
      </c>
    </row>
    <row r="105" spans="1:42" x14ac:dyDescent="0.25">
      <c r="A105" s="1">
        <v>41821</v>
      </c>
      <c r="B105">
        <v>55463</v>
      </c>
      <c r="D105">
        <v>20</v>
      </c>
      <c r="E105">
        <v>10</v>
      </c>
      <c r="F105">
        <v>13253</v>
      </c>
      <c r="W105" s="1">
        <v>41821</v>
      </c>
      <c r="X105">
        <v>47158</v>
      </c>
      <c r="Y105">
        <v>19246</v>
      </c>
      <c r="Z105">
        <v>2342</v>
      </c>
      <c r="AD105" s="1">
        <v>41487</v>
      </c>
      <c r="AE105">
        <v>60521</v>
      </c>
      <c r="AG105">
        <v>27485</v>
      </c>
      <c r="AH105">
        <v>23013</v>
      </c>
      <c r="AL105" s="1">
        <v>41487</v>
      </c>
      <c r="AM105">
        <v>86838</v>
      </c>
      <c r="AO105">
        <v>54706</v>
      </c>
      <c r="AP105">
        <v>57439</v>
      </c>
    </row>
    <row r="106" spans="1:42" x14ac:dyDescent="0.25">
      <c r="A106" s="1">
        <v>41852</v>
      </c>
      <c r="B106">
        <v>74711</v>
      </c>
      <c r="D106">
        <v>4942</v>
      </c>
      <c r="E106">
        <v>25</v>
      </c>
      <c r="F106">
        <v>15355</v>
      </c>
      <c r="W106" s="1">
        <v>41852</v>
      </c>
      <c r="X106">
        <v>58661</v>
      </c>
      <c r="Y106">
        <v>34153</v>
      </c>
      <c r="Z106">
        <v>2219</v>
      </c>
      <c r="AD106" s="1">
        <v>41518</v>
      </c>
      <c r="AE106">
        <v>56082</v>
      </c>
      <c r="AG106">
        <v>19112</v>
      </c>
      <c r="AH106">
        <v>20541</v>
      </c>
      <c r="AL106" s="1">
        <v>41518</v>
      </c>
      <c r="AM106">
        <v>91301</v>
      </c>
      <c r="AO106">
        <v>43768</v>
      </c>
      <c r="AP106">
        <v>49678</v>
      </c>
    </row>
    <row r="107" spans="1:42" x14ac:dyDescent="0.25">
      <c r="A107" s="1">
        <v>41883</v>
      </c>
      <c r="B107">
        <v>65252</v>
      </c>
      <c r="C107">
        <v>1</v>
      </c>
      <c r="D107">
        <v>1198</v>
      </c>
      <c r="E107">
        <v>11</v>
      </c>
      <c r="F107">
        <v>16781</v>
      </c>
      <c r="W107" s="1">
        <v>41883</v>
      </c>
      <c r="X107">
        <v>53474</v>
      </c>
      <c r="Y107">
        <v>27138</v>
      </c>
      <c r="Z107">
        <v>2631</v>
      </c>
      <c r="AD107" s="1">
        <v>41548</v>
      </c>
      <c r="AE107">
        <v>49157</v>
      </c>
      <c r="AG107">
        <v>11604</v>
      </c>
      <c r="AH107">
        <v>15993</v>
      </c>
      <c r="AL107" s="1">
        <v>41548</v>
      </c>
      <c r="AM107">
        <v>91705</v>
      </c>
      <c r="AO107">
        <v>30822</v>
      </c>
      <c r="AP107">
        <v>40554</v>
      </c>
    </row>
    <row r="108" spans="1:42" x14ac:dyDescent="0.25">
      <c r="A108" s="1">
        <v>41913</v>
      </c>
      <c r="B108">
        <v>64996</v>
      </c>
      <c r="D108">
        <v>302</v>
      </c>
      <c r="E108">
        <v>33</v>
      </c>
      <c r="F108">
        <v>18205</v>
      </c>
      <c r="W108" s="1">
        <v>41913</v>
      </c>
      <c r="X108">
        <v>52441</v>
      </c>
      <c r="Y108">
        <v>28527</v>
      </c>
      <c r="Z108">
        <v>2568</v>
      </c>
      <c r="AD108" s="1">
        <v>41579</v>
      </c>
      <c r="AE108">
        <v>41646</v>
      </c>
      <c r="AG108">
        <v>7900</v>
      </c>
      <c r="AH108">
        <v>12082</v>
      </c>
      <c r="AL108" s="1">
        <v>41579</v>
      </c>
      <c r="AM108">
        <v>77750</v>
      </c>
      <c r="AO108">
        <v>21446</v>
      </c>
      <c r="AP108">
        <v>33744</v>
      </c>
    </row>
    <row r="109" spans="1:42" x14ac:dyDescent="0.25">
      <c r="A109" s="1">
        <v>41944</v>
      </c>
      <c r="B109">
        <v>60127</v>
      </c>
      <c r="C109">
        <v>3</v>
      </c>
      <c r="D109">
        <v>67</v>
      </c>
      <c r="E109">
        <v>15</v>
      </c>
      <c r="F109">
        <v>17771</v>
      </c>
      <c r="W109" s="1">
        <v>41944</v>
      </c>
      <c r="X109">
        <v>48167</v>
      </c>
      <c r="Y109">
        <v>27618</v>
      </c>
      <c r="Z109">
        <v>2198</v>
      </c>
      <c r="AD109" s="1">
        <v>41609</v>
      </c>
      <c r="AE109">
        <v>45669</v>
      </c>
      <c r="AG109">
        <v>8033</v>
      </c>
      <c r="AH109">
        <v>10922</v>
      </c>
      <c r="AL109" s="1">
        <v>41609</v>
      </c>
      <c r="AM109">
        <v>71683</v>
      </c>
      <c r="AO109">
        <v>19444</v>
      </c>
      <c r="AP109">
        <v>32773</v>
      </c>
    </row>
    <row r="110" spans="1:42" x14ac:dyDescent="0.25">
      <c r="A110" s="1">
        <v>41974</v>
      </c>
      <c r="B110">
        <v>48738</v>
      </c>
      <c r="C110">
        <v>1</v>
      </c>
      <c r="D110">
        <v>18</v>
      </c>
      <c r="E110">
        <v>1</v>
      </c>
      <c r="F110">
        <v>20639</v>
      </c>
      <c r="W110" s="1">
        <v>41974</v>
      </c>
      <c r="X110">
        <v>37180</v>
      </c>
      <c r="Y110">
        <v>29951</v>
      </c>
      <c r="Z110">
        <v>2266</v>
      </c>
      <c r="AD110" s="1">
        <v>41640</v>
      </c>
      <c r="AE110">
        <v>45740</v>
      </c>
      <c r="AG110">
        <v>9674</v>
      </c>
      <c r="AH110">
        <v>9751</v>
      </c>
      <c r="AL110" s="1">
        <v>41640</v>
      </c>
      <c r="AM110">
        <v>55718</v>
      </c>
      <c r="AO110">
        <v>18437</v>
      </c>
      <c r="AP110">
        <v>28222</v>
      </c>
    </row>
    <row r="111" spans="1:42" x14ac:dyDescent="0.25">
      <c r="A111" s="1">
        <v>42005</v>
      </c>
      <c r="B111">
        <v>49656</v>
      </c>
      <c r="C111">
        <v>1</v>
      </c>
      <c r="D111">
        <v>67</v>
      </c>
      <c r="E111">
        <v>17</v>
      </c>
      <c r="F111">
        <v>20018</v>
      </c>
      <c r="W111" s="1">
        <v>42005</v>
      </c>
      <c r="X111">
        <v>37274</v>
      </c>
      <c r="Y111">
        <v>30559</v>
      </c>
      <c r="Z111">
        <v>1926</v>
      </c>
      <c r="AD111" s="1">
        <v>41671</v>
      </c>
      <c r="AE111">
        <v>48083</v>
      </c>
      <c r="AG111">
        <v>9770</v>
      </c>
      <c r="AH111">
        <v>9671</v>
      </c>
      <c r="AL111" s="1">
        <v>41671</v>
      </c>
      <c r="AM111">
        <v>56034</v>
      </c>
      <c r="AO111">
        <v>17008</v>
      </c>
      <c r="AP111">
        <v>26633</v>
      </c>
    </row>
    <row r="112" spans="1:42" x14ac:dyDescent="0.25">
      <c r="A112" s="1">
        <v>42036</v>
      </c>
      <c r="B112">
        <v>63470</v>
      </c>
      <c r="C112">
        <v>9</v>
      </c>
      <c r="D112">
        <v>7528</v>
      </c>
      <c r="E112">
        <v>26</v>
      </c>
      <c r="F112">
        <v>26307</v>
      </c>
      <c r="W112" s="1">
        <v>42036</v>
      </c>
      <c r="X112">
        <v>41840</v>
      </c>
      <c r="Y112">
        <v>53289</v>
      </c>
      <c r="Z112">
        <v>2211</v>
      </c>
      <c r="AD112" s="1">
        <v>41699</v>
      </c>
      <c r="AE112">
        <v>32180</v>
      </c>
      <c r="AG112">
        <v>6588</v>
      </c>
      <c r="AH112">
        <v>8095</v>
      </c>
      <c r="AL112" s="1">
        <v>41699</v>
      </c>
      <c r="AM112">
        <v>39691</v>
      </c>
      <c r="AO112">
        <v>13934</v>
      </c>
      <c r="AP112">
        <v>22506</v>
      </c>
    </row>
    <row r="113" spans="1:42" x14ac:dyDescent="0.25">
      <c r="A113" s="1">
        <v>42064</v>
      </c>
      <c r="B113">
        <v>43920</v>
      </c>
      <c r="C113">
        <v>3319</v>
      </c>
      <c r="D113">
        <v>34</v>
      </c>
      <c r="F113">
        <v>27603</v>
      </c>
      <c r="W113" s="1">
        <v>42064</v>
      </c>
      <c r="X113">
        <v>29926</v>
      </c>
      <c r="Y113">
        <v>43003</v>
      </c>
      <c r="Z113">
        <v>1947</v>
      </c>
      <c r="AD113" s="1">
        <v>41730</v>
      </c>
      <c r="AE113">
        <v>34462</v>
      </c>
      <c r="AG113">
        <v>9473</v>
      </c>
      <c r="AH113">
        <v>3315</v>
      </c>
      <c r="AL113" s="1">
        <v>41730</v>
      </c>
      <c r="AM113">
        <v>40882</v>
      </c>
      <c r="AO113">
        <v>12746</v>
      </c>
      <c r="AP113">
        <v>19121</v>
      </c>
    </row>
    <row r="114" spans="1:42" x14ac:dyDescent="0.25">
      <c r="A114" s="1">
        <v>42095</v>
      </c>
      <c r="B114">
        <v>57744</v>
      </c>
      <c r="D114">
        <v>1</v>
      </c>
      <c r="E114">
        <v>1</v>
      </c>
      <c r="F114">
        <v>38841</v>
      </c>
      <c r="W114" s="1">
        <v>42095</v>
      </c>
      <c r="X114">
        <v>40194</v>
      </c>
      <c r="Y114">
        <v>54294</v>
      </c>
      <c r="Z114">
        <v>2099</v>
      </c>
      <c r="AD114" s="1">
        <v>41760</v>
      </c>
      <c r="AE114">
        <v>46337</v>
      </c>
      <c r="AG114">
        <v>11593</v>
      </c>
      <c r="AH114">
        <v>3393</v>
      </c>
      <c r="AL114" s="1">
        <v>41760</v>
      </c>
      <c r="AM114">
        <v>52579</v>
      </c>
      <c r="AO114">
        <v>14488</v>
      </c>
      <c r="AP114">
        <v>20629</v>
      </c>
    </row>
    <row r="115" spans="1:42" x14ac:dyDescent="0.25">
      <c r="A115" s="1">
        <v>42125</v>
      </c>
      <c r="B115">
        <v>63761</v>
      </c>
      <c r="D115">
        <v>211</v>
      </c>
      <c r="F115">
        <v>32819</v>
      </c>
      <c r="W115" s="1">
        <v>42125</v>
      </c>
      <c r="X115">
        <v>45666</v>
      </c>
      <c r="Y115">
        <v>49112</v>
      </c>
      <c r="Z115">
        <v>2013</v>
      </c>
      <c r="AD115" s="1">
        <v>41791</v>
      </c>
      <c r="AE115">
        <v>49505</v>
      </c>
      <c r="AG115">
        <v>11234</v>
      </c>
      <c r="AH115">
        <v>3248</v>
      </c>
      <c r="AL115" s="1">
        <v>41791</v>
      </c>
      <c r="AM115">
        <v>60064</v>
      </c>
      <c r="AO115">
        <v>14305</v>
      </c>
      <c r="AP115">
        <v>19641</v>
      </c>
    </row>
    <row r="116" spans="1:42" x14ac:dyDescent="0.25">
      <c r="A116" s="1">
        <v>42156</v>
      </c>
      <c r="B116">
        <v>74200</v>
      </c>
      <c r="D116">
        <v>2804</v>
      </c>
      <c r="E116">
        <v>2</v>
      </c>
      <c r="F116">
        <v>29652</v>
      </c>
      <c r="W116" s="1">
        <v>42156</v>
      </c>
      <c r="X116">
        <v>53369</v>
      </c>
      <c r="Y116">
        <v>51430</v>
      </c>
      <c r="Z116">
        <v>1859</v>
      </c>
      <c r="AD116" s="1">
        <v>41821</v>
      </c>
      <c r="AE116">
        <v>55296</v>
      </c>
      <c r="AG116">
        <v>10540</v>
      </c>
      <c r="AH116">
        <v>2784</v>
      </c>
      <c r="AL116" s="1">
        <v>41821</v>
      </c>
      <c r="AM116">
        <v>71732</v>
      </c>
      <c r="AO116">
        <v>15182</v>
      </c>
      <c r="AP116">
        <v>19650</v>
      </c>
    </row>
    <row r="117" spans="1:42" x14ac:dyDescent="0.25">
      <c r="A117" s="1">
        <v>42186</v>
      </c>
      <c r="B117">
        <v>77621</v>
      </c>
      <c r="D117">
        <v>1279</v>
      </c>
      <c r="F117">
        <v>24711</v>
      </c>
      <c r="W117" s="1">
        <v>42186</v>
      </c>
      <c r="X117">
        <v>58490</v>
      </c>
      <c r="Y117">
        <v>43435</v>
      </c>
      <c r="Z117">
        <v>1686</v>
      </c>
      <c r="AD117" s="1">
        <v>41852</v>
      </c>
      <c r="AE117">
        <v>65987</v>
      </c>
      <c r="AG117">
        <v>13459</v>
      </c>
      <c r="AH117">
        <v>2417</v>
      </c>
      <c r="AL117" s="1">
        <v>41852</v>
      </c>
      <c r="AM117">
        <v>78272</v>
      </c>
      <c r="AO117">
        <v>17576</v>
      </c>
      <c r="AP117">
        <v>21026</v>
      </c>
    </row>
    <row r="118" spans="1:42" x14ac:dyDescent="0.25">
      <c r="A118" s="1">
        <v>42217</v>
      </c>
      <c r="B118">
        <v>68006</v>
      </c>
      <c r="F118">
        <v>17994</v>
      </c>
      <c r="W118" s="1">
        <v>42217</v>
      </c>
      <c r="X118">
        <v>50580</v>
      </c>
      <c r="Y118">
        <v>34021</v>
      </c>
      <c r="Z118">
        <v>1399</v>
      </c>
      <c r="AD118" s="1">
        <v>41883</v>
      </c>
      <c r="AE118">
        <v>67292</v>
      </c>
      <c r="AG118">
        <v>14181</v>
      </c>
      <c r="AH118">
        <v>2312</v>
      </c>
      <c r="AL118" s="1">
        <v>41883</v>
      </c>
      <c r="AM118">
        <v>76943</v>
      </c>
      <c r="AO118">
        <v>18183</v>
      </c>
      <c r="AP118">
        <v>22613</v>
      </c>
    </row>
    <row r="119" spans="1:42" x14ac:dyDescent="0.25">
      <c r="A119" s="1">
        <v>42248</v>
      </c>
      <c r="B119">
        <v>75190</v>
      </c>
      <c r="D119">
        <v>11</v>
      </c>
      <c r="F119">
        <v>18141</v>
      </c>
      <c r="W119" s="1">
        <v>42248</v>
      </c>
      <c r="X119">
        <v>62040</v>
      </c>
      <c r="Y119">
        <v>29633</v>
      </c>
      <c r="Z119">
        <v>1669</v>
      </c>
      <c r="AD119" s="1">
        <v>41913</v>
      </c>
      <c r="AE119">
        <v>63700</v>
      </c>
      <c r="AG119">
        <v>14351</v>
      </c>
      <c r="AH119">
        <v>2380</v>
      </c>
      <c r="AL119" s="1">
        <v>41913</v>
      </c>
      <c r="AM119">
        <v>72571</v>
      </c>
      <c r="AO119">
        <v>39009</v>
      </c>
      <c r="AP119">
        <v>3822</v>
      </c>
    </row>
    <row r="120" spans="1:42" x14ac:dyDescent="0.25">
      <c r="A120" s="1">
        <v>42278</v>
      </c>
      <c r="B120">
        <v>72819</v>
      </c>
      <c r="D120">
        <v>531</v>
      </c>
      <c r="F120">
        <v>17495</v>
      </c>
      <c r="W120" s="1">
        <v>42278</v>
      </c>
      <c r="X120">
        <v>56968</v>
      </c>
      <c r="Y120">
        <v>32151</v>
      </c>
      <c r="Z120">
        <v>1726</v>
      </c>
      <c r="AD120" s="1">
        <v>41944</v>
      </c>
      <c r="AE120">
        <v>59685</v>
      </c>
      <c r="AG120">
        <v>15344</v>
      </c>
      <c r="AH120">
        <v>2381</v>
      </c>
      <c r="AL120" s="1">
        <v>41944</v>
      </c>
      <c r="AM120">
        <v>67442</v>
      </c>
      <c r="AO120">
        <v>41903</v>
      </c>
      <c r="AP120">
        <v>3734</v>
      </c>
    </row>
    <row r="121" spans="1:42" x14ac:dyDescent="0.25">
      <c r="A121" s="1">
        <v>42309</v>
      </c>
      <c r="B121">
        <v>61380</v>
      </c>
      <c r="C121">
        <v>116</v>
      </c>
      <c r="E121">
        <v>63</v>
      </c>
      <c r="F121">
        <v>17242</v>
      </c>
      <c r="W121" s="1">
        <v>42309</v>
      </c>
      <c r="X121">
        <v>45390</v>
      </c>
      <c r="Y121">
        <v>32016</v>
      </c>
      <c r="Z121">
        <v>1395</v>
      </c>
      <c r="AD121" s="1">
        <v>41974</v>
      </c>
      <c r="AE121">
        <v>54341</v>
      </c>
      <c r="AG121">
        <v>15891</v>
      </c>
      <c r="AH121">
        <v>2277</v>
      </c>
      <c r="AL121" s="1">
        <v>41974</v>
      </c>
      <c r="AM121">
        <v>70617</v>
      </c>
      <c r="AO121">
        <v>43011</v>
      </c>
      <c r="AP121">
        <v>3478</v>
      </c>
    </row>
    <row r="122" spans="1:42" x14ac:dyDescent="0.25">
      <c r="A122" s="1">
        <v>42339</v>
      </c>
      <c r="B122">
        <v>56308</v>
      </c>
      <c r="E122">
        <v>5</v>
      </c>
      <c r="F122">
        <v>17651</v>
      </c>
      <c r="W122" s="1">
        <v>42339</v>
      </c>
      <c r="X122">
        <v>41614</v>
      </c>
      <c r="Y122">
        <v>31162</v>
      </c>
      <c r="Z122">
        <v>1188</v>
      </c>
      <c r="AD122" s="1">
        <v>42005</v>
      </c>
      <c r="AE122">
        <v>47249</v>
      </c>
      <c r="AG122">
        <v>19500</v>
      </c>
      <c r="AH122">
        <v>1975</v>
      </c>
      <c r="AL122" s="1">
        <v>42005</v>
      </c>
      <c r="AM122">
        <v>57379</v>
      </c>
      <c r="AO122">
        <v>46727</v>
      </c>
      <c r="AP122">
        <v>2955</v>
      </c>
    </row>
    <row r="123" spans="1:42" x14ac:dyDescent="0.25">
      <c r="A123" s="1">
        <v>42370</v>
      </c>
      <c r="B123">
        <v>38576</v>
      </c>
      <c r="F123">
        <v>10736</v>
      </c>
      <c r="W123" s="1">
        <v>42370</v>
      </c>
      <c r="X123">
        <v>28453</v>
      </c>
      <c r="Y123">
        <v>20137</v>
      </c>
      <c r="Z123">
        <v>722</v>
      </c>
      <c r="AD123" s="1">
        <v>42036</v>
      </c>
      <c r="AE123">
        <v>50077</v>
      </c>
      <c r="AG123">
        <v>18810</v>
      </c>
      <c r="AH123">
        <v>2128</v>
      </c>
      <c r="AL123" s="1">
        <v>42036</v>
      </c>
      <c r="AM123">
        <v>65620</v>
      </c>
      <c r="AO123">
        <v>54114</v>
      </c>
      <c r="AP123">
        <v>3183</v>
      </c>
    </row>
    <row r="124" spans="1:42" x14ac:dyDescent="0.25">
      <c r="AD124" s="1">
        <v>42064</v>
      </c>
      <c r="AE124">
        <v>39430</v>
      </c>
      <c r="AG124">
        <v>22277</v>
      </c>
      <c r="AH124">
        <v>1852</v>
      </c>
      <c r="AL124" s="1">
        <v>42064</v>
      </c>
      <c r="AM124">
        <v>45536</v>
      </c>
      <c r="AO124">
        <v>50538</v>
      </c>
      <c r="AP124">
        <v>2758</v>
      </c>
    </row>
    <row r="125" spans="1:42" x14ac:dyDescent="0.25">
      <c r="AD125" s="1">
        <v>42095</v>
      </c>
      <c r="AE125">
        <v>45765</v>
      </c>
      <c r="AG125">
        <v>33106</v>
      </c>
      <c r="AH125">
        <v>1910</v>
      </c>
      <c r="AL125" s="1">
        <v>42095</v>
      </c>
      <c r="AM125">
        <v>47059</v>
      </c>
      <c r="AO125">
        <v>70674</v>
      </c>
      <c r="AP125">
        <v>2890</v>
      </c>
    </row>
    <row r="126" spans="1:42" x14ac:dyDescent="0.25">
      <c r="AD126" s="1">
        <v>42125</v>
      </c>
      <c r="AE126">
        <v>63287</v>
      </c>
      <c r="AG126">
        <v>37447</v>
      </c>
      <c r="AH126">
        <v>2169</v>
      </c>
      <c r="AL126" s="1">
        <v>42125</v>
      </c>
      <c r="AM126">
        <v>64171</v>
      </c>
      <c r="AO126">
        <v>78177</v>
      </c>
      <c r="AP126">
        <v>3285</v>
      </c>
    </row>
    <row r="127" spans="1:42" x14ac:dyDescent="0.25">
      <c r="AD127" s="1">
        <v>42156</v>
      </c>
      <c r="AE127">
        <v>66830</v>
      </c>
      <c r="AG127">
        <v>28536</v>
      </c>
      <c r="AH127">
        <v>2004</v>
      </c>
      <c r="AL127" s="1">
        <v>42156</v>
      </c>
      <c r="AM127">
        <v>67676</v>
      </c>
      <c r="AO127">
        <v>60562</v>
      </c>
      <c r="AP127">
        <v>2905</v>
      </c>
    </row>
    <row r="128" spans="1:42" x14ac:dyDescent="0.25">
      <c r="AD128" s="1">
        <v>42186</v>
      </c>
      <c r="AE128">
        <v>70152</v>
      </c>
      <c r="AG128">
        <v>24520</v>
      </c>
      <c r="AH128">
        <v>1721</v>
      </c>
      <c r="AL128" s="1">
        <v>42186</v>
      </c>
      <c r="AM128">
        <v>78212</v>
      </c>
      <c r="AO128">
        <v>56416</v>
      </c>
      <c r="AP128">
        <v>2527</v>
      </c>
    </row>
    <row r="129" spans="30:42" x14ac:dyDescent="0.25">
      <c r="AD129" s="1">
        <v>42217</v>
      </c>
      <c r="AE129">
        <v>73089</v>
      </c>
      <c r="AG129">
        <v>19762</v>
      </c>
      <c r="AH129">
        <v>1641</v>
      </c>
      <c r="AL129" s="1">
        <v>42217</v>
      </c>
      <c r="AM129">
        <v>93543</v>
      </c>
      <c r="AO129">
        <v>55180</v>
      </c>
      <c r="AP129">
        <v>2529</v>
      </c>
    </row>
    <row r="130" spans="30:42" x14ac:dyDescent="0.25">
      <c r="AD130" s="1">
        <v>42248</v>
      </c>
      <c r="AE130">
        <v>71662</v>
      </c>
      <c r="AG130">
        <v>15711</v>
      </c>
      <c r="AH130">
        <v>1471</v>
      </c>
      <c r="AL130" s="1">
        <v>42248</v>
      </c>
      <c r="AM130">
        <v>87144</v>
      </c>
      <c r="AO130">
        <v>47513</v>
      </c>
      <c r="AP130">
        <v>2316</v>
      </c>
    </row>
    <row r="131" spans="30:42" x14ac:dyDescent="0.25">
      <c r="AD131" s="1">
        <v>42278</v>
      </c>
      <c r="AE131">
        <v>69102</v>
      </c>
      <c r="AG131">
        <v>15047</v>
      </c>
      <c r="AH131">
        <v>1498</v>
      </c>
      <c r="AL131" s="1">
        <v>42278</v>
      </c>
      <c r="AM131">
        <v>78995</v>
      </c>
      <c r="AO131">
        <v>44660</v>
      </c>
      <c r="AP131">
        <v>2363</v>
      </c>
    </row>
    <row r="132" spans="30:42" x14ac:dyDescent="0.25">
      <c r="AD132" s="1">
        <v>42309</v>
      </c>
      <c r="AE132">
        <v>65190</v>
      </c>
      <c r="AG132">
        <v>16140</v>
      </c>
      <c r="AH132">
        <v>1452</v>
      </c>
      <c r="AL132" s="1">
        <v>42309</v>
      </c>
      <c r="AM132">
        <v>74401</v>
      </c>
      <c r="AO132">
        <v>46143</v>
      </c>
      <c r="AP132">
        <v>2226</v>
      </c>
    </row>
    <row r="133" spans="30:42" x14ac:dyDescent="0.25">
      <c r="AD133" s="1">
        <v>42339</v>
      </c>
      <c r="AE133">
        <v>61618</v>
      </c>
      <c r="AG133">
        <v>17122</v>
      </c>
      <c r="AH133">
        <v>1357</v>
      </c>
      <c r="AL133" s="1">
        <v>42339</v>
      </c>
      <c r="AM133">
        <v>66295</v>
      </c>
      <c r="AO133">
        <v>46372</v>
      </c>
      <c r="AP133">
        <v>2112</v>
      </c>
    </row>
    <row r="134" spans="30:42" x14ac:dyDescent="0.25">
      <c r="AD134" s="1">
        <v>42370</v>
      </c>
      <c r="AE134">
        <v>43151</v>
      </c>
      <c r="AG134">
        <v>13678</v>
      </c>
      <c r="AH134">
        <v>961</v>
      </c>
      <c r="AL134" s="1">
        <v>42370</v>
      </c>
      <c r="AM134">
        <v>45494</v>
      </c>
      <c r="AO134">
        <v>35833</v>
      </c>
      <c r="AP134">
        <v>1626</v>
      </c>
    </row>
    <row r="135" spans="30:42" x14ac:dyDescent="0.25">
      <c r="AD135" s="1">
        <v>42401</v>
      </c>
      <c r="AE135">
        <v>21694</v>
      </c>
      <c r="AG135">
        <v>5279</v>
      </c>
      <c r="AH135">
        <v>434</v>
      </c>
      <c r="AL135" s="1">
        <v>42401</v>
      </c>
      <c r="AM135">
        <v>23227</v>
      </c>
      <c r="AO135">
        <v>17971</v>
      </c>
      <c r="AP135">
        <v>1089</v>
      </c>
    </row>
    <row r="136" spans="30:42" x14ac:dyDescent="0.25">
      <c r="AD136" s="1">
        <v>42430</v>
      </c>
      <c r="AE136">
        <v>26</v>
      </c>
      <c r="AG136">
        <v>15</v>
      </c>
      <c r="AH136">
        <v>1</v>
      </c>
      <c r="AL136" s="1">
        <v>42430</v>
      </c>
      <c r="AM136">
        <v>67</v>
      </c>
      <c r="AO136">
        <v>204</v>
      </c>
      <c r="AP136">
        <v>12</v>
      </c>
    </row>
    <row r="137" spans="30:42" x14ac:dyDescent="0.25">
      <c r="AL137" s="1" t="s">
        <v>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T79"/>
  <sheetViews>
    <sheetView topLeftCell="A23" workbookViewId="0">
      <selection activeCell="BK35" sqref="BK35"/>
    </sheetView>
  </sheetViews>
  <sheetFormatPr defaultRowHeight="15" x14ac:dyDescent="0.25"/>
  <cols>
    <col min="1" max="1" width="10.42578125" bestFit="1" customWidth="1"/>
    <col min="2" max="2" width="18.42578125" bestFit="1" customWidth="1"/>
    <col min="3" max="3" width="14.28515625" bestFit="1" customWidth="1"/>
    <col min="6" max="6" width="18.42578125" bestFit="1" customWidth="1"/>
    <col min="7" max="7" width="14.28515625" bestFit="1" customWidth="1"/>
  </cols>
  <sheetData>
    <row r="2" spans="3:10" x14ac:dyDescent="0.25">
      <c r="C2">
        <f>C3-C4</f>
        <v>1679.9</v>
      </c>
      <c r="D2">
        <f>C2/6</f>
        <v>279.98333333333335</v>
      </c>
      <c r="E2">
        <f>D2/2</f>
        <v>139.99166666666667</v>
      </c>
      <c r="I2">
        <v>300</v>
      </c>
      <c r="J2">
        <f>I2/8</f>
        <v>37.5</v>
      </c>
    </row>
    <row r="3" spans="3:10" x14ac:dyDescent="0.25">
      <c r="C3">
        <v>2243.8000000000002</v>
      </c>
      <c r="D3">
        <f>C3/6</f>
        <v>373.9666666666667</v>
      </c>
      <c r="E3">
        <f>D3/2</f>
        <v>186.98333333333335</v>
      </c>
    </row>
    <row r="4" spans="3:10" x14ac:dyDescent="0.25">
      <c r="C4">
        <v>563.9</v>
      </c>
      <c r="D4">
        <f>C4/6</f>
        <v>93.983333333333334</v>
      </c>
    </row>
    <row r="5" spans="3:10" x14ac:dyDescent="0.25">
      <c r="D5">
        <v>225</v>
      </c>
      <c r="E5">
        <f>D5/2</f>
        <v>112.5</v>
      </c>
    </row>
    <row r="6" spans="3:10" x14ac:dyDescent="0.25">
      <c r="E6">
        <f>E3+E5</f>
        <v>299.48333333333335</v>
      </c>
    </row>
    <row r="10" spans="3:10" x14ac:dyDescent="0.25">
      <c r="F10">
        <v>2.7829999999999999</v>
      </c>
      <c r="G10">
        <v>2.7829999999999999</v>
      </c>
    </row>
    <row r="11" spans="3:10" x14ac:dyDescent="0.25">
      <c r="F11">
        <v>93.6</v>
      </c>
      <c r="G11">
        <f>G12-G10</f>
        <v>1.0369999999999999</v>
      </c>
    </row>
    <row r="12" spans="3:10" x14ac:dyDescent="0.25">
      <c r="F12">
        <f>F10+F11/100</f>
        <v>3.7189999999999999</v>
      </c>
      <c r="G12">
        <v>3.82</v>
      </c>
    </row>
    <row r="18" spans="1:11" x14ac:dyDescent="0.25">
      <c r="A18" t="s">
        <v>17</v>
      </c>
      <c r="B18">
        <v>2.9119506998989602</v>
      </c>
      <c r="C18">
        <v>3.82</v>
      </c>
      <c r="D18">
        <v>1</v>
      </c>
      <c r="E18">
        <v>0.2</v>
      </c>
      <c r="F18">
        <v>1</v>
      </c>
      <c r="G18">
        <v>0.58239013997979205</v>
      </c>
      <c r="H18">
        <v>0.2</v>
      </c>
      <c r="I18">
        <v>0</v>
      </c>
      <c r="J18">
        <v>0</v>
      </c>
      <c r="K18">
        <v>0.88815502678196001</v>
      </c>
    </row>
    <row r="19" spans="1:11" x14ac:dyDescent="0.25">
      <c r="A19" t="s">
        <v>18</v>
      </c>
      <c r="B19">
        <v>2.88545680781831</v>
      </c>
      <c r="C19">
        <v>3.82</v>
      </c>
      <c r="D19">
        <v>2</v>
      </c>
      <c r="E19">
        <v>0.2</v>
      </c>
      <c r="F19">
        <v>2</v>
      </c>
      <c r="G19">
        <v>1.1594815015434541</v>
      </c>
      <c r="H19">
        <v>0.4</v>
      </c>
      <c r="I19">
        <v>0</v>
      </c>
      <c r="J19">
        <v>0</v>
      </c>
      <c r="K19">
        <v>0.88815502678196001</v>
      </c>
    </row>
    <row r="20" spans="1:11" x14ac:dyDescent="0.25">
      <c r="A20" t="s">
        <v>19</v>
      </c>
      <c r="B20">
        <v>2.8978342309890999</v>
      </c>
      <c r="C20">
        <v>3.82</v>
      </c>
      <c r="D20">
        <v>5</v>
      </c>
      <c r="E20">
        <v>0.2</v>
      </c>
      <c r="F20">
        <v>3</v>
      </c>
      <c r="G20">
        <v>1.7390483477412739</v>
      </c>
      <c r="H20">
        <v>0.60000000000000009</v>
      </c>
      <c r="I20">
        <v>0</v>
      </c>
      <c r="J20">
        <v>0</v>
      </c>
      <c r="K20">
        <v>0.88815502678196001</v>
      </c>
    </row>
    <row r="21" spans="1:11" x14ac:dyDescent="0.25">
      <c r="A21" t="s">
        <v>20</v>
      </c>
      <c r="B21">
        <v>2.8424738889513801</v>
      </c>
      <c r="C21">
        <v>3.82</v>
      </c>
      <c r="D21">
        <v>6</v>
      </c>
      <c r="E21">
        <v>0.2</v>
      </c>
      <c r="F21">
        <v>4</v>
      </c>
      <c r="G21">
        <v>2.3075431255315499</v>
      </c>
      <c r="H21">
        <v>0.8</v>
      </c>
      <c r="I21">
        <v>2.8844289069144371</v>
      </c>
      <c r="J21">
        <v>0.93557109308556274</v>
      </c>
      <c r="K21">
        <v>0.93557109308556274</v>
      </c>
    </row>
    <row r="27" spans="1:11" x14ac:dyDescent="0.25">
      <c r="B27" t="s">
        <v>0</v>
      </c>
      <c r="C27" t="s">
        <v>1</v>
      </c>
    </row>
    <row r="28" spans="1:11" x14ac:dyDescent="0.25">
      <c r="B28">
        <v>1071585</v>
      </c>
      <c r="C28" t="s">
        <v>3</v>
      </c>
      <c r="D28">
        <v>1</v>
      </c>
    </row>
    <row r="29" spans="1:11" x14ac:dyDescent="0.25">
      <c r="B29">
        <v>1270049</v>
      </c>
      <c r="C29" t="s">
        <v>5</v>
      </c>
      <c r="D29">
        <v>1</v>
      </c>
    </row>
    <row r="30" spans="1:11" x14ac:dyDescent="0.25">
      <c r="B30">
        <v>7769037</v>
      </c>
      <c r="C30" t="s">
        <v>2</v>
      </c>
      <c r="D30">
        <v>1</v>
      </c>
    </row>
    <row r="31" spans="1:11" x14ac:dyDescent="0.25">
      <c r="B31">
        <v>1512868</v>
      </c>
      <c r="C31" t="s">
        <v>4</v>
      </c>
      <c r="D31">
        <v>1</v>
      </c>
    </row>
    <row r="32" spans="1:11" x14ac:dyDescent="0.25">
      <c r="B32">
        <v>450103</v>
      </c>
      <c r="C32" t="s">
        <v>6</v>
      </c>
    </row>
    <row r="34" spans="2:20" x14ac:dyDescent="0.25">
      <c r="B34" s="6" t="s">
        <v>0</v>
      </c>
      <c r="C34" t="s">
        <v>13</v>
      </c>
    </row>
    <row r="35" spans="2:20" x14ac:dyDescent="0.25">
      <c r="B35" s="6">
        <v>743314</v>
      </c>
      <c r="C35" t="s">
        <v>14</v>
      </c>
    </row>
    <row r="36" spans="2:20" x14ac:dyDescent="0.25">
      <c r="B36" s="6">
        <v>4968713</v>
      </c>
      <c r="C36" t="s">
        <v>16</v>
      </c>
    </row>
    <row r="37" spans="2:20" x14ac:dyDescent="0.25">
      <c r="B37" s="6">
        <v>6361615</v>
      </c>
      <c r="C37" t="s">
        <v>15</v>
      </c>
    </row>
    <row r="41" spans="2:20" x14ac:dyDescent="0.25">
      <c r="G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2:20" x14ac:dyDescent="0.25">
      <c r="G42" s="8"/>
    </row>
    <row r="43" spans="2:20" x14ac:dyDescent="0.25">
      <c r="B43" s="13" t="s">
        <v>33</v>
      </c>
      <c r="C43" s="13"/>
      <c r="D43" s="13"/>
      <c r="E43" s="13"/>
      <c r="F43" s="13"/>
      <c r="G43" s="13"/>
    </row>
    <row r="44" spans="2:20" x14ac:dyDescent="0.25">
      <c r="B44" t="s">
        <v>31</v>
      </c>
      <c r="F44">
        <v>2015</v>
      </c>
      <c r="G44" s="8"/>
    </row>
    <row r="45" spans="2:20" x14ac:dyDescent="0.25">
      <c r="B45" t="s">
        <v>13</v>
      </c>
      <c r="C45" s="6" t="s">
        <v>27</v>
      </c>
      <c r="F45" t="s">
        <v>13</v>
      </c>
      <c r="G45" s="8" t="s">
        <v>27</v>
      </c>
    </row>
    <row r="46" spans="2:20" x14ac:dyDescent="0.25">
      <c r="B46" t="s">
        <v>14</v>
      </c>
      <c r="C46" s="6">
        <v>1412406</v>
      </c>
      <c r="F46" t="s">
        <v>14</v>
      </c>
      <c r="G46" s="6">
        <v>45056</v>
      </c>
    </row>
    <row r="47" spans="2:20" x14ac:dyDescent="0.25">
      <c r="B47" t="s">
        <v>16</v>
      </c>
      <c r="C47" s="6">
        <v>5701166</v>
      </c>
      <c r="F47" t="s">
        <v>16</v>
      </c>
      <c r="G47" s="6">
        <v>629706</v>
      </c>
    </row>
    <row r="48" spans="2:20" x14ac:dyDescent="0.25">
      <c r="B48" t="s">
        <v>28</v>
      </c>
      <c r="C48" s="6">
        <v>4306137</v>
      </c>
      <c r="F48" t="s">
        <v>28</v>
      </c>
      <c r="G48" s="6">
        <v>295887</v>
      </c>
    </row>
    <row r="49" spans="2:7" x14ac:dyDescent="0.25">
      <c r="B49" t="s">
        <v>30</v>
      </c>
      <c r="C49" s="6">
        <v>5961898</v>
      </c>
      <c r="F49" t="s">
        <v>15</v>
      </c>
      <c r="G49" s="6">
        <v>463837</v>
      </c>
    </row>
    <row r="50" spans="2:7" x14ac:dyDescent="0.25">
      <c r="C50" s="7">
        <f>SUM(C46:C49)</f>
        <v>17381607</v>
      </c>
      <c r="G50" s="7">
        <f>SUM(G46:G49)</f>
        <v>1434486</v>
      </c>
    </row>
    <row r="51" spans="2:7" x14ac:dyDescent="0.25">
      <c r="G51" s="8"/>
    </row>
    <row r="52" spans="2:7" x14ac:dyDescent="0.25">
      <c r="B52" t="s">
        <v>13</v>
      </c>
      <c r="C52" t="s">
        <v>27</v>
      </c>
      <c r="G52" s="8"/>
    </row>
    <row r="53" spans="2:7" x14ac:dyDescent="0.25">
      <c r="C53">
        <v>17381607</v>
      </c>
    </row>
    <row r="56" spans="2:7" x14ac:dyDescent="0.25">
      <c r="B56" t="s">
        <v>13</v>
      </c>
      <c r="C56" t="s">
        <v>27</v>
      </c>
      <c r="F56" t="s">
        <v>13</v>
      </c>
      <c r="G56" t="s">
        <v>27</v>
      </c>
    </row>
    <row r="57" spans="2:7" x14ac:dyDescent="0.25">
      <c r="B57" t="s">
        <v>14</v>
      </c>
      <c r="C57" s="6">
        <v>1448911</v>
      </c>
      <c r="F57" t="s">
        <v>14</v>
      </c>
      <c r="G57" s="6">
        <v>45105</v>
      </c>
    </row>
    <row r="58" spans="2:7" x14ac:dyDescent="0.25">
      <c r="B58" t="s">
        <v>16</v>
      </c>
      <c r="C58" s="6">
        <v>5701166</v>
      </c>
      <c r="F58" t="s">
        <v>16</v>
      </c>
      <c r="G58" s="6">
        <v>629706</v>
      </c>
    </row>
    <row r="59" spans="2:7" x14ac:dyDescent="0.25">
      <c r="B59" t="s">
        <v>15</v>
      </c>
      <c r="C59" s="6">
        <v>10150562</v>
      </c>
      <c r="F59" t="s">
        <v>30</v>
      </c>
      <c r="G59" s="6">
        <v>759675</v>
      </c>
    </row>
    <row r="60" spans="2:7" x14ac:dyDescent="0.25">
      <c r="B60" t="s">
        <v>29</v>
      </c>
      <c r="C60" s="6">
        <v>80968</v>
      </c>
      <c r="F60" t="s">
        <v>29</v>
      </c>
      <c r="G60" s="6">
        <v>0</v>
      </c>
    </row>
    <row r="61" spans="2:7" x14ac:dyDescent="0.25">
      <c r="C61" s="7">
        <f>SUM(C57:C60)</f>
        <v>17381607</v>
      </c>
    </row>
    <row r="66" spans="2:8" x14ac:dyDescent="0.25">
      <c r="B66" s="13" t="s">
        <v>32</v>
      </c>
      <c r="C66" s="13"/>
      <c r="D66" s="13"/>
      <c r="E66" s="13"/>
      <c r="F66" s="13"/>
      <c r="G66" s="13"/>
    </row>
    <row r="67" spans="2:8" x14ac:dyDescent="0.25">
      <c r="B67" t="s">
        <v>1</v>
      </c>
      <c r="C67" t="s">
        <v>27</v>
      </c>
      <c r="F67" t="s">
        <v>1</v>
      </c>
      <c r="G67" t="s">
        <v>27</v>
      </c>
    </row>
    <row r="68" spans="2:8" x14ac:dyDescent="0.25">
      <c r="B68" t="s">
        <v>2</v>
      </c>
      <c r="C68" s="6">
        <v>7769037</v>
      </c>
      <c r="F68" t="s">
        <v>2</v>
      </c>
      <c r="G68" s="6">
        <v>4968713</v>
      </c>
    </row>
    <row r="69" spans="2:8" x14ac:dyDescent="0.25">
      <c r="B69" t="s">
        <v>3</v>
      </c>
      <c r="C69" s="6">
        <v>1071585</v>
      </c>
      <c r="F69" t="s">
        <v>3</v>
      </c>
      <c r="G69" s="6">
        <v>2623503</v>
      </c>
    </row>
    <row r="70" spans="2:8" x14ac:dyDescent="0.25">
      <c r="B70" t="s">
        <v>24</v>
      </c>
      <c r="C70" s="6">
        <v>1506286</v>
      </c>
      <c r="F70" t="s">
        <v>24</v>
      </c>
      <c r="G70" s="6">
        <v>2450387</v>
      </c>
    </row>
    <row r="71" spans="2:8" x14ac:dyDescent="0.25">
      <c r="B71" t="s">
        <v>37</v>
      </c>
      <c r="C71" s="6">
        <v>1261952</v>
      </c>
      <c r="F71" t="s">
        <v>37</v>
      </c>
      <c r="G71" s="6">
        <v>1268450</v>
      </c>
    </row>
    <row r="72" spans="2:8" x14ac:dyDescent="0.25">
      <c r="B72" t="s">
        <v>6</v>
      </c>
      <c r="C72" s="6">
        <v>464782</v>
      </c>
      <c r="F72" t="s">
        <v>6</v>
      </c>
      <c r="G72" s="6">
        <v>762589</v>
      </c>
    </row>
    <row r="73" spans="2:8" x14ac:dyDescent="0.25">
      <c r="C73" s="7">
        <f>SUM(C68:C72)</f>
        <v>12073642</v>
      </c>
      <c r="D73">
        <f>C71/C73</f>
        <v>0.10452123725384602</v>
      </c>
      <c r="G73" s="7">
        <f>SUM(G68:G72)</f>
        <v>12073642</v>
      </c>
      <c r="H73">
        <f>G71/G73</f>
        <v>0.1050594344274909</v>
      </c>
    </row>
    <row r="75" spans="2:8" x14ac:dyDescent="0.25">
      <c r="B75">
        <v>2013</v>
      </c>
    </row>
    <row r="76" spans="2:8" x14ac:dyDescent="0.25">
      <c r="B76" t="s">
        <v>1</v>
      </c>
      <c r="C76" t="s">
        <v>27</v>
      </c>
      <c r="F76" t="s">
        <v>1</v>
      </c>
      <c r="G76" t="s">
        <v>27</v>
      </c>
    </row>
    <row r="77" spans="2:8" x14ac:dyDescent="0.25">
      <c r="B77" t="s">
        <v>2</v>
      </c>
      <c r="C77" s="6">
        <v>545032</v>
      </c>
      <c r="F77" t="s">
        <v>2</v>
      </c>
      <c r="G77" s="6">
        <v>387414</v>
      </c>
    </row>
    <row r="78" spans="2:8" x14ac:dyDescent="0.25">
      <c r="B78" t="s">
        <v>24</v>
      </c>
      <c r="C78" s="6">
        <v>254757</v>
      </c>
      <c r="F78" t="s">
        <v>24</v>
      </c>
      <c r="G78" s="6">
        <v>255263</v>
      </c>
    </row>
    <row r="79" spans="2:8" x14ac:dyDescent="0.25">
      <c r="B79" t="s">
        <v>37</v>
      </c>
      <c r="C79" s="6">
        <v>291937</v>
      </c>
      <c r="F79" t="s">
        <v>37</v>
      </c>
      <c r="G79" s="6">
        <v>449049</v>
      </c>
    </row>
  </sheetData>
  <mergeCells count="2">
    <mergeCell ref="B43:G43"/>
    <mergeCell ref="B66:G66"/>
  </mergeCells>
  <pageMargins left="0.7" right="0.7" top="0.75" bottom="0.75" header="0.3" footer="0.3"/>
  <pageSetup scale="3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23"/>
  <sheetViews>
    <sheetView topLeftCell="G1" workbookViewId="0">
      <selection activeCell="BK35" sqref="BK35"/>
    </sheetView>
  </sheetViews>
  <sheetFormatPr defaultRowHeight="15" x14ac:dyDescent="0.25"/>
  <cols>
    <col min="1" max="1" width="9.7109375" style="1" bestFit="1" customWidth="1"/>
    <col min="2" max="2" width="9.140625" customWidth="1"/>
    <col min="9" max="9" width="9.7109375" style="1" bestFit="1" customWidth="1"/>
    <col min="17" max="17" width="9.7109375" style="1" bestFit="1" customWidth="1"/>
  </cols>
  <sheetData>
    <row r="1" spans="1:20" x14ac:dyDescent="0.25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36</v>
      </c>
      <c r="J1" t="s">
        <v>16</v>
      </c>
      <c r="K1" t="s">
        <v>15</v>
      </c>
      <c r="L1" t="s">
        <v>14</v>
      </c>
      <c r="M1" t="s">
        <v>36</v>
      </c>
      <c r="R1" t="s">
        <v>32</v>
      </c>
      <c r="S1" t="s">
        <v>33</v>
      </c>
      <c r="T1" t="s">
        <v>34</v>
      </c>
    </row>
    <row r="2" spans="1:20" x14ac:dyDescent="0.25">
      <c r="A2" s="1">
        <v>38687</v>
      </c>
      <c r="B2">
        <v>116679</v>
      </c>
      <c r="C2">
        <v>19057</v>
      </c>
      <c r="G2">
        <f>SUM(B2:F2)</f>
        <v>135736</v>
      </c>
      <c r="I2" s="1">
        <v>38687</v>
      </c>
      <c r="J2">
        <v>69801</v>
      </c>
      <c r="K2">
        <v>64164</v>
      </c>
      <c r="L2">
        <v>1771</v>
      </c>
      <c r="M2">
        <f>SUM(J2:L2)</f>
        <v>135736</v>
      </c>
      <c r="Q2" s="1">
        <v>38687</v>
      </c>
      <c r="R2">
        <f t="shared" ref="R2:R33" si="0">VLOOKUP(Q2,A:F,5,0)</f>
        <v>0</v>
      </c>
      <c r="S2">
        <f t="shared" ref="S2:S33" si="1">VLOOKUP(Q2,I:M,4,0)</f>
        <v>1771</v>
      </c>
    </row>
    <row r="3" spans="1:20" x14ac:dyDescent="0.25">
      <c r="A3" s="1">
        <v>38718</v>
      </c>
      <c r="B3">
        <v>101038</v>
      </c>
      <c r="C3">
        <v>15165</v>
      </c>
      <c r="G3">
        <f t="shared" ref="G3:G66" si="2">SUM(B3:F3)</f>
        <v>116203</v>
      </c>
      <c r="I3" s="1">
        <v>38718</v>
      </c>
      <c r="J3">
        <v>56048</v>
      </c>
      <c r="K3">
        <v>58448</v>
      </c>
      <c r="L3">
        <v>1707</v>
      </c>
      <c r="M3">
        <f t="shared" ref="M3:M66" si="3">SUM(J3:L3)</f>
        <v>116203</v>
      </c>
      <c r="Q3" s="1">
        <v>38718</v>
      </c>
      <c r="R3">
        <f t="shared" si="0"/>
        <v>0</v>
      </c>
      <c r="S3">
        <f t="shared" si="1"/>
        <v>1707</v>
      </c>
    </row>
    <row r="4" spans="1:20" x14ac:dyDescent="0.25">
      <c r="A4" s="1">
        <v>38749</v>
      </c>
      <c r="B4">
        <v>85924</v>
      </c>
      <c r="C4">
        <v>13726</v>
      </c>
      <c r="G4">
        <f t="shared" si="2"/>
        <v>99650</v>
      </c>
      <c r="I4" s="1">
        <v>38749</v>
      </c>
      <c r="J4">
        <v>48505</v>
      </c>
      <c r="K4">
        <v>49549</v>
      </c>
      <c r="L4">
        <v>1596</v>
      </c>
      <c r="M4">
        <f t="shared" si="3"/>
        <v>99650</v>
      </c>
      <c r="Q4" s="1">
        <v>38749</v>
      </c>
      <c r="R4">
        <f t="shared" si="0"/>
        <v>0</v>
      </c>
      <c r="S4">
        <f t="shared" si="1"/>
        <v>1596</v>
      </c>
    </row>
    <row r="5" spans="1:20" x14ac:dyDescent="0.25">
      <c r="A5" s="1">
        <v>38777</v>
      </c>
      <c r="B5">
        <v>85045</v>
      </c>
      <c r="C5">
        <v>13317</v>
      </c>
      <c r="G5">
        <f t="shared" si="2"/>
        <v>98362</v>
      </c>
      <c r="I5" s="1">
        <v>38777</v>
      </c>
      <c r="J5">
        <v>45628</v>
      </c>
      <c r="K5">
        <v>50913</v>
      </c>
      <c r="L5">
        <v>1821</v>
      </c>
      <c r="M5">
        <f t="shared" si="3"/>
        <v>98362</v>
      </c>
      <c r="Q5" s="1">
        <v>38777</v>
      </c>
      <c r="R5">
        <f t="shared" si="0"/>
        <v>0</v>
      </c>
      <c r="S5">
        <f t="shared" si="1"/>
        <v>1821</v>
      </c>
    </row>
    <row r="6" spans="1:20" x14ac:dyDescent="0.25">
      <c r="A6" s="1">
        <v>38808</v>
      </c>
      <c r="B6">
        <v>91876</v>
      </c>
      <c r="C6">
        <v>13740</v>
      </c>
      <c r="G6">
        <f t="shared" si="2"/>
        <v>105616</v>
      </c>
      <c r="I6" s="1">
        <v>38808</v>
      </c>
      <c r="J6">
        <v>50072</v>
      </c>
      <c r="K6">
        <v>54093</v>
      </c>
      <c r="L6">
        <v>1451</v>
      </c>
      <c r="M6">
        <f t="shared" si="3"/>
        <v>105616</v>
      </c>
      <c r="Q6" s="1">
        <v>38808</v>
      </c>
      <c r="R6">
        <f t="shared" si="0"/>
        <v>0</v>
      </c>
      <c r="S6">
        <f t="shared" si="1"/>
        <v>1451</v>
      </c>
    </row>
    <row r="7" spans="1:20" x14ac:dyDescent="0.25">
      <c r="A7" s="1">
        <v>38838</v>
      </c>
      <c r="B7">
        <v>83181</v>
      </c>
      <c r="C7">
        <v>11485</v>
      </c>
      <c r="G7">
        <f t="shared" si="2"/>
        <v>94666</v>
      </c>
      <c r="I7" s="1">
        <v>38838</v>
      </c>
      <c r="J7">
        <v>50281</v>
      </c>
      <c r="K7">
        <v>43099</v>
      </c>
      <c r="L7">
        <v>1286</v>
      </c>
      <c r="M7">
        <f t="shared" si="3"/>
        <v>94666</v>
      </c>
      <c r="Q7" s="1">
        <v>38838</v>
      </c>
      <c r="R7">
        <f t="shared" si="0"/>
        <v>0</v>
      </c>
      <c r="S7">
        <f t="shared" si="1"/>
        <v>1286</v>
      </c>
    </row>
    <row r="8" spans="1:20" x14ac:dyDescent="0.25">
      <c r="A8" s="1">
        <v>38869</v>
      </c>
      <c r="B8">
        <v>96000</v>
      </c>
      <c r="C8">
        <v>11763</v>
      </c>
      <c r="G8">
        <f t="shared" si="2"/>
        <v>107763</v>
      </c>
      <c r="I8" s="1">
        <v>38869</v>
      </c>
      <c r="J8">
        <v>60815</v>
      </c>
      <c r="K8">
        <v>45484</v>
      </c>
      <c r="L8">
        <v>1464</v>
      </c>
      <c r="M8">
        <f t="shared" si="3"/>
        <v>107763</v>
      </c>
      <c r="Q8" s="1">
        <v>38869</v>
      </c>
      <c r="R8">
        <f t="shared" si="0"/>
        <v>0</v>
      </c>
      <c r="S8">
        <f t="shared" si="1"/>
        <v>1464</v>
      </c>
    </row>
    <row r="9" spans="1:20" x14ac:dyDescent="0.25">
      <c r="A9" s="1">
        <v>38899</v>
      </c>
      <c r="B9">
        <v>94899</v>
      </c>
      <c r="C9">
        <v>10532</v>
      </c>
      <c r="G9">
        <f t="shared" si="2"/>
        <v>105431</v>
      </c>
      <c r="I9" s="1">
        <v>38899</v>
      </c>
      <c r="J9">
        <v>62896</v>
      </c>
      <c r="K9">
        <v>41248</v>
      </c>
      <c r="L9">
        <v>1287</v>
      </c>
      <c r="M9">
        <f t="shared" si="3"/>
        <v>105431</v>
      </c>
      <c r="Q9" s="1">
        <v>38899</v>
      </c>
      <c r="R9">
        <f t="shared" si="0"/>
        <v>0</v>
      </c>
      <c r="S9">
        <f t="shared" si="1"/>
        <v>1287</v>
      </c>
    </row>
    <row r="10" spans="1:20" x14ac:dyDescent="0.25">
      <c r="A10" s="1">
        <v>38930</v>
      </c>
      <c r="B10">
        <v>106784</v>
      </c>
      <c r="C10">
        <v>11293</v>
      </c>
      <c r="G10">
        <f t="shared" si="2"/>
        <v>118077</v>
      </c>
      <c r="I10" s="1">
        <v>38930</v>
      </c>
      <c r="J10">
        <v>74272</v>
      </c>
      <c r="K10">
        <v>42532</v>
      </c>
      <c r="L10">
        <v>1273</v>
      </c>
      <c r="M10">
        <f t="shared" si="3"/>
        <v>118077</v>
      </c>
      <c r="Q10" s="1">
        <v>38930</v>
      </c>
      <c r="R10">
        <f t="shared" si="0"/>
        <v>0</v>
      </c>
      <c r="S10">
        <f t="shared" si="1"/>
        <v>1273</v>
      </c>
    </row>
    <row r="11" spans="1:20" x14ac:dyDescent="0.25">
      <c r="A11" s="1">
        <v>38961</v>
      </c>
      <c r="B11">
        <v>107277</v>
      </c>
      <c r="C11">
        <v>11420</v>
      </c>
      <c r="G11">
        <f t="shared" si="2"/>
        <v>118697</v>
      </c>
      <c r="I11" s="1">
        <v>38961</v>
      </c>
      <c r="J11">
        <v>74289</v>
      </c>
      <c r="K11">
        <v>43129</v>
      </c>
      <c r="L11">
        <v>1279</v>
      </c>
      <c r="M11">
        <f t="shared" si="3"/>
        <v>118697</v>
      </c>
      <c r="Q11" s="1">
        <v>38961</v>
      </c>
      <c r="R11">
        <f t="shared" si="0"/>
        <v>0</v>
      </c>
      <c r="S11">
        <f t="shared" si="1"/>
        <v>1279</v>
      </c>
    </row>
    <row r="12" spans="1:20" x14ac:dyDescent="0.25">
      <c r="A12" s="1">
        <v>38991</v>
      </c>
      <c r="B12">
        <v>92041</v>
      </c>
      <c r="C12">
        <v>11613</v>
      </c>
      <c r="G12">
        <f t="shared" si="2"/>
        <v>103654</v>
      </c>
      <c r="I12" s="1">
        <v>38991</v>
      </c>
      <c r="J12">
        <v>59427</v>
      </c>
      <c r="K12">
        <v>43075</v>
      </c>
      <c r="L12">
        <v>1152</v>
      </c>
      <c r="M12">
        <f t="shared" si="3"/>
        <v>103654</v>
      </c>
      <c r="Q12" s="1">
        <v>38991</v>
      </c>
      <c r="R12">
        <f t="shared" si="0"/>
        <v>0</v>
      </c>
      <c r="S12">
        <f t="shared" si="1"/>
        <v>1152</v>
      </c>
    </row>
    <row r="13" spans="1:20" x14ac:dyDescent="0.25">
      <c r="A13" s="1">
        <v>39022</v>
      </c>
      <c r="B13">
        <v>83109</v>
      </c>
      <c r="C13">
        <v>13547</v>
      </c>
      <c r="G13">
        <f t="shared" si="2"/>
        <v>96656</v>
      </c>
      <c r="I13" s="1">
        <v>39022</v>
      </c>
      <c r="J13">
        <v>48845</v>
      </c>
      <c r="K13">
        <v>46704</v>
      </c>
      <c r="L13">
        <v>1107</v>
      </c>
      <c r="M13">
        <f t="shared" si="3"/>
        <v>96656</v>
      </c>
      <c r="Q13" s="1">
        <v>39022</v>
      </c>
      <c r="R13">
        <f t="shared" si="0"/>
        <v>0</v>
      </c>
      <c r="S13">
        <f t="shared" si="1"/>
        <v>1107</v>
      </c>
    </row>
    <row r="14" spans="1:20" x14ac:dyDescent="0.25">
      <c r="A14" s="1">
        <v>39052</v>
      </c>
      <c r="B14">
        <v>109560</v>
      </c>
      <c r="C14">
        <v>18639</v>
      </c>
      <c r="G14">
        <f t="shared" si="2"/>
        <v>128199</v>
      </c>
      <c r="I14" s="1">
        <v>39052</v>
      </c>
      <c r="J14">
        <v>65808</v>
      </c>
      <c r="K14">
        <v>60968</v>
      </c>
      <c r="L14">
        <v>1423</v>
      </c>
      <c r="M14">
        <f t="shared" si="3"/>
        <v>128199</v>
      </c>
      <c r="Q14" s="1">
        <v>39052</v>
      </c>
      <c r="R14">
        <f t="shared" si="0"/>
        <v>0</v>
      </c>
      <c r="S14">
        <f t="shared" si="1"/>
        <v>1423</v>
      </c>
    </row>
    <row r="15" spans="1:20" x14ac:dyDescent="0.25">
      <c r="A15" s="1">
        <v>39083</v>
      </c>
      <c r="B15">
        <v>90090</v>
      </c>
      <c r="C15">
        <v>16054</v>
      </c>
      <c r="G15">
        <f t="shared" si="2"/>
        <v>106144</v>
      </c>
      <c r="I15" s="1">
        <v>39083</v>
      </c>
      <c r="J15">
        <v>52477</v>
      </c>
      <c r="K15">
        <v>52621</v>
      </c>
      <c r="L15">
        <v>1046</v>
      </c>
      <c r="M15">
        <f t="shared" si="3"/>
        <v>106144</v>
      </c>
      <c r="Q15" s="1">
        <v>39083</v>
      </c>
      <c r="R15">
        <f t="shared" si="0"/>
        <v>0</v>
      </c>
      <c r="S15">
        <f t="shared" si="1"/>
        <v>1046</v>
      </c>
    </row>
    <row r="16" spans="1:20" x14ac:dyDescent="0.25">
      <c r="A16" s="1">
        <v>39114</v>
      </c>
      <c r="B16">
        <v>105785</v>
      </c>
      <c r="C16">
        <v>23045</v>
      </c>
      <c r="G16">
        <f t="shared" si="2"/>
        <v>128830</v>
      </c>
      <c r="I16" s="1">
        <v>39114</v>
      </c>
      <c r="J16">
        <v>56557</v>
      </c>
      <c r="K16">
        <v>71070</v>
      </c>
      <c r="L16">
        <v>1203</v>
      </c>
      <c r="M16">
        <f t="shared" si="3"/>
        <v>128830</v>
      </c>
      <c r="Q16" s="1">
        <v>39114</v>
      </c>
      <c r="R16">
        <f t="shared" si="0"/>
        <v>0</v>
      </c>
      <c r="S16">
        <f t="shared" si="1"/>
        <v>1203</v>
      </c>
    </row>
    <row r="17" spans="1:19" x14ac:dyDescent="0.25">
      <c r="A17" s="1">
        <v>39142</v>
      </c>
      <c r="B17">
        <v>107547</v>
      </c>
      <c r="C17">
        <v>21585</v>
      </c>
      <c r="G17">
        <f t="shared" si="2"/>
        <v>129132</v>
      </c>
      <c r="I17" s="1">
        <v>39142</v>
      </c>
      <c r="J17">
        <v>60614</v>
      </c>
      <c r="K17">
        <v>67164</v>
      </c>
      <c r="L17">
        <v>1354</v>
      </c>
      <c r="M17">
        <f t="shared" si="3"/>
        <v>129132</v>
      </c>
      <c r="Q17" s="1">
        <v>39142</v>
      </c>
      <c r="R17">
        <f t="shared" si="0"/>
        <v>0</v>
      </c>
      <c r="S17">
        <f t="shared" si="1"/>
        <v>1354</v>
      </c>
    </row>
    <row r="18" spans="1:19" x14ac:dyDescent="0.25">
      <c r="A18" s="1">
        <v>39173</v>
      </c>
      <c r="B18">
        <v>100318</v>
      </c>
      <c r="C18">
        <v>20927</v>
      </c>
      <c r="G18">
        <f t="shared" si="2"/>
        <v>121245</v>
      </c>
      <c r="I18" s="1">
        <v>39173</v>
      </c>
      <c r="J18">
        <v>55862</v>
      </c>
      <c r="K18">
        <v>64185</v>
      </c>
      <c r="L18">
        <v>1198</v>
      </c>
      <c r="M18">
        <f t="shared" si="3"/>
        <v>121245</v>
      </c>
      <c r="Q18" s="1">
        <v>39173</v>
      </c>
      <c r="R18">
        <f t="shared" si="0"/>
        <v>0</v>
      </c>
      <c r="S18">
        <f t="shared" si="1"/>
        <v>1198</v>
      </c>
    </row>
    <row r="19" spans="1:19" x14ac:dyDescent="0.25">
      <c r="A19" s="1">
        <v>39203</v>
      </c>
      <c r="B19">
        <v>111446</v>
      </c>
      <c r="C19">
        <v>23119</v>
      </c>
      <c r="G19">
        <f t="shared" si="2"/>
        <v>134565</v>
      </c>
      <c r="I19" s="1">
        <v>39203</v>
      </c>
      <c r="J19">
        <v>63827</v>
      </c>
      <c r="K19">
        <v>69464</v>
      </c>
      <c r="L19">
        <v>1274</v>
      </c>
      <c r="M19">
        <f t="shared" si="3"/>
        <v>134565</v>
      </c>
      <c r="Q19" s="1">
        <v>39203</v>
      </c>
      <c r="R19">
        <f t="shared" si="0"/>
        <v>0</v>
      </c>
      <c r="S19">
        <f t="shared" si="1"/>
        <v>1274</v>
      </c>
    </row>
    <row r="20" spans="1:19" x14ac:dyDescent="0.25">
      <c r="A20" s="1">
        <v>39234</v>
      </c>
      <c r="B20">
        <v>112135</v>
      </c>
      <c r="C20">
        <v>20337</v>
      </c>
      <c r="G20">
        <f t="shared" si="2"/>
        <v>132472</v>
      </c>
      <c r="I20" s="1">
        <v>39234</v>
      </c>
      <c r="J20">
        <v>69687</v>
      </c>
      <c r="K20">
        <v>61490</v>
      </c>
      <c r="L20">
        <v>1295</v>
      </c>
      <c r="M20">
        <f t="shared" si="3"/>
        <v>132472</v>
      </c>
      <c r="Q20" s="1">
        <v>39234</v>
      </c>
      <c r="R20">
        <f t="shared" si="0"/>
        <v>0</v>
      </c>
      <c r="S20">
        <f t="shared" si="1"/>
        <v>1295</v>
      </c>
    </row>
    <row r="21" spans="1:19" x14ac:dyDescent="0.25">
      <c r="A21" s="1">
        <v>39264</v>
      </c>
      <c r="B21">
        <v>100566</v>
      </c>
      <c r="C21">
        <v>17646</v>
      </c>
      <c r="G21">
        <f t="shared" si="2"/>
        <v>118212</v>
      </c>
      <c r="I21" s="1">
        <v>39264</v>
      </c>
      <c r="J21">
        <v>63220</v>
      </c>
      <c r="K21">
        <v>53816</v>
      </c>
      <c r="L21">
        <v>1176</v>
      </c>
      <c r="M21">
        <f t="shared" si="3"/>
        <v>118212</v>
      </c>
      <c r="Q21" s="1">
        <v>39264</v>
      </c>
      <c r="R21">
        <f t="shared" si="0"/>
        <v>0</v>
      </c>
      <c r="S21">
        <f t="shared" si="1"/>
        <v>1176</v>
      </c>
    </row>
    <row r="22" spans="1:19" x14ac:dyDescent="0.25">
      <c r="A22" s="1">
        <v>39295</v>
      </c>
      <c r="B22">
        <v>117065</v>
      </c>
      <c r="C22">
        <v>17169</v>
      </c>
      <c r="G22">
        <f t="shared" si="2"/>
        <v>134234</v>
      </c>
      <c r="I22" s="1">
        <v>39295</v>
      </c>
      <c r="J22">
        <v>77551</v>
      </c>
      <c r="K22">
        <v>55366</v>
      </c>
      <c r="L22">
        <v>1317</v>
      </c>
      <c r="M22">
        <f t="shared" si="3"/>
        <v>134234</v>
      </c>
      <c r="Q22" s="1">
        <v>39295</v>
      </c>
      <c r="R22">
        <f t="shared" si="0"/>
        <v>0</v>
      </c>
      <c r="S22">
        <f t="shared" si="1"/>
        <v>1317</v>
      </c>
    </row>
    <row r="23" spans="1:19" x14ac:dyDescent="0.25">
      <c r="A23" s="1">
        <v>39326</v>
      </c>
      <c r="B23">
        <v>136772</v>
      </c>
      <c r="C23">
        <v>17527</v>
      </c>
      <c r="G23">
        <f t="shared" si="2"/>
        <v>154299</v>
      </c>
      <c r="I23" s="1">
        <v>39326</v>
      </c>
      <c r="J23">
        <v>97102</v>
      </c>
      <c r="K23">
        <v>55888</v>
      </c>
      <c r="L23">
        <v>1309</v>
      </c>
      <c r="M23">
        <f t="shared" si="3"/>
        <v>154299</v>
      </c>
      <c r="Q23" s="1">
        <v>39326</v>
      </c>
      <c r="R23">
        <f t="shared" si="0"/>
        <v>0</v>
      </c>
      <c r="S23">
        <f t="shared" si="1"/>
        <v>1309</v>
      </c>
    </row>
    <row r="24" spans="1:19" x14ac:dyDescent="0.25">
      <c r="A24" s="1">
        <v>39356</v>
      </c>
      <c r="B24">
        <v>108346</v>
      </c>
      <c r="C24">
        <v>17939</v>
      </c>
      <c r="G24">
        <f t="shared" si="2"/>
        <v>126285</v>
      </c>
      <c r="I24" s="1">
        <v>39356</v>
      </c>
      <c r="J24">
        <v>72966</v>
      </c>
      <c r="K24">
        <v>51812</v>
      </c>
      <c r="L24">
        <v>1507</v>
      </c>
      <c r="M24">
        <f t="shared" si="3"/>
        <v>126285</v>
      </c>
      <c r="Q24" s="1">
        <v>39356</v>
      </c>
      <c r="R24">
        <f t="shared" si="0"/>
        <v>0</v>
      </c>
      <c r="S24">
        <f t="shared" si="1"/>
        <v>1507</v>
      </c>
    </row>
    <row r="25" spans="1:19" x14ac:dyDescent="0.25">
      <c r="A25" s="1">
        <v>39387</v>
      </c>
      <c r="B25">
        <v>118469</v>
      </c>
      <c r="C25">
        <v>22061</v>
      </c>
      <c r="G25">
        <f t="shared" si="2"/>
        <v>140530</v>
      </c>
      <c r="I25" s="1">
        <v>39387</v>
      </c>
      <c r="J25">
        <v>77897</v>
      </c>
      <c r="K25">
        <v>61078</v>
      </c>
      <c r="L25">
        <v>1555</v>
      </c>
      <c r="M25">
        <f t="shared" si="3"/>
        <v>140530</v>
      </c>
      <c r="Q25" s="1">
        <v>39387</v>
      </c>
      <c r="R25">
        <f t="shared" si="0"/>
        <v>0</v>
      </c>
      <c r="S25">
        <f t="shared" si="1"/>
        <v>1555</v>
      </c>
    </row>
    <row r="26" spans="1:19" x14ac:dyDescent="0.25">
      <c r="A26" s="1">
        <v>39417</v>
      </c>
      <c r="B26">
        <v>108670</v>
      </c>
      <c r="C26">
        <v>23242</v>
      </c>
      <c r="G26">
        <f t="shared" si="2"/>
        <v>131912</v>
      </c>
      <c r="I26" s="1">
        <v>39417</v>
      </c>
      <c r="J26">
        <v>69883</v>
      </c>
      <c r="K26">
        <v>60449</v>
      </c>
      <c r="L26">
        <v>1580</v>
      </c>
      <c r="M26">
        <f t="shared" si="3"/>
        <v>131912</v>
      </c>
      <c r="Q26" s="1">
        <v>39417</v>
      </c>
      <c r="R26">
        <f t="shared" si="0"/>
        <v>0</v>
      </c>
      <c r="S26">
        <f t="shared" si="1"/>
        <v>1580</v>
      </c>
    </row>
    <row r="27" spans="1:19" x14ac:dyDescent="0.25">
      <c r="A27" s="1">
        <v>39448</v>
      </c>
      <c r="B27">
        <v>90455</v>
      </c>
      <c r="C27">
        <v>25971</v>
      </c>
      <c r="G27">
        <f t="shared" si="2"/>
        <v>116426</v>
      </c>
      <c r="I27" s="1">
        <v>39448</v>
      </c>
      <c r="J27">
        <v>54557</v>
      </c>
      <c r="K27">
        <v>60598</v>
      </c>
      <c r="L27">
        <v>1271</v>
      </c>
      <c r="M27">
        <f t="shared" si="3"/>
        <v>116426</v>
      </c>
      <c r="Q27" s="1">
        <v>39448</v>
      </c>
      <c r="R27">
        <f t="shared" si="0"/>
        <v>0</v>
      </c>
      <c r="S27">
        <f t="shared" si="1"/>
        <v>1271</v>
      </c>
    </row>
    <row r="28" spans="1:19" x14ac:dyDescent="0.25">
      <c r="A28" s="1">
        <v>39479</v>
      </c>
      <c r="B28">
        <v>124215</v>
      </c>
      <c r="C28">
        <v>41508</v>
      </c>
      <c r="G28">
        <f t="shared" si="2"/>
        <v>165723</v>
      </c>
      <c r="I28" s="1">
        <v>39479</v>
      </c>
      <c r="J28">
        <v>72837</v>
      </c>
      <c r="K28">
        <v>91402</v>
      </c>
      <c r="L28">
        <v>1484</v>
      </c>
      <c r="M28">
        <f t="shared" si="3"/>
        <v>165723</v>
      </c>
      <c r="Q28" s="1">
        <v>39479</v>
      </c>
      <c r="R28">
        <f t="shared" si="0"/>
        <v>0</v>
      </c>
      <c r="S28">
        <f t="shared" si="1"/>
        <v>1484</v>
      </c>
    </row>
    <row r="29" spans="1:19" x14ac:dyDescent="0.25">
      <c r="A29" s="1">
        <v>39508</v>
      </c>
      <c r="B29">
        <v>88535</v>
      </c>
      <c r="C29">
        <v>49873</v>
      </c>
      <c r="G29">
        <f t="shared" si="2"/>
        <v>138408</v>
      </c>
      <c r="I29" s="1">
        <v>39508</v>
      </c>
      <c r="J29">
        <v>43659</v>
      </c>
      <c r="K29">
        <v>93377</v>
      </c>
      <c r="L29">
        <v>1372</v>
      </c>
      <c r="M29">
        <f t="shared" si="3"/>
        <v>138408</v>
      </c>
      <c r="Q29" s="1">
        <v>39508</v>
      </c>
      <c r="R29">
        <f t="shared" si="0"/>
        <v>0</v>
      </c>
      <c r="S29">
        <f t="shared" si="1"/>
        <v>1372</v>
      </c>
    </row>
    <row r="30" spans="1:19" x14ac:dyDescent="0.25">
      <c r="A30" s="1">
        <v>39539</v>
      </c>
      <c r="B30">
        <v>98952</v>
      </c>
      <c r="C30">
        <v>44733</v>
      </c>
      <c r="G30">
        <f t="shared" si="2"/>
        <v>143685</v>
      </c>
      <c r="I30" s="1">
        <v>39539</v>
      </c>
      <c r="J30">
        <v>50960</v>
      </c>
      <c r="K30">
        <v>91357</v>
      </c>
      <c r="L30">
        <v>1368</v>
      </c>
      <c r="M30">
        <f t="shared" si="3"/>
        <v>143685</v>
      </c>
      <c r="Q30" s="1">
        <v>39539</v>
      </c>
      <c r="R30">
        <f t="shared" si="0"/>
        <v>0</v>
      </c>
      <c r="S30">
        <f t="shared" si="1"/>
        <v>1368</v>
      </c>
    </row>
    <row r="31" spans="1:19" x14ac:dyDescent="0.25">
      <c r="A31" s="1">
        <v>39569</v>
      </c>
      <c r="B31">
        <v>110414</v>
      </c>
      <c r="C31">
        <v>41194</v>
      </c>
      <c r="G31">
        <f t="shared" si="2"/>
        <v>151608</v>
      </c>
      <c r="I31" s="1">
        <v>39569</v>
      </c>
      <c r="J31">
        <v>58452</v>
      </c>
      <c r="K31">
        <v>91752</v>
      </c>
      <c r="L31">
        <v>1404</v>
      </c>
      <c r="M31">
        <f t="shared" si="3"/>
        <v>151608</v>
      </c>
      <c r="Q31" s="1">
        <v>39569</v>
      </c>
      <c r="R31">
        <f t="shared" si="0"/>
        <v>0</v>
      </c>
      <c r="S31">
        <f t="shared" si="1"/>
        <v>1404</v>
      </c>
    </row>
    <row r="32" spans="1:19" x14ac:dyDescent="0.25">
      <c r="A32" s="1">
        <v>39600</v>
      </c>
      <c r="B32">
        <v>108177</v>
      </c>
      <c r="C32">
        <v>30865</v>
      </c>
      <c r="G32">
        <f t="shared" si="2"/>
        <v>139042</v>
      </c>
      <c r="I32" s="1">
        <v>39600</v>
      </c>
      <c r="J32">
        <v>67055</v>
      </c>
      <c r="K32">
        <v>70617</v>
      </c>
      <c r="L32">
        <v>1370</v>
      </c>
      <c r="M32">
        <f t="shared" si="3"/>
        <v>139042</v>
      </c>
      <c r="Q32" s="1">
        <v>39600</v>
      </c>
      <c r="R32">
        <f t="shared" si="0"/>
        <v>0</v>
      </c>
      <c r="S32">
        <f t="shared" si="1"/>
        <v>1370</v>
      </c>
    </row>
    <row r="33" spans="1:30" x14ac:dyDescent="0.25">
      <c r="A33" s="1">
        <v>39630</v>
      </c>
      <c r="B33">
        <v>62302</v>
      </c>
      <c r="C33">
        <v>15169</v>
      </c>
      <c r="G33">
        <f t="shared" si="2"/>
        <v>77471</v>
      </c>
      <c r="I33" s="1">
        <v>39630</v>
      </c>
      <c r="J33">
        <v>41004</v>
      </c>
      <c r="K33">
        <v>36040</v>
      </c>
      <c r="L33">
        <v>427</v>
      </c>
      <c r="M33">
        <f t="shared" si="3"/>
        <v>77471</v>
      </c>
      <c r="Q33" s="1">
        <v>39630</v>
      </c>
      <c r="R33">
        <f t="shared" si="0"/>
        <v>0</v>
      </c>
      <c r="S33">
        <f t="shared" si="1"/>
        <v>427</v>
      </c>
    </row>
    <row r="34" spans="1:30" x14ac:dyDescent="0.25">
      <c r="A34" s="1">
        <v>39661</v>
      </c>
      <c r="B34">
        <v>68339</v>
      </c>
      <c r="C34">
        <v>12928</v>
      </c>
      <c r="G34">
        <f t="shared" si="2"/>
        <v>81267</v>
      </c>
      <c r="I34" s="1">
        <v>39661</v>
      </c>
      <c r="J34">
        <v>47631</v>
      </c>
      <c r="K34">
        <v>33217</v>
      </c>
      <c r="L34">
        <v>419</v>
      </c>
      <c r="M34">
        <f t="shared" si="3"/>
        <v>81267</v>
      </c>
      <c r="Q34" s="1">
        <v>39661</v>
      </c>
      <c r="R34">
        <f t="shared" ref="R34:R65" si="4">VLOOKUP(Q34,A:F,5,0)</f>
        <v>0</v>
      </c>
      <c r="S34">
        <f t="shared" ref="S34:S65" si="5">VLOOKUP(Q34,I:M,4,0)</f>
        <v>419</v>
      </c>
    </row>
    <row r="35" spans="1:30" x14ac:dyDescent="0.25">
      <c r="A35" s="1">
        <v>39692</v>
      </c>
      <c r="B35">
        <v>66445</v>
      </c>
      <c r="C35">
        <v>11279</v>
      </c>
      <c r="G35">
        <f t="shared" si="2"/>
        <v>77724</v>
      </c>
      <c r="I35" s="1">
        <v>39692</v>
      </c>
      <c r="J35">
        <v>47720</v>
      </c>
      <c r="K35">
        <v>29595</v>
      </c>
      <c r="L35">
        <v>409</v>
      </c>
      <c r="M35">
        <f t="shared" si="3"/>
        <v>77724</v>
      </c>
      <c r="Q35" s="1">
        <v>39692</v>
      </c>
      <c r="R35">
        <f t="shared" si="4"/>
        <v>0</v>
      </c>
      <c r="S35">
        <f t="shared" si="5"/>
        <v>409</v>
      </c>
    </row>
    <row r="36" spans="1:30" x14ac:dyDescent="0.25">
      <c r="A36" s="1">
        <v>39722</v>
      </c>
      <c r="B36">
        <v>45734</v>
      </c>
      <c r="C36">
        <v>9037</v>
      </c>
      <c r="G36">
        <f t="shared" si="2"/>
        <v>54771</v>
      </c>
      <c r="I36" s="1">
        <v>39722</v>
      </c>
      <c r="J36">
        <v>31841</v>
      </c>
      <c r="K36">
        <v>22753</v>
      </c>
      <c r="L36">
        <v>177</v>
      </c>
      <c r="M36">
        <f t="shared" si="3"/>
        <v>54771</v>
      </c>
      <c r="Q36" s="1">
        <v>39722</v>
      </c>
      <c r="R36">
        <f t="shared" si="4"/>
        <v>0</v>
      </c>
      <c r="S36">
        <f t="shared" si="5"/>
        <v>177</v>
      </c>
    </row>
    <row r="37" spans="1:30" x14ac:dyDescent="0.25">
      <c r="A37" s="1">
        <v>39753</v>
      </c>
      <c r="B37">
        <v>43655</v>
      </c>
      <c r="C37">
        <v>13338</v>
      </c>
      <c r="G37">
        <f t="shared" si="2"/>
        <v>56993</v>
      </c>
      <c r="I37" s="1">
        <v>39753</v>
      </c>
      <c r="J37">
        <v>28701</v>
      </c>
      <c r="K37">
        <v>27885</v>
      </c>
      <c r="L37">
        <v>407</v>
      </c>
      <c r="M37">
        <f t="shared" si="3"/>
        <v>56993</v>
      </c>
      <c r="Q37" s="1">
        <v>39753</v>
      </c>
      <c r="R37">
        <f t="shared" si="4"/>
        <v>0</v>
      </c>
      <c r="S37">
        <f t="shared" si="5"/>
        <v>407</v>
      </c>
    </row>
    <row r="38" spans="1:30" x14ac:dyDescent="0.25">
      <c r="A38" s="1">
        <v>39783</v>
      </c>
      <c r="B38">
        <v>50259</v>
      </c>
      <c r="C38">
        <v>12980</v>
      </c>
      <c r="G38">
        <f t="shared" si="2"/>
        <v>63239</v>
      </c>
      <c r="I38" s="1">
        <v>39783</v>
      </c>
      <c r="J38">
        <v>34511</v>
      </c>
      <c r="K38">
        <v>28353</v>
      </c>
      <c r="L38">
        <v>375</v>
      </c>
      <c r="M38">
        <f t="shared" si="3"/>
        <v>63239</v>
      </c>
      <c r="Q38" s="1">
        <v>39783</v>
      </c>
      <c r="R38">
        <f t="shared" si="4"/>
        <v>0</v>
      </c>
      <c r="S38">
        <f t="shared" si="5"/>
        <v>375</v>
      </c>
    </row>
    <row r="39" spans="1:30" x14ac:dyDescent="0.25">
      <c r="A39" s="1">
        <v>39814</v>
      </c>
      <c r="B39">
        <v>45008</v>
      </c>
      <c r="C39">
        <v>20693</v>
      </c>
      <c r="G39">
        <f t="shared" si="2"/>
        <v>65701</v>
      </c>
      <c r="I39" s="1">
        <v>39814</v>
      </c>
      <c r="J39">
        <v>28940</v>
      </c>
      <c r="K39">
        <v>36364</v>
      </c>
      <c r="L39">
        <v>397</v>
      </c>
      <c r="M39">
        <f t="shared" si="3"/>
        <v>65701</v>
      </c>
      <c r="Q39" s="1">
        <v>39814</v>
      </c>
      <c r="R39">
        <f t="shared" si="4"/>
        <v>0</v>
      </c>
      <c r="S39">
        <f t="shared" si="5"/>
        <v>397</v>
      </c>
    </row>
    <row r="40" spans="1:30" x14ac:dyDescent="0.25">
      <c r="A40" s="1">
        <v>39845</v>
      </c>
      <c r="B40">
        <v>54314</v>
      </c>
      <c r="C40">
        <v>60330</v>
      </c>
      <c r="G40">
        <f t="shared" si="2"/>
        <v>114644</v>
      </c>
      <c r="I40" s="1">
        <v>39845</v>
      </c>
      <c r="J40">
        <v>24431</v>
      </c>
      <c r="K40">
        <v>88963</v>
      </c>
      <c r="L40">
        <v>1250</v>
      </c>
      <c r="M40">
        <f t="shared" si="3"/>
        <v>114644</v>
      </c>
      <c r="Q40" s="1">
        <v>39845</v>
      </c>
      <c r="R40">
        <f t="shared" si="4"/>
        <v>0</v>
      </c>
      <c r="S40">
        <f t="shared" si="5"/>
        <v>1250</v>
      </c>
    </row>
    <row r="41" spans="1:30" x14ac:dyDescent="0.25">
      <c r="A41" s="1">
        <v>39873</v>
      </c>
      <c r="B41">
        <v>90938</v>
      </c>
      <c r="C41">
        <v>126468</v>
      </c>
      <c r="G41">
        <f t="shared" si="2"/>
        <v>217406</v>
      </c>
      <c r="I41" s="1">
        <v>39873</v>
      </c>
      <c r="J41">
        <v>27687</v>
      </c>
      <c r="K41">
        <v>187401</v>
      </c>
      <c r="L41">
        <v>2318</v>
      </c>
      <c r="M41">
        <f t="shared" si="3"/>
        <v>217406</v>
      </c>
      <c r="Q41" s="1">
        <v>39873</v>
      </c>
      <c r="R41">
        <f t="shared" si="4"/>
        <v>0</v>
      </c>
      <c r="S41">
        <f t="shared" si="5"/>
        <v>2318</v>
      </c>
    </row>
    <row r="42" spans="1:30" x14ac:dyDescent="0.25">
      <c r="A42" s="1">
        <v>39904</v>
      </c>
      <c r="B42">
        <v>70127</v>
      </c>
      <c r="C42">
        <v>91317</v>
      </c>
      <c r="D42">
        <v>4758</v>
      </c>
      <c r="E42">
        <v>286</v>
      </c>
      <c r="G42">
        <f t="shared" si="2"/>
        <v>166488</v>
      </c>
      <c r="I42" s="1">
        <v>39904</v>
      </c>
      <c r="J42">
        <v>24673</v>
      </c>
      <c r="K42">
        <v>140030</v>
      </c>
      <c r="L42">
        <v>1785</v>
      </c>
      <c r="M42">
        <f t="shared" si="3"/>
        <v>166488</v>
      </c>
      <c r="Q42" s="1">
        <v>39904</v>
      </c>
      <c r="R42">
        <f t="shared" si="4"/>
        <v>286</v>
      </c>
      <c r="S42">
        <f t="shared" si="5"/>
        <v>1785</v>
      </c>
    </row>
    <row r="43" spans="1:30" x14ac:dyDescent="0.25">
      <c r="A43" s="1">
        <v>39934</v>
      </c>
      <c r="B43">
        <v>67567</v>
      </c>
      <c r="C43">
        <v>25662</v>
      </c>
      <c r="D43">
        <v>51705</v>
      </c>
      <c r="E43">
        <v>5842</v>
      </c>
      <c r="G43">
        <f t="shared" si="2"/>
        <v>150776</v>
      </c>
      <c r="I43" s="1">
        <v>39934</v>
      </c>
      <c r="J43">
        <v>24641</v>
      </c>
      <c r="K43">
        <v>123547</v>
      </c>
      <c r="L43">
        <v>2588</v>
      </c>
      <c r="M43">
        <f t="shared" si="3"/>
        <v>150776</v>
      </c>
      <c r="Q43" s="1">
        <v>39934</v>
      </c>
      <c r="R43">
        <f t="shared" si="4"/>
        <v>5842</v>
      </c>
      <c r="S43">
        <f t="shared" si="5"/>
        <v>2588</v>
      </c>
    </row>
    <row r="44" spans="1:30" x14ac:dyDescent="0.25">
      <c r="A44" s="1">
        <v>39965</v>
      </c>
      <c r="B44">
        <v>104095</v>
      </c>
      <c r="C44">
        <v>7053</v>
      </c>
      <c r="D44">
        <v>106391</v>
      </c>
      <c r="E44">
        <v>16517</v>
      </c>
      <c r="G44">
        <f t="shared" si="2"/>
        <v>234056</v>
      </c>
      <c r="I44" s="1">
        <v>39965</v>
      </c>
      <c r="J44">
        <v>41335</v>
      </c>
      <c r="K44">
        <v>183268</v>
      </c>
      <c r="L44">
        <v>9453</v>
      </c>
      <c r="M44">
        <f t="shared" si="3"/>
        <v>234056</v>
      </c>
      <c r="Q44" s="1">
        <v>39965</v>
      </c>
      <c r="R44">
        <f t="shared" si="4"/>
        <v>16517</v>
      </c>
      <c r="S44">
        <f t="shared" si="5"/>
        <v>9453</v>
      </c>
    </row>
    <row r="45" spans="1:30" x14ac:dyDescent="0.25">
      <c r="A45" s="1">
        <v>39995</v>
      </c>
      <c r="B45">
        <v>71014</v>
      </c>
      <c r="C45">
        <v>781</v>
      </c>
      <c r="D45">
        <v>60337</v>
      </c>
      <c r="E45">
        <v>22075</v>
      </c>
      <c r="G45">
        <f t="shared" si="2"/>
        <v>154207</v>
      </c>
      <c r="I45" s="1">
        <v>39995</v>
      </c>
      <c r="J45">
        <v>32476</v>
      </c>
      <c r="K45">
        <v>107233</v>
      </c>
      <c r="L45">
        <v>14498</v>
      </c>
      <c r="M45">
        <f t="shared" si="3"/>
        <v>154207</v>
      </c>
      <c r="Q45" s="1">
        <v>39995</v>
      </c>
      <c r="R45">
        <f t="shared" si="4"/>
        <v>22075</v>
      </c>
      <c r="S45">
        <f t="shared" si="5"/>
        <v>14498</v>
      </c>
      <c r="T45" s="9">
        <f>R45/S45</f>
        <v>1.5226238101807146</v>
      </c>
    </row>
    <row r="46" spans="1:30" x14ac:dyDescent="0.25">
      <c r="A46" s="1">
        <v>40026</v>
      </c>
      <c r="B46">
        <v>82357</v>
      </c>
      <c r="C46">
        <v>173</v>
      </c>
      <c r="D46">
        <v>55906</v>
      </c>
      <c r="E46">
        <v>25210</v>
      </c>
      <c r="G46">
        <f t="shared" si="2"/>
        <v>163646</v>
      </c>
      <c r="I46" s="1">
        <v>40026</v>
      </c>
      <c r="J46">
        <v>42643</v>
      </c>
      <c r="K46">
        <v>104917</v>
      </c>
      <c r="L46">
        <v>16086</v>
      </c>
      <c r="M46">
        <f t="shared" si="3"/>
        <v>163646</v>
      </c>
      <c r="Q46" s="1">
        <v>40026</v>
      </c>
      <c r="R46">
        <f t="shared" si="4"/>
        <v>25210</v>
      </c>
      <c r="S46">
        <f t="shared" si="5"/>
        <v>16086</v>
      </c>
      <c r="T46" s="9">
        <f t="shared" ref="T46:T99" si="6">R46/S46</f>
        <v>1.5672012930498571</v>
      </c>
      <c r="AC46">
        <v>2243</v>
      </c>
      <c r="AD46">
        <f t="shared" ref="AD46:AD47" si="7">AC46/6</f>
        <v>373.83333333333331</v>
      </c>
    </row>
    <row r="47" spans="1:30" x14ac:dyDescent="0.25">
      <c r="A47" s="1">
        <v>40057</v>
      </c>
      <c r="B47">
        <v>70570</v>
      </c>
      <c r="C47">
        <v>258</v>
      </c>
      <c r="D47">
        <v>31910</v>
      </c>
      <c r="E47">
        <v>15667</v>
      </c>
      <c r="G47">
        <f t="shared" si="2"/>
        <v>118405</v>
      </c>
      <c r="I47" s="1">
        <v>40057</v>
      </c>
      <c r="J47">
        <v>41473</v>
      </c>
      <c r="K47">
        <v>67936</v>
      </c>
      <c r="L47">
        <v>8996</v>
      </c>
      <c r="M47">
        <f t="shared" si="3"/>
        <v>118405</v>
      </c>
      <c r="Q47" s="1">
        <v>40057</v>
      </c>
      <c r="R47">
        <f t="shared" si="4"/>
        <v>15667</v>
      </c>
      <c r="S47">
        <f t="shared" si="5"/>
        <v>8996</v>
      </c>
      <c r="T47" s="9">
        <f t="shared" si="6"/>
        <v>1.7415518008003557</v>
      </c>
      <c r="AC47">
        <v>564</v>
      </c>
      <c r="AD47">
        <f t="shared" si="7"/>
        <v>94</v>
      </c>
    </row>
    <row r="48" spans="1:30" x14ac:dyDescent="0.25">
      <c r="A48" s="1">
        <v>40087</v>
      </c>
      <c r="B48">
        <v>61209</v>
      </c>
      <c r="C48">
        <v>1059</v>
      </c>
      <c r="D48">
        <v>23119</v>
      </c>
      <c r="E48">
        <v>12098</v>
      </c>
      <c r="G48">
        <f t="shared" si="2"/>
        <v>97485</v>
      </c>
      <c r="I48" s="1">
        <v>40087</v>
      </c>
      <c r="J48">
        <v>37039</v>
      </c>
      <c r="K48">
        <v>54105</v>
      </c>
      <c r="L48">
        <v>6341</v>
      </c>
      <c r="M48">
        <f t="shared" si="3"/>
        <v>97485</v>
      </c>
      <c r="Q48" s="1">
        <v>40087</v>
      </c>
      <c r="R48">
        <f t="shared" si="4"/>
        <v>12098</v>
      </c>
      <c r="S48">
        <f t="shared" si="5"/>
        <v>6341</v>
      </c>
      <c r="T48" s="9">
        <f t="shared" si="6"/>
        <v>1.9079009619933764</v>
      </c>
      <c r="AC48">
        <f>AC46-AC47</f>
        <v>1679</v>
      </c>
      <c r="AD48">
        <f>AC48/6</f>
        <v>279.83333333333331</v>
      </c>
    </row>
    <row r="49" spans="1:20" x14ac:dyDescent="0.25">
      <c r="A49" s="1">
        <v>40118</v>
      </c>
      <c r="B49">
        <v>54618</v>
      </c>
      <c r="C49">
        <v>77</v>
      </c>
      <c r="D49">
        <v>22548</v>
      </c>
      <c r="E49">
        <v>16580</v>
      </c>
      <c r="G49">
        <f t="shared" si="2"/>
        <v>93823</v>
      </c>
      <c r="I49" s="1">
        <v>40118</v>
      </c>
      <c r="J49">
        <v>32297</v>
      </c>
      <c r="K49">
        <v>53423</v>
      </c>
      <c r="L49">
        <v>8103</v>
      </c>
      <c r="M49">
        <f t="shared" si="3"/>
        <v>93823</v>
      </c>
      <c r="Q49" s="1">
        <v>40118</v>
      </c>
      <c r="R49">
        <f t="shared" si="4"/>
        <v>16580</v>
      </c>
      <c r="S49">
        <f t="shared" si="5"/>
        <v>8103</v>
      </c>
      <c r="T49" s="9">
        <f t="shared" si="6"/>
        <v>2.0461557447858816</v>
      </c>
    </row>
    <row r="50" spans="1:20" x14ac:dyDescent="0.25">
      <c r="A50" s="1">
        <v>40148</v>
      </c>
      <c r="B50">
        <v>70439</v>
      </c>
      <c r="C50">
        <v>336</v>
      </c>
      <c r="D50">
        <v>30548</v>
      </c>
      <c r="E50">
        <v>25493</v>
      </c>
      <c r="G50">
        <f t="shared" si="2"/>
        <v>126816</v>
      </c>
      <c r="I50" s="1">
        <v>40148</v>
      </c>
      <c r="J50">
        <v>42345</v>
      </c>
      <c r="K50">
        <v>71676</v>
      </c>
      <c r="L50">
        <v>12795</v>
      </c>
      <c r="M50">
        <f t="shared" si="3"/>
        <v>126816</v>
      </c>
      <c r="Q50" s="1">
        <v>40148</v>
      </c>
      <c r="R50">
        <f t="shared" si="4"/>
        <v>25493</v>
      </c>
      <c r="S50">
        <f t="shared" si="5"/>
        <v>12795</v>
      </c>
      <c r="T50" s="9">
        <f t="shared" si="6"/>
        <v>1.9924189136381398</v>
      </c>
    </row>
    <row r="51" spans="1:20" x14ac:dyDescent="0.25">
      <c r="A51" s="1">
        <v>40179</v>
      </c>
      <c r="B51">
        <v>51271</v>
      </c>
      <c r="C51">
        <v>360</v>
      </c>
      <c r="D51">
        <v>24350</v>
      </c>
      <c r="E51">
        <v>24649</v>
      </c>
      <c r="G51">
        <f t="shared" si="2"/>
        <v>100630</v>
      </c>
      <c r="I51" s="1">
        <v>40179</v>
      </c>
      <c r="J51">
        <v>29955</v>
      </c>
      <c r="K51">
        <v>57979</v>
      </c>
      <c r="L51">
        <v>12696</v>
      </c>
      <c r="M51">
        <f t="shared" si="3"/>
        <v>100630</v>
      </c>
      <c r="Q51" s="1">
        <v>40179</v>
      </c>
      <c r="R51">
        <f t="shared" si="4"/>
        <v>24649</v>
      </c>
      <c r="S51">
        <f t="shared" si="5"/>
        <v>12696</v>
      </c>
      <c r="T51" s="9">
        <f t="shared" si="6"/>
        <v>1.9414776307498425</v>
      </c>
    </row>
    <row r="52" spans="1:20" x14ac:dyDescent="0.25">
      <c r="A52" s="1">
        <v>40210</v>
      </c>
      <c r="B52">
        <v>51586</v>
      </c>
      <c r="C52">
        <v>77</v>
      </c>
      <c r="D52">
        <v>28003</v>
      </c>
      <c r="E52">
        <v>26299</v>
      </c>
      <c r="G52">
        <f t="shared" si="2"/>
        <v>105965</v>
      </c>
      <c r="I52" s="1">
        <v>40210</v>
      </c>
      <c r="J52">
        <v>27636</v>
      </c>
      <c r="K52">
        <v>64815</v>
      </c>
      <c r="L52">
        <v>13514</v>
      </c>
      <c r="M52">
        <f t="shared" si="3"/>
        <v>105965</v>
      </c>
      <c r="Q52" s="1">
        <v>40210</v>
      </c>
      <c r="R52">
        <f t="shared" si="4"/>
        <v>26299</v>
      </c>
      <c r="S52">
        <f t="shared" si="5"/>
        <v>13514</v>
      </c>
      <c r="T52" s="9">
        <f t="shared" si="6"/>
        <v>1.9460559419860886</v>
      </c>
    </row>
    <row r="53" spans="1:20" x14ac:dyDescent="0.25">
      <c r="A53" s="1">
        <v>40238</v>
      </c>
      <c r="B53">
        <v>56751</v>
      </c>
      <c r="C53">
        <v>679</v>
      </c>
      <c r="D53">
        <v>25937</v>
      </c>
      <c r="E53">
        <v>21183</v>
      </c>
      <c r="G53">
        <f t="shared" si="2"/>
        <v>104550</v>
      </c>
      <c r="I53" s="1">
        <v>40238</v>
      </c>
      <c r="J53">
        <v>30875</v>
      </c>
      <c r="K53">
        <v>61902</v>
      </c>
      <c r="L53">
        <v>11773</v>
      </c>
      <c r="M53">
        <f t="shared" si="3"/>
        <v>104550</v>
      </c>
      <c r="Q53" s="1">
        <v>40238</v>
      </c>
      <c r="R53">
        <f t="shared" si="4"/>
        <v>21183</v>
      </c>
      <c r="S53">
        <f t="shared" si="5"/>
        <v>11773</v>
      </c>
      <c r="T53" s="9">
        <f t="shared" si="6"/>
        <v>1.7992865030153742</v>
      </c>
    </row>
    <row r="54" spans="1:20" x14ac:dyDescent="0.25">
      <c r="A54" s="1">
        <v>40269</v>
      </c>
      <c r="B54">
        <v>37231</v>
      </c>
      <c r="C54">
        <v>113</v>
      </c>
      <c r="D54">
        <v>14416</v>
      </c>
      <c r="E54">
        <v>19513</v>
      </c>
      <c r="G54">
        <f t="shared" si="2"/>
        <v>71273</v>
      </c>
      <c r="I54" s="1">
        <v>40269</v>
      </c>
      <c r="J54">
        <v>23058</v>
      </c>
      <c r="K54">
        <v>37869</v>
      </c>
      <c r="L54">
        <v>10346</v>
      </c>
      <c r="M54">
        <f t="shared" si="3"/>
        <v>71273</v>
      </c>
      <c r="Q54" s="1">
        <v>40269</v>
      </c>
      <c r="R54">
        <f t="shared" si="4"/>
        <v>19513</v>
      </c>
      <c r="S54">
        <f t="shared" si="5"/>
        <v>10346</v>
      </c>
      <c r="T54" s="9">
        <f t="shared" si="6"/>
        <v>1.8860429151362845</v>
      </c>
    </row>
    <row r="55" spans="1:20" x14ac:dyDescent="0.25">
      <c r="A55" s="1">
        <v>40299</v>
      </c>
      <c r="B55">
        <v>46855</v>
      </c>
      <c r="C55">
        <v>25</v>
      </c>
      <c r="D55">
        <v>15988</v>
      </c>
      <c r="E55">
        <v>17575</v>
      </c>
      <c r="G55">
        <f t="shared" si="2"/>
        <v>80443</v>
      </c>
      <c r="I55" s="1">
        <v>40299</v>
      </c>
      <c r="J55">
        <v>30710</v>
      </c>
      <c r="K55">
        <v>40562</v>
      </c>
      <c r="L55">
        <v>9171</v>
      </c>
      <c r="M55">
        <f t="shared" si="3"/>
        <v>80443</v>
      </c>
      <c r="Q55" s="1">
        <v>40299</v>
      </c>
      <c r="R55">
        <f t="shared" si="4"/>
        <v>17575</v>
      </c>
      <c r="S55">
        <f t="shared" si="5"/>
        <v>9171</v>
      </c>
      <c r="T55" s="9">
        <f t="shared" si="6"/>
        <v>1.9163668084178389</v>
      </c>
    </row>
    <row r="56" spans="1:20" x14ac:dyDescent="0.25">
      <c r="A56" s="1">
        <v>40330</v>
      </c>
      <c r="B56">
        <v>55813</v>
      </c>
      <c r="C56">
        <v>4</v>
      </c>
      <c r="D56">
        <v>14269</v>
      </c>
      <c r="E56">
        <v>19523</v>
      </c>
      <c r="G56">
        <f t="shared" si="2"/>
        <v>89609</v>
      </c>
      <c r="I56" s="1">
        <v>40330</v>
      </c>
      <c r="J56">
        <v>38377</v>
      </c>
      <c r="K56">
        <v>40799</v>
      </c>
      <c r="L56">
        <v>10433</v>
      </c>
      <c r="M56">
        <f t="shared" si="3"/>
        <v>89609</v>
      </c>
      <c r="Q56" s="1">
        <v>40330</v>
      </c>
      <c r="R56">
        <f t="shared" si="4"/>
        <v>19523</v>
      </c>
      <c r="S56">
        <f t="shared" si="5"/>
        <v>10433</v>
      </c>
      <c r="T56" s="9">
        <f t="shared" si="6"/>
        <v>1.8712738426147799</v>
      </c>
    </row>
    <row r="57" spans="1:20" x14ac:dyDescent="0.25">
      <c r="A57" s="1">
        <v>40360</v>
      </c>
      <c r="B57">
        <v>50706</v>
      </c>
      <c r="C57">
        <v>1</v>
      </c>
      <c r="D57">
        <v>13900</v>
      </c>
      <c r="E57">
        <v>19158</v>
      </c>
      <c r="G57">
        <f t="shared" si="2"/>
        <v>83765</v>
      </c>
      <c r="I57" s="1">
        <v>40360</v>
      </c>
      <c r="J57">
        <v>36953</v>
      </c>
      <c r="K57">
        <v>37795</v>
      </c>
      <c r="L57">
        <v>9017</v>
      </c>
      <c r="M57">
        <f t="shared" si="3"/>
        <v>83765</v>
      </c>
      <c r="Q57" s="1">
        <v>40360</v>
      </c>
      <c r="R57">
        <f t="shared" si="4"/>
        <v>19158</v>
      </c>
      <c r="S57">
        <f t="shared" si="5"/>
        <v>9017</v>
      </c>
      <c r="T57" s="9">
        <f t="shared" si="6"/>
        <v>2.1246534324054562</v>
      </c>
    </row>
    <row r="58" spans="1:20" x14ac:dyDescent="0.25">
      <c r="A58" s="1">
        <v>40391</v>
      </c>
      <c r="B58">
        <v>48810</v>
      </c>
      <c r="C58">
        <v>1120</v>
      </c>
      <c r="D58">
        <v>16488</v>
      </c>
      <c r="E58">
        <v>20121</v>
      </c>
      <c r="G58">
        <f t="shared" si="2"/>
        <v>86539</v>
      </c>
      <c r="I58" s="1">
        <v>40391</v>
      </c>
      <c r="J58">
        <v>32778</v>
      </c>
      <c r="K58">
        <v>44543</v>
      </c>
      <c r="L58">
        <v>9218</v>
      </c>
      <c r="M58">
        <f t="shared" si="3"/>
        <v>86539</v>
      </c>
      <c r="Q58" s="1">
        <v>40391</v>
      </c>
      <c r="R58">
        <f t="shared" si="4"/>
        <v>20121</v>
      </c>
      <c r="S58">
        <f t="shared" si="5"/>
        <v>9218</v>
      </c>
      <c r="T58" s="9">
        <f t="shared" si="6"/>
        <v>2.1827945324365374</v>
      </c>
    </row>
    <row r="59" spans="1:20" x14ac:dyDescent="0.25">
      <c r="A59" s="1">
        <v>40422</v>
      </c>
      <c r="B59">
        <v>42017</v>
      </c>
      <c r="C59">
        <v>326</v>
      </c>
      <c r="D59">
        <v>24337</v>
      </c>
      <c r="E59">
        <v>38354</v>
      </c>
      <c r="G59">
        <f t="shared" si="2"/>
        <v>105034</v>
      </c>
      <c r="I59" s="1">
        <v>40422</v>
      </c>
      <c r="J59">
        <v>25077</v>
      </c>
      <c r="K59">
        <v>63945</v>
      </c>
      <c r="L59">
        <v>16012</v>
      </c>
      <c r="M59">
        <f t="shared" si="3"/>
        <v>105034</v>
      </c>
      <c r="Q59" s="1">
        <v>40422</v>
      </c>
      <c r="R59">
        <f t="shared" si="4"/>
        <v>38354</v>
      </c>
      <c r="S59">
        <f t="shared" si="5"/>
        <v>16012</v>
      </c>
      <c r="T59" s="9">
        <f t="shared" si="6"/>
        <v>2.3953285036222831</v>
      </c>
    </row>
    <row r="60" spans="1:20" x14ac:dyDescent="0.25">
      <c r="A60" s="1">
        <v>40452</v>
      </c>
      <c r="B60">
        <v>39705</v>
      </c>
      <c r="C60">
        <v>3</v>
      </c>
      <c r="D60">
        <v>29103</v>
      </c>
      <c r="E60">
        <v>36203</v>
      </c>
      <c r="G60">
        <f t="shared" si="2"/>
        <v>105014</v>
      </c>
      <c r="I60" s="1">
        <v>40452</v>
      </c>
      <c r="J60">
        <v>21824</v>
      </c>
      <c r="K60">
        <v>69234</v>
      </c>
      <c r="L60">
        <v>13956</v>
      </c>
      <c r="M60">
        <f t="shared" si="3"/>
        <v>105014</v>
      </c>
      <c r="Q60" s="1">
        <v>40452</v>
      </c>
      <c r="R60">
        <f t="shared" si="4"/>
        <v>36203</v>
      </c>
      <c r="S60">
        <f t="shared" si="5"/>
        <v>13956</v>
      </c>
      <c r="T60" s="9">
        <f t="shared" si="6"/>
        <v>2.5940813986815705</v>
      </c>
    </row>
    <row r="61" spans="1:20" x14ac:dyDescent="0.25">
      <c r="A61" s="1">
        <v>40483</v>
      </c>
      <c r="B61">
        <v>35585</v>
      </c>
      <c r="C61">
        <v>24</v>
      </c>
      <c r="D61">
        <v>28907</v>
      </c>
      <c r="E61">
        <v>39308</v>
      </c>
      <c r="G61">
        <f t="shared" si="2"/>
        <v>103824</v>
      </c>
      <c r="I61" s="1">
        <v>40483</v>
      </c>
      <c r="J61">
        <v>19204</v>
      </c>
      <c r="K61">
        <v>68606</v>
      </c>
      <c r="L61">
        <v>16014</v>
      </c>
      <c r="M61">
        <f t="shared" si="3"/>
        <v>103824</v>
      </c>
      <c r="Q61" s="1">
        <v>40483</v>
      </c>
      <c r="R61">
        <f t="shared" si="4"/>
        <v>39308</v>
      </c>
      <c r="S61">
        <f t="shared" si="5"/>
        <v>16014</v>
      </c>
      <c r="T61" s="9">
        <f t="shared" si="6"/>
        <v>2.454602223054827</v>
      </c>
    </row>
    <row r="62" spans="1:20" x14ac:dyDescent="0.25">
      <c r="A62" s="1">
        <v>40513</v>
      </c>
      <c r="B62">
        <v>33399</v>
      </c>
      <c r="C62">
        <v>3</v>
      </c>
      <c r="D62">
        <v>29330</v>
      </c>
      <c r="E62">
        <v>45723</v>
      </c>
      <c r="G62">
        <f t="shared" si="2"/>
        <v>108455</v>
      </c>
      <c r="I62" s="1">
        <v>40513</v>
      </c>
      <c r="J62">
        <v>17561</v>
      </c>
      <c r="K62">
        <v>73157</v>
      </c>
      <c r="L62">
        <v>17737</v>
      </c>
      <c r="M62">
        <f t="shared" si="3"/>
        <v>108455</v>
      </c>
      <c r="Q62" s="1">
        <v>40513</v>
      </c>
      <c r="R62">
        <f t="shared" si="4"/>
        <v>45723</v>
      </c>
      <c r="S62">
        <f t="shared" si="5"/>
        <v>17737</v>
      </c>
      <c r="T62" s="9">
        <f t="shared" si="6"/>
        <v>2.5778316513502846</v>
      </c>
    </row>
    <row r="63" spans="1:20" x14ac:dyDescent="0.25">
      <c r="A63" s="1">
        <v>40544</v>
      </c>
      <c r="B63">
        <v>40868</v>
      </c>
      <c r="D63">
        <v>36053</v>
      </c>
      <c r="E63">
        <v>31180</v>
      </c>
      <c r="G63">
        <f t="shared" si="2"/>
        <v>108101</v>
      </c>
      <c r="I63" s="1">
        <v>40544</v>
      </c>
      <c r="J63">
        <v>21831</v>
      </c>
      <c r="K63">
        <v>71333</v>
      </c>
      <c r="L63">
        <v>14937</v>
      </c>
      <c r="M63">
        <f t="shared" si="3"/>
        <v>108101</v>
      </c>
      <c r="Q63" s="1">
        <v>40544</v>
      </c>
      <c r="R63">
        <f t="shared" si="4"/>
        <v>31180</v>
      </c>
      <c r="S63">
        <f t="shared" si="5"/>
        <v>14937</v>
      </c>
      <c r="T63" s="9">
        <f t="shared" si="6"/>
        <v>2.0874338890004687</v>
      </c>
    </row>
    <row r="64" spans="1:20" x14ac:dyDescent="0.25">
      <c r="A64" s="1">
        <v>40575</v>
      </c>
      <c r="B64">
        <v>38825</v>
      </c>
      <c r="C64">
        <v>150</v>
      </c>
      <c r="D64">
        <v>24920</v>
      </c>
      <c r="E64">
        <v>36604</v>
      </c>
      <c r="G64">
        <f t="shared" si="2"/>
        <v>100499</v>
      </c>
      <c r="I64" s="1">
        <v>40575</v>
      </c>
      <c r="J64">
        <v>22007</v>
      </c>
      <c r="K64">
        <v>61002</v>
      </c>
      <c r="L64">
        <v>17490</v>
      </c>
      <c r="M64">
        <f t="shared" si="3"/>
        <v>100499</v>
      </c>
      <c r="Q64" s="1">
        <v>40575</v>
      </c>
      <c r="R64">
        <f t="shared" si="4"/>
        <v>36604</v>
      </c>
      <c r="S64">
        <f t="shared" si="5"/>
        <v>17490</v>
      </c>
      <c r="T64" s="9">
        <f t="shared" si="6"/>
        <v>2.0928530588907948</v>
      </c>
    </row>
    <row r="65" spans="1:20" x14ac:dyDescent="0.25">
      <c r="A65" s="1">
        <v>40603</v>
      </c>
      <c r="B65">
        <v>29596</v>
      </c>
      <c r="C65">
        <v>2646</v>
      </c>
      <c r="D65">
        <v>11405</v>
      </c>
      <c r="E65">
        <v>19980</v>
      </c>
      <c r="G65">
        <f t="shared" si="2"/>
        <v>63627</v>
      </c>
      <c r="I65" s="1">
        <v>40603</v>
      </c>
      <c r="J65">
        <v>16260</v>
      </c>
      <c r="K65">
        <v>36850</v>
      </c>
      <c r="L65">
        <v>10517</v>
      </c>
      <c r="M65">
        <f t="shared" si="3"/>
        <v>63627</v>
      </c>
      <c r="Q65" s="1">
        <v>40603</v>
      </c>
      <c r="R65">
        <f t="shared" si="4"/>
        <v>19980</v>
      </c>
      <c r="S65">
        <f t="shared" si="5"/>
        <v>10517</v>
      </c>
      <c r="T65" s="9">
        <f t="shared" si="6"/>
        <v>1.8997813064562137</v>
      </c>
    </row>
    <row r="66" spans="1:20" x14ac:dyDescent="0.25">
      <c r="A66" s="1">
        <v>40634</v>
      </c>
      <c r="B66">
        <v>24320</v>
      </c>
      <c r="C66">
        <v>10</v>
      </c>
      <c r="D66">
        <v>9549</v>
      </c>
      <c r="E66">
        <v>18800</v>
      </c>
      <c r="G66">
        <f t="shared" si="2"/>
        <v>52679</v>
      </c>
      <c r="I66" s="1">
        <v>40634</v>
      </c>
      <c r="J66">
        <v>15307</v>
      </c>
      <c r="K66">
        <v>28254</v>
      </c>
      <c r="L66">
        <v>9118</v>
      </c>
      <c r="M66">
        <f t="shared" si="3"/>
        <v>52679</v>
      </c>
      <c r="Q66" s="1">
        <v>40634</v>
      </c>
      <c r="R66">
        <f t="shared" ref="R66:R97" si="8">VLOOKUP(Q66,A:F,5,0)</f>
        <v>18800</v>
      </c>
      <c r="S66">
        <f t="shared" ref="S66:S97" si="9">VLOOKUP(Q66,I:M,4,0)</f>
        <v>9118</v>
      </c>
      <c r="T66" s="9">
        <f t="shared" si="6"/>
        <v>2.0618556701030926</v>
      </c>
    </row>
    <row r="67" spans="1:20" x14ac:dyDescent="0.25">
      <c r="A67" s="1">
        <v>40664</v>
      </c>
      <c r="B67">
        <v>26412</v>
      </c>
      <c r="D67">
        <v>7249</v>
      </c>
      <c r="E67">
        <v>12820</v>
      </c>
      <c r="G67">
        <f t="shared" ref="G67:G123" si="10">SUM(B67:F67)</f>
        <v>46481</v>
      </c>
      <c r="I67" s="1">
        <v>40664</v>
      </c>
      <c r="J67">
        <v>18349</v>
      </c>
      <c r="K67">
        <v>22304</v>
      </c>
      <c r="L67">
        <v>5828</v>
      </c>
      <c r="M67">
        <f t="shared" ref="M67:M123" si="11">SUM(J67:L67)</f>
        <v>46481</v>
      </c>
      <c r="Q67" s="1">
        <v>40664</v>
      </c>
      <c r="R67">
        <f t="shared" si="8"/>
        <v>12820</v>
      </c>
      <c r="S67">
        <f t="shared" si="9"/>
        <v>5828</v>
      </c>
      <c r="T67" s="9">
        <f t="shared" si="6"/>
        <v>2.1997254632807137</v>
      </c>
    </row>
    <row r="68" spans="1:20" x14ac:dyDescent="0.25">
      <c r="A68" s="1">
        <v>40695</v>
      </c>
      <c r="B68">
        <v>32058</v>
      </c>
      <c r="D68">
        <v>7079</v>
      </c>
      <c r="E68">
        <v>12588</v>
      </c>
      <c r="G68">
        <f t="shared" si="10"/>
        <v>51725</v>
      </c>
      <c r="I68" s="1">
        <v>40695</v>
      </c>
      <c r="J68">
        <v>23616</v>
      </c>
      <c r="K68">
        <v>22239</v>
      </c>
      <c r="L68">
        <v>5870</v>
      </c>
      <c r="M68">
        <f t="shared" si="11"/>
        <v>51725</v>
      </c>
      <c r="Q68" s="1">
        <v>40695</v>
      </c>
      <c r="R68">
        <f t="shared" si="8"/>
        <v>12588</v>
      </c>
      <c r="S68">
        <f t="shared" si="9"/>
        <v>5870</v>
      </c>
      <c r="T68" s="9">
        <f t="shared" si="6"/>
        <v>2.1444633730834752</v>
      </c>
    </row>
    <row r="69" spans="1:20" x14ac:dyDescent="0.25">
      <c r="A69" s="1">
        <v>40725</v>
      </c>
      <c r="B69">
        <v>25325</v>
      </c>
      <c r="D69">
        <v>5161</v>
      </c>
      <c r="E69">
        <v>11579</v>
      </c>
      <c r="G69">
        <f t="shared" si="10"/>
        <v>42065</v>
      </c>
      <c r="I69" s="1">
        <v>40725</v>
      </c>
      <c r="J69">
        <v>19009</v>
      </c>
      <c r="K69">
        <v>16955</v>
      </c>
      <c r="L69">
        <v>6101</v>
      </c>
      <c r="M69">
        <f t="shared" si="11"/>
        <v>42065</v>
      </c>
      <c r="Q69" s="1">
        <v>40725</v>
      </c>
      <c r="R69">
        <f t="shared" si="8"/>
        <v>11579</v>
      </c>
      <c r="S69">
        <f t="shared" si="9"/>
        <v>6101</v>
      </c>
      <c r="T69" s="9">
        <f t="shared" si="6"/>
        <v>1.8978855925258153</v>
      </c>
    </row>
    <row r="70" spans="1:20" x14ac:dyDescent="0.25">
      <c r="A70" s="1">
        <v>40756</v>
      </c>
      <c r="B70">
        <v>34306</v>
      </c>
      <c r="D70">
        <v>8995</v>
      </c>
      <c r="E70">
        <v>13279</v>
      </c>
      <c r="G70">
        <f t="shared" si="10"/>
        <v>56580</v>
      </c>
      <c r="I70" s="1">
        <v>40756</v>
      </c>
      <c r="J70">
        <v>25639</v>
      </c>
      <c r="K70">
        <v>24762</v>
      </c>
      <c r="L70">
        <v>6179</v>
      </c>
      <c r="M70">
        <f t="shared" si="11"/>
        <v>56580</v>
      </c>
      <c r="Q70" s="1">
        <v>40756</v>
      </c>
      <c r="R70">
        <f t="shared" si="8"/>
        <v>13279</v>
      </c>
      <c r="S70">
        <f t="shared" si="9"/>
        <v>6179</v>
      </c>
      <c r="T70" s="9">
        <f t="shared" si="6"/>
        <v>2.1490532448616282</v>
      </c>
    </row>
    <row r="71" spans="1:20" x14ac:dyDescent="0.25">
      <c r="A71" s="1">
        <v>40787</v>
      </c>
      <c r="B71">
        <v>35181</v>
      </c>
      <c r="D71">
        <v>9559</v>
      </c>
      <c r="E71">
        <v>15550</v>
      </c>
      <c r="G71">
        <f t="shared" si="10"/>
        <v>60290</v>
      </c>
      <c r="I71" s="1">
        <v>40787</v>
      </c>
      <c r="J71">
        <v>27102</v>
      </c>
      <c r="K71">
        <v>25880</v>
      </c>
      <c r="L71">
        <v>7308</v>
      </c>
      <c r="M71">
        <f t="shared" si="11"/>
        <v>60290</v>
      </c>
      <c r="Q71" s="1">
        <v>40787</v>
      </c>
      <c r="R71">
        <f t="shared" si="8"/>
        <v>15550</v>
      </c>
      <c r="S71">
        <f t="shared" si="9"/>
        <v>7308</v>
      </c>
      <c r="T71" s="9">
        <f t="shared" si="6"/>
        <v>2.1278051450465245</v>
      </c>
    </row>
    <row r="72" spans="1:20" x14ac:dyDescent="0.25">
      <c r="A72" s="1">
        <v>40817</v>
      </c>
      <c r="B72">
        <v>28354</v>
      </c>
      <c r="D72">
        <v>15321</v>
      </c>
      <c r="E72">
        <v>16474</v>
      </c>
      <c r="G72">
        <f t="shared" si="10"/>
        <v>60149</v>
      </c>
      <c r="I72" s="1">
        <v>40817</v>
      </c>
      <c r="J72">
        <v>20424</v>
      </c>
      <c r="K72">
        <v>32509</v>
      </c>
      <c r="L72">
        <v>7216</v>
      </c>
      <c r="M72">
        <f t="shared" si="11"/>
        <v>60149</v>
      </c>
      <c r="Q72" s="1">
        <v>40817</v>
      </c>
      <c r="R72">
        <f t="shared" si="8"/>
        <v>16474</v>
      </c>
      <c r="S72">
        <f t="shared" si="9"/>
        <v>7216</v>
      </c>
      <c r="T72" s="9">
        <f t="shared" si="6"/>
        <v>2.2829822616407984</v>
      </c>
    </row>
    <row r="73" spans="1:20" x14ac:dyDescent="0.25">
      <c r="A73" s="1">
        <v>40848</v>
      </c>
      <c r="B73">
        <v>22321</v>
      </c>
      <c r="C73">
        <v>16</v>
      </c>
      <c r="D73">
        <v>16181</v>
      </c>
      <c r="E73">
        <v>15358</v>
      </c>
      <c r="G73">
        <f t="shared" si="10"/>
        <v>53876</v>
      </c>
      <c r="I73" s="1">
        <v>40848</v>
      </c>
      <c r="J73">
        <v>15277</v>
      </c>
      <c r="K73">
        <v>31848</v>
      </c>
      <c r="L73">
        <v>6751</v>
      </c>
      <c r="M73">
        <f t="shared" si="11"/>
        <v>53876</v>
      </c>
      <c r="Q73" s="1">
        <v>40848</v>
      </c>
      <c r="R73">
        <f t="shared" si="8"/>
        <v>15358</v>
      </c>
      <c r="S73">
        <f t="shared" si="9"/>
        <v>6751</v>
      </c>
      <c r="T73" s="9">
        <f t="shared" si="6"/>
        <v>2.2749222337431489</v>
      </c>
    </row>
    <row r="74" spans="1:20" x14ac:dyDescent="0.25">
      <c r="A74" s="1">
        <v>40878</v>
      </c>
      <c r="B74">
        <v>12661</v>
      </c>
      <c r="D74">
        <v>13058</v>
      </c>
      <c r="E74">
        <v>17850</v>
      </c>
      <c r="G74">
        <f t="shared" si="10"/>
        <v>43569</v>
      </c>
      <c r="I74" s="1">
        <v>40878</v>
      </c>
      <c r="J74">
        <v>7570</v>
      </c>
      <c r="K74">
        <v>30460</v>
      </c>
      <c r="L74">
        <v>5539</v>
      </c>
      <c r="M74">
        <f t="shared" si="11"/>
        <v>43569</v>
      </c>
      <c r="Q74" s="1">
        <v>40878</v>
      </c>
      <c r="R74">
        <f t="shared" si="8"/>
        <v>17850</v>
      </c>
      <c r="S74">
        <f t="shared" si="9"/>
        <v>5539</v>
      </c>
      <c r="T74" s="9">
        <f t="shared" si="6"/>
        <v>3.2226033580068605</v>
      </c>
    </row>
    <row r="75" spans="1:20" x14ac:dyDescent="0.25">
      <c r="A75" s="1">
        <v>40909</v>
      </c>
      <c r="B75">
        <v>26095</v>
      </c>
      <c r="D75">
        <v>21613</v>
      </c>
      <c r="E75">
        <v>21469</v>
      </c>
      <c r="G75">
        <f t="shared" si="10"/>
        <v>69177</v>
      </c>
      <c r="I75" s="1">
        <v>40909</v>
      </c>
      <c r="J75">
        <v>16546</v>
      </c>
      <c r="K75">
        <v>40253</v>
      </c>
      <c r="L75">
        <v>12378</v>
      </c>
      <c r="M75">
        <f t="shared" si="11"/>
        <v>69177</v>
      </c>
      <c r="Q75" s="1">
        <v>40909</v>
      </c>
      <c r="R75">
        <f t="shared" si="8"/>
        <v>21469</v>
      </c>
      <c r="S75">
        <f t="shared" si="9"/>
        <v>12378</v>
      </c>
      <c r="T75" s="9">
        <f t="shared" si="6"/>
        <v>1.7344482145742446</v>
      </c>
    </row>
    <row r="76" spans="1:20" x14ac:dyDescent="0.25">
      <c r="A76" s="1">
        <v>40940</v>
      </c>
      <c r="B76">
        <v>35310</v>
      </c>
      <c r="D76">
        <v>35057</v>
      </c>
      <c r="E76">
        <v>19436</v>
      </c>
      <c r="G76">
        <f t="shared" si="10"/>
        <v>89803</v>
      </c>
      <c r="I76" s="1">
        <v>40940</v>
      </c>
      <c r="J76">
        <v>20135</v>
      </c>
      <c r="K76">
        <v>59797</v>
      </c>
      <c r="L76">
        <v>9871</v>
      </c>
      <c r="M76">
        <f t="shared" si="11"/>
        <v>89803</v>
      </c>
      <c r="Q76" s="1">
        <v>40940</v>
      </c>
      <c r="R76">
        <f t="shared" si="8"/>
        <v>19436</v>
      </c>
      <c r="S76">
        <f t="shared" si="9"/>
        <v>9871</v>
      </c>
      <c r="T76" s="9">
        <f t="shared" si="6"/>
        <v>1.9690001013068585</v>
      </c>
    </row>
    <row r="77" spans="1:20" x14ac:dyDescent="0.25">
      <c r="A77" s="1">
        <v>40969</v>
      </c>
      <c r="B77">
        <v>26813</v>
      </c>
      <c r="D77">
        <v>28239</v>
      </c>
      <c r="E77">
        <v>29010</v>
      </c>
      <c r="G77">
        <f t="shared" si="10"/>
        <v>84062</v>
      </c>
      <c r="I77" s="1">
        <v>40969</v>
      </c>
      <c r="J77">
        <v>14854</v>
      </c>
      <c r="K77">
        <v>52700</v>
      </c>
      <c r="L77">
        <v>16508</v>
      </c>
      <c r="M77">
        <f t="shared" si="11"/>
        <v>84062</v>
      </c>
      <c r="Q77" s="1">
        <v>40969</v>
      </c>
      <c r="R77">
        <f t="shared" si="8"/>
        <v>29010</v>
      </c>
      <c r="S77">
        <f t="shared" si="9"/>
        <v>16508</v>
      </c>
      <c r="T77" s="9">
        <f t="shared" si="6"/>
        <v>1.757329779500848</v>
      </c>
    </row>
    <row r="78" spans="1:20" x14ac:dyDescent="0.25">
      <c r="A78" s="1">
        <v>41000</v>
      </c>
      <c r="B78">
        <v>37089</v>
      </c>
      <c r="D78">
        <v>30739</v>
      </c>
      <c r="E78">
        <v>18814</v>
      </c>
      <c r="G78">
        <f t="shared" si="10"/>
        <v>86642</v>
      </c>
      <c r="I78" s="1">
        <v>41000</v>
      </c>
      <c r="J78">
        <v>22249</v>
      </c>
      <c r="K78">
        <v>52285</v>
      </c>
      <c r="L78">
        <v>12108</v>
      </c>
      <c r="M78">
        <f t="shared" si="11"/>
        <v>86642</v>
      </c>
      <c r="Q78" s="1">
        <v>41000</v>
      </c>
      <c r="R78">
        <f t="shared" si="8"/>
        <v>18814</v>
      </c>
      <c r="S78">
        <f t="shared" si="9"/>
        <v>12108</v>
      </c>
      <c r="T78" s="9">
        <f t="shared" si="6"/>
        <v>1.5538486950776347</v>
      </c>
    </row>
    <row r="79" spans="1:20" x14ac:dyDescent="0.25">
      <c r="A79" s="1">
        <v>41030</v>
      </c>
      <c r="B79">
        <v>26357</v>
      </c>
      <c r="C79">
        <v>28</v>
      </c>
      <c r="D79">
        <v>17578</v>
      </c>
      <c r="E79">
        <v>22353</v>
      </c>
      <c r="G79">
        <f t="shared" si="10"/>
        <v>66316</v>
      </c>
      <c r="I79" s="1">
        <v>41030</v>
      </c>
      <c r="J79">
        <v>16856</v>
      </c>
      <c r="K79">
        <v>37066</v>
      </c>
      <c r="L79">
        <v>12394</v>
      </c>
      <c r="M79">
        <f t="shared" si="11"/>
        <v>66316</v>
      </c>
      <c r="Q79" s="1">
        <v>41030</v>
      </c>
      <c r="R79">
        <f t="shared" si="8"/>
        <v>22353</v>
      </c>
      <c r="S79">
        <f t="shared" si="9"/>
        <v>12394</v>
      </c>
      <c r="T79" s="9">
        <f t="shared" si="6"/>
        <v>1.8035339680490561</v>
      </c>
    </row>
    <row r="80" spans="1:20" x14ac:dyDescent="0.25">
      <c r="A80" s="1">
        <v>41061</v>
      </c>
      <c r="B80">
        <v>49421</v>
      </c>
      <c r="D80">
        <v>25831</v>
      </c>
      <c r="E80">
        <v>23679</v>
      </c>
      <c r="G80">
        <f t="shared" si="10"/>
        <v>98931</v>
      </c>
      <c r="I80" s="1">
        <v>41061</v>
      </c>
      <c r="J80">
        <v>37261</v>
      </c>
      <c r="K80">
        <v>46044</v>
      </c>
      <c r="L80">
        <v>15626</v>
      </c>
      <c r="M80">
        <f t="shared" si="11"/>
        <v>98931</v>
      </c>
      <c r="Q80" s="1">
        <v>41061</v>
      </c>
      <c r="R80">
        <f t="shared" si="8"/>
        <v>23679</v>
      </c>
      <c r="S80">
        <f t="shared" si="9"/>
        <v>15626</v>
      </c>
      <c r="T80" s="9">
        <f t="shared" si="6"/>
        <v>1.5153590170229105</v>
      </c>
    </row>
    <row r="81" spans="1:20" x14ac:dyDescent="0.25">
      <c r="A81" s="1">
        <v>41091</v>
      </c>
      <c r="B81">
        <v>37815</v>
      </c>
      <c r="D81">
        <v>18827</v>
      </c>
      <c r="E81">
        <v>21930</v>
      </c>
      <c r="G81">
        <f t="shared" si="10"/>
        <v>78572</v>
      </c>
      <c r="I81" s="1">
        <v>41091</v>
      </c>
      <c r="J81">
        <v>26911</v>
      </c>
      <c r="K81">
        <v>36784</v>
      </c>
      <c r="L81">
        <v>14877</v>
      </c>
      <c r="M81">
        <f t="shared" si="11"/>
        <v>78572</v>
      </c>
      <c r="Q81" s="1">
        <v>41091</v>
      </c>
      <c r="R81">
        <f t="shared" si="8"/>
        <v>21930</v>
      </c>
      <c r="S81">
        <f t="shared" si="9"/>
        <v>14877</v>
      </c>
      <c r="T81" s="9">
        <f t="shared" si="6"/>
        <v>1.4740875176446864</v>
      </c>
    </row>
    <row r="82" spans="1:20" x14ac:dyDescent="0.25">
      <c r="A82" s="1">
        <v>41122</v>
      </c>
      <c r="B82">
        <v>51040</v>
      </c>
      <c r="D82">
        <v>26774</v>
      </c>
      <c r="E82">
        <v>25715</v>
      </c>
      <c r="G82">
        <f t="shared" si="10"/>
        <v>103529</v>
      </c>
      <c r="I82" s="1">
        <v>41122</v>
      </c>
      <c r="J82">
        <v>37843</v>
      </c>
      <c r="K82">
        <v>51984</v>
      </c>
      <c r="L82">
        <v>13702</v>
      </c>
      <c r="M82">
        <f t="shared" si="11"/>
        <v>103529</v>
      </c>
      <c r="Q82" s="1">
        <v>41122</v>
      </c>
      <c r="R82">
        <f t="shared" si="8"/>
        <v>25715</v>
      </c>
      <c r="S82">
        <f t="shared" si="9"/>
        <v>13702</v>
      </c>
      <c r="T82" s="9">
        <f t="shared" si="6"/>
        <v>1.8767333236023938</v>
      </c>
    </row>
    <row r="83" spans="1:20" x14ac:dyDescent="0.25">
      <c r="A83" s="1">
        <v>41153</v>
      </c>
      <c r="B83">
        <v>34014</v>
      </c>
      <c r="D83">
        <v>25041</v>
      </c>
      <c r="E83">
        <v>20098</v>
      </c>
      <c r="G83">
        <f t="shared" si="10"/>
        <v>79153</v>
      </c>
      <c r="I83" s="1">
        <v>41153</v>
      </c>
      <c r="J83">
        <v>23418</v>
      </c>
      <c r="K83">
        <v>44391</v>
      </c>
      <c r="L83">
        <v>11344</v>
      </c>
      <c r="M83">
        <f t="shared" si="11"/>
        <v>79153</v>
      </c>
      <c r="Q83" s="1">
        <v>41153</v>
      </c>
      <c r="R83">
        <f t="shared" si="8"/>
        <v>20098</v>
      </c>
      <c r="S83">
        <f t="shared" si="9"/>
        <v>11344</v>
      </c>
      <c r="T83" s="9">
        <f t="shared" si="6"/>
        <v>1.7716854724964739</v>
      </c>
    </row>
    <row r="84" spans="1:20" x14ac:dyDescent="0.25">
      <c r="A84" s="1">
        <v>41183</v>
      </c>
      <c r="B84">
        <v>50866</v>
      </c>
      <c r="D84">
        <v>38833</v>
      </c>
      <c r="E84">
        <v>23340</v>
      </c>
      <c r="G84">
        <f t="shared" si="10"/>
        <v>113039</v>
      </c>
      <c r="I84" s="1">
        <v>41183</v>
      </c>
      <c r="J84">
        <v>34325</v>
      </c>
      <c r="K84">
        <v>66015</v>
      </c>
      <c r="L84">
        <v>12699</v>
      </c>
      <c r="M84">
        <f t="shared" si="11"/>
        <v>113039</v>
      </c>
      <c r="Q84" s="1">
        <v>41183</v>
      </c>
      <c r="R84">
        <f t="shared" si="8"/>
        <v>23340</v>
      </c>
      <c r="S84">
        <f t="shared" si="9"/>
        <v>12699</v>
      </c>
      <c r="T84" s="9">
        <f t="shared" si="6"/>
        <v>1.8379399952752185</v>
      </c>
    </row>
    <row r="85" spans="1:20" x14ac:dyDescent="0.25">
      <c r="A85" s="1">
        <v>41214</v>
      </c>
      <c r="B85">
        <v>70841</v>
      </c>
      <c r="C85">
        <v>1190</v>
      </c>
      <c r="D85">
        <v>49783</v>
      </c>
      <c r="E85">
        <v>40576</v>
      </c>
      <c r="G85">
        <f t="shared" si="10"/>
        <v>162390</v>
      </c>
      <c r="I85" s="1">
        <v>41214</v>
      </c>
      <c r="J85">
        <v>46278</v>
      </c>
      <c r="K85">
        <v>95074</v>
      </c>
      <c r="L85">
        <v>21038</v>
      </c>
      <c r="M85">
        <f t="shared" si="11"/>
        <v>162390</v>
      </c>
      <c r="Q85" s="1">
        <v>41214</v>
      </c>
      <c r="R85">
        <f t="shared" si="8"/>
        <v>40576</v>
      </c>
      <c r="S85">
        <f t="shared" si="9"/>
        <v>21038</v>
      </c>
      <c r="T85" s="9">
        <f t="shared" si="6"/>
        <v>1.9287004468105333</v>
      </c>
    </row>
    <row r="86" spans="1:20" x14ac:dyDescent="0.25">
      <c r="A86" s="1">
        <v>41244</v>
      </c>
      <c r="B86">
        <v>26902</v>
      </c>
      <c r="C86">
        <v>7</v>
      </c>
      <c r="D86">
        <v>23978</v>
      </c>
      <c r="E86">
        <v>16073</v>
      </c>
      <c r="G86">
        <f t="shared" si="10"/>
        <v>66960</v>
      </c>
      <c r="I86" s="1">
        <v>41244</v>
      </c>
      <c r="J86">
        <v>16571</v>
      </c>
      <c r="K86">
        <v>41588</v>
      </c>
      <c r="L86">
        <v>8801</v>
      </c>
      <c r="M86">
        <f t="shared" si="11"/>
        <v>66960</v>
      </c>
      <c r="Q86" s="1">
        <v>41244</v>
      </c>
      <c r="R86">
        <f t="shared" si="8"/>
        <v>16073</v>
      </c>
      <c r="S86">
        <f t="shared" si="9"/>
        <v>8801</v>
      </c>
      <c r="T86" s="9">
        <f t="shared" si="6"/>
        <v>1.8262697420747642</v>
      </c>
    </row>
    <row r="87" spans="1:20" x14ac:dyDescent="0.25">
      <c r="A87" s="1">
        <v>41275</v>
      </c>
      <c r="B87">
        <v>42899</v>
      </c>
      <c r="D87">
        <v>39760</v>
      </c>
      <c r="E87">
        <v>31891</v>
      </c>
      <c r="G87">
        <f t="shared" si="10"/>
        <v>114550</v>
      </c>
      <c r="I87" s="1">
        <v>41275</v>
      </c>
      <c r="J87">
        <v>25177</v>
      </c>
      <c r="K87">
        <v>73417</v>
      </c>
      <c r="L87">
        <v>15956</v>
      </c>
      <c r="M87">
        <f t="shared" si="11"/>
        <v>114550</v>
      </c>
      <c r="Q87" s="1">
        <v>41275</v>
      </c>
      <c r="R87">
        <f t="shared" si="8"/>
        <v>31891</v>
      </c>
      <c r="S87">
        <f t="shared" si="9"/>
        <v>15956</v>
      </c>
      <c r="T87" s="9">
        <f t="shared" si="6"/>
        <v>1.9986838806718477</v>
      </c>
    </row>
    <row r="88" spans="1:20" x14ac:dyDescent="0.25">
      <c r="A88" s="1">
        <v>41306</v>
      </c>
      <c r="B88">
        <v>41255</v>
      </c>
      <c r="D88">
        <v>38300</v>
      </c>
      <c r="E88">
        <v>28858</v>
      </c>
      <c r="G88">
        <f t="shared" si="10"/>
        <v>108413</v>
      </c>
      <c r="I88" s="1">
        <v>41306</v>
      </c>
      <c r="J88">
        <v>25580</v>
      </c>
      <c r="K88">
        <v>67911</v>
      </c>
      <c r="L88">
        <v>14922</v>
      </c>
      <c r="M88">
        <f t="shared" si="11"/>
        <v>108413</v>
      </c>
      <c r="Q88" s="1">
        <v>41306</v>
      </c>
      <c r="R88">
        <f t="shared" si="8"/>
        <v>28858</v>
      </c>
      <c r="S88">
        <f t="shared" si="9"/>
        <v>14922</v>
      </c>
      <c r="T88" s="9">
        <f t="shared" si="6"/>
        <v>1.9339230666130545</v>
      </c>
    </row>
    <row r="89" spans="1:20" x14ac:dyDescent="0.25">
      <c r="A89" s="1">
        <v>41334</v>
      </c>
      <c r="B89">
        <v>48881</v>
      </c>
      <c r="C89">
        <v>8</v>
      </c>
      <c r="D89">
        <v>48117</v>
      </c>
      <c r="E89">
        <v>30621</v>
      </c>
      <c r="G89">
        <f t="shared" si="10"/>
        <v>127627</v>
      </c>
      <c r="I89" s="1">
        <v>41334</v>
      </c>
      <c r="J89">
        <v>28914</v>
      </c>
      <c r="K89">
        <v>82614</v>
      </c>
      <c r="L89">
        <v>16099</v>
      </c>
      <c r="M89">
        <f t="shared" si="11"/>
        <v>127627</v>
      </c>
      <c r="Q89" s="1">
        <v>41334</v>
      </c>
      <c r="R89">
        <f t="shared" si="8"/>
        <v>30621</v>
      </c>
      <c r="S89">
        <f t="shared" si="9"/>
        <v>16099</v>
      </c>
      <c r="T89" s="9">
        <f t="shared" si="6"/>
        <v>1.9020436051928691</v>
      </c>
    </row>
    <row r="90" spans="1:20" x14ac:dyDescent="0.25">
      <c r="A90" s="1">
        <v>41365</v>
      </c>
      <c r="B90">
        <v>53226</v>
      </c>
      <c r="C90">
        <v>7</v>
      </c>
      <c r="D90">
        <v>40468</v>
      </c>
      <c r="E90">
        <v>33414</v>
      </c>
      <c r="G90">
        <f t="shared" si="10"/>
        <v>127115</v>
      </c>
      <c r="I90" s="1">
        <v>41365</v>
      </c>
      <c r="J90">
        <v>35275</v>
      </c>
      <c r="K90">
        <v>75037</v>
      </c>
      <c r="L90">
        <v>16803</v>
      </c>
      <c r="M90">
        <f t="shared" si="11"/>
        <v>127115</v>
      </c>
      <c r="Q90" s="1">
        <v>41365</v>
      </c>
      <c r="R90">
        <f t="shared" si="8"/>
        <v>33414</v>
      </c>
      <c r="S90">
        <f t="shared" si="9"/>
        <v>16803</v>
      </c>
      <c r="T90" s="9">
        <f t="shared" si="6"/>
        <v>1.9885734690233887</v>
      </c>
    </row>
    <row r="91" spans="1:20" x14ac:dyDescent="0.25">
      <c r="A91" s="1">
        <v>41395</v>
      </c>
      <c r="B91">
        <v>49248</v>
      </c>
      <c r="C91">
        <v>88</v>
      </c>
      <c r="D91">
        <v>26944</v>
      </c>
      <c r="E91">
        <v>28554</v>
      </c>
      <c r="G91">
        <f t="shared" si="10"/>
        <v>104834</v>
      </c>
      <c r="I91" s="1">
        <v>41395</v>
      </c>
      <c r="J91">
        <v>34586</v>
      </c>
      <c r="K91">
        <v>55021</v>
      </c>
      <c r="L91">
        <v>15227</v>
      </c>
      <c r="M91">
        <f t="shared" si="11"/>
        <v>104834</v>
      </c>
      <c r="Q91" s="1">
        <v>41395</v>
      </c>
      <c r="R91">
        <f t="shared" si="8"/>
        <v>28554</v>
      </c>
      <c r="S91">
        <f t="shared" si="9"/>
        <v>15227</v>
      </c>
      <c r="T91" s="9">
        <f t="shared" si="6"/>
        <v>1.8752216457608195</v>
      </c>
    </row>
    <row r="92" spans="1:20" x14ac:dyDescent="0.25">
      <c r="A92" s="1">
        <v>41426</v>
      </c>
      <c r="B92">
        <v>62348</v>
      </c>
      <c r="C92">
        <v>19</v>
      </c>
      <c r="D92">
        <v>33375</v>
      </c>
      <c r="E92">
        <v>30201</v>
      </c>
      <c r="G92">
        <f t="shared" si="10"/>
        <v>125943</v>
      </c>
      <c r="I92" s="1">
        <v>41426</v>
      </c>
      <c r="J92">
        <v>44700</v>
      </c>
      <c r="K92">
        <v>66427</v>
      </c>
      <c r="L92">
        <v>14816</v>
      </c>
      <c r="M92">
        <f t="shared" si="11"/>
        <v>125943</v>
      </c>
      <c r="Q92" s="1">
        <v>41426</v>
      </c>
      <c r="R92">
        <f t="shared" si="8"/>
        <v>30201</v>
      </c>
      <c r="S92">
        <f t="shared" si="9"/>
        <v>14816</v>
      </c>
      <c r="T92" s="9">
        <f t="shared" si="6"/>
        <v>2.0384044276457884</v>
      </c>
    </row>
    <row r="93" spans="1:20" x14ac:dyDescent="0.25">
      <c r="A93" s="1">
        <v>41456</v>
      </c>
      <c r="B93">
        <v>52562</v>
      </c>
      <c r="D93">
        <v>26413</v>
      </c>
      <c r="E93">
        <v>22463</v>
      </c>
      <c r="G93">
        <f t="shared" si="10"/>
        <v>101438</v>
      </c>
      <c r="I93" s="1">
        <v>41456</v>
      </c>
      <c r="J93">
        <v>39068</v>
      </c>
      <c r="K93">
        <v>51039</v>
      </c>
      <c r="L93">
        <v>11331</v>
      </c>
      <c r="M93">
        <f t="shared" si="11"/>
        <v>101438</v>
      </c>
      <c r="Q93" s="1">
        <v>41456</v>
      </c>
      <c r="R93">
        <f t="shared" si="8"/>
        <v>22463</v>
      </c>
      <c r="S93">
        <f t="shared" si="9"/>
        <v>11331</v>
      </c>
      <c r="T93" s="9">
        <f t="shared" si="6"/>
        <v>1.9824375606742564</v>
      </c>
    </row>
    <row r="94" spans="1:20" x14ac:dyDescent="0.25">
      <c r="A94" s="1">
        <v>41487</v>
      </c>
      <c r="B94">
        <v>62201</v>
      </c>
      <c r="C94">
        <v>1</v>
      </c>
      <c r="D94">
        <v>23108</v>
      </c>
      <c r="E94">
        <v>18785</v>
      </c>
      <c r="G94">
        <f t="shared" si="10"/>
        <v>104095</v>
      </c>
      <c r="I94" s="1">
        <v>41487</v>
      </c>
      <c r="J94">
        <v>47444</v>
      </c>
      <c r="K94">
        <v>46731</v>
      </c>
      <c r="L94">
        <v>9920</v>
      </c>
      <c r="M94">
        <f t="shared" si="11"/>
        <v>104095</v>
      </c>
      <c r="Q94" s="1">
        <v>41487</v>
      </c>
      <c r="R94">
        <f t="shared" si="8"/>
        <v>18785</v>
      </c>
      <c r="S94">
        <f t="shared" si="9"/>
        <v>9920</v>
      </c>
      <c r="T94" s="9">
        <f t="shared" si="6"/>
        <v>1.893649193548387</v>
      </c>
    </row>
    <row r="95" spans="1:20" x14ac:dyDescent="0.25">
      <c r="A95" s="1">
        <v>41518</v>
      </c>
      <c r="B95">
        <v>44797</v>
      </c>
      <c r="C95">
        <v>90</v>
      </c>
      <c r="D95">
        <v>12617</v>
      </c>
      <c r="E95">
        <v>16394</v>
      </c>
      <c r="G95">
        <f t="shared" si="10"/>
        <v>73898</v>
      </c>
      <c r="I95" s="1">
        <v>41518</v>
      </c>
      <c r="J95">
        <v>35267</v>
      </c>
      <c r="K95">
        <v>30127</v>
      </c>
      <c r="L95">
        <v>8504</v>
      </c>
      <c r="M95">
        <f t="shared" si="11"/>
        <v>73898</v>
      </c>
      <c r="Q95" s="1">
        <v>41518</v>
      </c>
      <c r="R95">
        <f t="shared" si="8"/>
        <v>16394</v>
      </c>
      <c r="S95">
        <f t="shared" si="9"/>
        <v>8504</v>
      </c>
      <c r="T95" s="9">
        <f t="shared" si="6"/>
        <v>1.9277986829727187</v>
      </c>
    </row>
    <row r="96" spans="1:20" x14ac:dyDescent="0.25">
      <c r="A96" s="1">
        <v>41548</v>
      </c>
      <c r="B96">
        <v>41608</v>
      </c>
      <c r="D96">
        <v>8614</v>
      </c>
      <c r="E96">
        <v>13595</v>
      </c>
      <c r="G96">
        <f t="shared" si="10"/>
        <v>63817</v>
      </c>
      <c r="I96" s="1">
        <v>41548</v>
      </c>
      <c r="J96">
        <v>33777</v>
      </c>
      <c r="K96">
        <v>22632</v>
      </c>
      <c r="L96">
        <v>7408</v>
      </c>
      <c r="M96">
        <f t="shared" si="11"/>
        <v>63817</v>
      </c>
      <c r="Q96" s="1">
        <v>41548</v>
      </c>
      <c r="R96">
        <f t="shared" si="8"/>
        <v>13595</v>
      </c>
      <c r="S96">
        <f t="shared" si="9"/>
        <v>7408</v>
      </c>
      <c r="T96" s="9">
        <f t="shared" si="6"/>
        <v>1.8351781857451404</v>
      </c>
    </row>
    <row r="97" spans="1:20" x14ac:dyDescent="0.25">
      <c r="A97" s="1">
        <v>41579</v>
      </c>
      <c r="B97">
        <v>50491</v>
      </c>
      <c r="C97">
        <v>969</v>
      </c>
      <c r="D97">
        <v>7821</v>
      </c>
      <c r="E97">
        <v>12144</v>
      </c>
      <c r="G97">
        <f t="shared" si="10"/>
        <v>71425</v>
      </c>
      <c r="I97" s="1">
        <v>41579</v>
      </c>
      <c r="J97">
        <v>40694</v>
      </c>
      <c r="K97">
        <v>24532</v>
      </c>
      <c r="L97">
        <v>6199</v>
      </c>
      <c r="M97">
        <f t="shared" si="11"/>
        <v>71425</v>
      </c>
      <c r="Q97" s="1">
        <v>41579</v>
      </c>
      <c r="R97">
        <f t="shared" si="8"/>
        <v>12144</v>
      </c>
      <c r="S97">
        <f t="shared" si="9"/>
        <v>6199</v>
      </c>
      <c r="T97" s="9">
        <f t="shared" si="6"/>
        <v>1.9590256492982738</v>
      </c>
    </row>
    <row r="98" spans="1:20" x14ac:dyDescent="0.25">
      <c r="A98" s="1">
        <v>41609</v>
      </c>
      <c r="B98">
        <v>51152</v>
      </c>
      <c r="C98">
        <v>1125</v>
      </c>
      <c r="D98">
        <v>9232</v>
      </c>
      <c r="E98">
        <v>8436</v>
      </c>
      <c r="G98">
        <f t="shared" si="10"/>
        <v>69945</v>
      </c>
      <c r="I98" s="1">
        <v>41609</v>
      </c>
      <c r="J98">
        <v>40788</v>
      </c>
      <c r="K98">
        <v>25298</v>
      </c>
      <c r="L98">
        <v>3859</v>
      </c>
      <c r="M98">
        <f t="shared" si="11"/>
        <v>69945</v>
      </c>
      <c r="Q98" s="1">
        <v>41609</v>
      </c>
      <c r="R98">
        <f t="shared" ref="R98:R123" si="12">VLOOKUP(Q98,A:F,5,0)</f>
        <v>8436</v>
      </c>
      <c r="S98">
        <f t="shared" ref="S98:S123" si="13">VLOOKUP(Q98,I:M,4,0)</f>
        <v>3859</v>
      </c>
      <c r="T98" s="9">
        <f t="shared" si="6"/>
        <v>2.1860585643949211</v>
      </c>
    </row>
    <row r="99" spans="1:20" x14ac:dyDescent="0.25">
      <c r="A99" s="1">
        <v>41640</v>
      </c>
      <c r="B99">
        <v>41585</v>
      </c>
      <c r="D99">
        <v>8940</v>
      </c>
      <c r="E99">
        <v>10673</v>
      </c>
      <c r="G99">
        <f t="shared" si="10"/>
        <v>61198</v>
      </c>
      <c r="I99" s="1">
        <v>41640</v>
      </c>
      <c r="J99">
        <v>32552</v>
      </c>
      <c r="K99">
        <v>23301</v>
      </c>
      <c r="L99">
        <v>5345</v>
      </c>
      <c r="M99">
        <f t="shared" si="11"/>
        <v>61198</v>
      </c>
      <c r="Q99" s="1">
        <v>41640</v>
      </c>
      <c r="R99">
        <f t="shared" si="12"/>
        <v>10673</v>
      </c>
      <c r="S99">
        <f t="shared" si="13"/>
        <v>5345</v>
      </c>
      <c r="T99" s="9">
        <f t="shared" si="6"/>
        <v>1.996819457436857</v>
      </c>
    </row>
    <row r="100" spans="1:20" x14ac:dyDescent="0.25">
      <c r="A100" s="1">
        <v>41671</v>
      </c>
      <c r="B100">
        <v>40661</v>
      </c>
      <c r="D100">
        <v>7816</v>
      </c>
      <c r="E100">
        <v>9613</v>
      </c>
      <c r="F100">
        <v>433</v>
      </c>
      <c r="G100">
        <f t="shared" si="10"/>
        <v>58523</v>
      </c>
      <c r="I100" s="1">
        <v>41671</v>
      </c>
      <c r="J100">
        <v>32575</v>
      </c>
      <c r="K100">
        <v>21236</v>
      </c>
      <c r="L100">
        <v>4712</v>
      </c>
      <c r="M100">
        <f t="shared" si="11"/>
        <v>58523</v>
      </c>
      <c r="Q100" s="1">
        <v>41671</v>
      </c>
      <c r="R100">
        <f t="shared" si="12"/>
        <v>9613</v>
      </c>
      <c r="S100">
        <f t="shared" si="13"/>
        <v>4712</v>
      </c>
      <c r="T100" s="9">
        <f>AVERAGE(T45:T99)</f>
        <v>1.990468475763145</v>
      </c>
    </row>
    <row r="101" spans="1:20" x14ac:dyDescent="0.25">
      <c r="A101" s="1">
        <v>41699</v>
      </c>
      <c r="B101">
        <v>31931</v>
      </c>
      <c r="C101">
        <v>16</v>
      </c>
      <c r="D101">
        <v>2610</v>
      </c>
      <c r="E101">
        <v>2000</v>
      </c>
      <c r="F101">
        <v>7802</v>
      </c>
      <c r="G101">
        <f t="shared" si="10"/>
        <v>44359</v>
      </c>
      <c r="I101" s="1">
        <v>41699</v>
      </c>
      <c r="J101">
        <v>25292</v>
      </c>
      <c r="K101">
        <v>15910</v>
      </c>
      <c r="L101">
        <v>3157</v>
      </c>
      <c r="M101">
        <f t="shared" si="11"/>
        <v>44359</v>
      </c>
      <c r="Q101" s="1">
        <v>41699</v>
      </c>
      <c r="R101">
        <f t="shared" si="12"/>
        <v>2000</v>
      </c>
      <c r="S101">
        <f t="shared" si="13"/>
        <v>3157</v>
      </c>
    </row>
    <row r="102" spans="1:20" x14ac:dyDescent="0.25">
      <c r="A102" s="1">
        <v>41730</v>
      </c>
      <c r="B102">
        <v>41535</v>
      </c>
      <c r="D102">
        <v>488</v>
      </c>
      <c r="E102">
        <v>203</v>
      </c>
      <c r="F102">
        <v>13317</v>
      </c>
      <c r="G102">
        <f t="shared" si="10"/>
        <v>55543</v>
      </c>
      <c r="I102" s="1">
        <v>41730</v>
      </c>
      <c r="J102">
        <v>33556</v>
      </c>
      <c r="K102">
        <v>18649</v>
      </c>
      <c r="L102">
        <v>3338</v>
      </c>
      <c r="M102">
        <f t="shared" si="11"/>
        <v>55543</v>
      </c>
      <c r="Q102" s="1">
        <v>41730</v>
      </c>
      <c r="R102">
        <f t="shared" si="12"/>
        <v>203</v>
      </c>
      <c r="S102">
        <f t="shared" si="13"/>
        <v>3338</v>
      </c>
    </row>
    <row r="103" spans="1:20" x14ac:dyDescent="0.25">
      <c r="A103" s="1">
        <v>41760</v>
      </c>
      <c r="B103">
        <v>44793</v>
      </c>
      <c r="D103">
        <v>144</v>
      </c>
      <c r="E103">
        <v>50</v>
      </c>
      <c r="F103">
        <v>13013</v>
      </c>
      <c r="G103">
        <f t="shared" si="10"/>
        <v>58000</v>
      </c>
      <c r="I103" s="1">
        <v>41760</v>
      </c>
      <c r="J103">
        <v>36971</v>
      </c>
      <c r="K103">
        <v>18072</v>
      </c>
      <c r="L103">
        <v>2957</v>
      </c>
      <c r="M103">
        <f t="shared" si="11"/>
        <v>58000</v>
      </c>
      <c r="Q103" s="1">
        <v>41760</v>
      </c>
      <c r="R103">
        <f t="shared" si="12"/>
        <v>50</v>
      </c>
      <c r="S103">
        <f t="shared" si="13"/>
        <v>2957</v>
      </c>
    </row>
    <row r="104" spans="1:20" x14ac:dyDescent="0.25">
      <c r="A104" s="1">
        <v>41791</v>
      </c>
      <c r="B104">
        <v>52858</v>
      </c>
      <c r="D104">
        <v>15</v>
      </c>
      <c r="E104">
        <v>13</v>
      </c>
      <c r="F104">
        <v>14294</v>
      </c>
      <c r="G104">
        <f t="shared" si="10"/>
        <v>67180</v>
      </c>
      <c r="I104" s="1">
        <v>41791</v>
      </c>
      <c r="J104">
        <v>44546</v>
      </c>
      <c r="K104">
        <v>19550</v>
      </c>
      <c r="L104">
        <v>3084</v>
      </c>
      <c r="M104">
        <f t="shared" si="11"/>
        <v>67180</v>
      </c>
      <c r="Q104" s="1">
        <v>41791</v>
      </c>
      <c r="R104">
        <f t="shared" si="12"/>
        <v>13</v>
      </c>
      <c r="S104">
        <f t="shared" si="13"/>
        <v>3084</v>
      </c>
    </row>
    <row r="105" spans="1:20" x14ac:dyDescent="0.25">
      <c r="A105" s="1">
        <v>41821</v>
      </c>
      <c r="B105">
        <v>55463</v>
      </c>
      <c r="D105">
        <v>20</v>
      </c>
      <c r="E105">
        <v>10</v>
      </c>
      <c r="F105">
        <v>13253</v>
      </c>
      <c r="G105">
        <f t="shared" si="10"/>
        <v>68746</v>
      </c>
      <c r="I105" s="1">
        <v>41821</v>
      </c>
      <c r="J105">
        <v>47158</v>
      </c>
      <c r="K105">
        <v>19246</v>
      </c>
      <c r="L105">
        <v>2342</v>
      </c>
      <c r="M105">
        <f t="shared" si="11"/>
        <v>68746</v>
      </c>
      <c r="Q105" s="1">
        <v>41821</v>
      </c>
      <c r="R105">
        <f t="shared" si="12"/>
        <v>10</v>
      </c>
      <c r="S105">
        <f t="shared" si="13"/>
        <v>2342</v>
      </c>
    </row>
    <row r="106" spans="1:20" x14ac:dyDescent="0.25">
      <c r="A106" s="1">
        <v>41852</v>
      </c>
      <c r="B106">
        <v>74711</v>
      </c>
      <c r="D106">
        <v>4942</v>
      </c>
      <c r="E106">
        <v>25</v>
      </c>
      <c r="F106">
        <v>15355</v>
      </c>
      <c r="G106">
        <f t="shared" si="10"/>
        <v>95033</v>
      </c>
      <c r="I106" s="1">
        <v>41852</v>
      </c>
      <c r="J106">
        <v>58661</v>
      </c>
      <c r="K106">
        <v>34153</v>
      </c>
      <c r="L106">
        <v>2219</v>
      </c>
      <c r="M106">
        <f t="shared" si="11"/>
        <v>95033</v>
      </c>
      <c r="Q106" s="1">
        <v>41852</v>
      </c>
      <c r="R106">
        <f t="shared" si="12"/>
        <v>25</v>
      </c>
      <c r="S106">
        <f t="shared" si="13"/>
        <v>2219</v>
      </c>
    </row>
    <row r="107" spans="1:20" x14ac:dyDescent="0.25">
      <c r="A107" s="1">
        <v>41883</v>
      </c>
      <c r="B107">
        <v>65252</v>
      </c>
      <c r="C107">
        <v>1</v>
      </c>
      <c r="D107">
        <v>1198</v>
      </c>
      <c r="E107">
        <v>11</v>
      </c>
      <c r="F107">
        <v>16781</v>
      </c>
      <c r="G107">
        <f t="shared" si="10"/>
        <v>83243</v>
      </c>
      <c r="I107" s="1">
        <v>41883</v>
      </c>
      <c r="J107">
        <v>53474</v>
      </c>
      <c r="K107">
        <v>27138</v>
      </c>
      <c r="L107">
        <v>2631</v>
      </c>
      <c r="M107">
        <f t="shared" si="11"/>
        <v>83243</v>
      </c>
      <c r="Q107" s="1">
        <v>41883</v>
      </c>
      <c r="R107">
        <f t="shared" si="12"/>
        <v>11</v>
      </c>
      <c r="S107">
        <f t="shared" si="13"/>
        <v>2631</v>
      </c>
    </row>
    <row r="108" spans="1:20" x14ac:dyDescent="0.25">
      <c r="A108" s="1">
        <v>41913</v>
      </c>
      <c r="B108">
        <v>64996</v>
      </c>
      <c r="D108">
        <v>302</v>
      </c>
      <c r="E108">
        <v>33</v>
      </c>
      <c r="F108">
        <v>18205</v>
      </c>
      <c r="G108">
        <f t="shared" si="10"/>
        <v>83536</v>
      </c>
      <c r="I108" s="1">
        <v>41913</v>
      </c>
      <c r="J108">
        <v>52441</v>
      </c>
      <c r="K108">
        <v>28527</v>
      </c>
      <c r="L108">
        <v>2568</v>
      </c>
      <c r="M108">
        <f t="shared" si="11"/>
        <v>83536</v>
      </c>
      <c r="Q108" s="1">
        <v>41913</v>
      </c>
      <c r="R108">
        <f t="shared" si="12"/>
        <v>33</v>
      </c>
      <c r="S108">
        <f t="shared" si="13"/>
        <v>2568</v>
      </c>
    </row>
    <row r="109" spans="1:20" x14ac:dyDescent="0.25">
      <c r="A109" s="1">
        <v>41944</v>
      </c>
      <c r="B109">
        <v>60127</v>
      </c>
      <c r="C109">
        <v>3</v>
      </c>
      <c r="D109">
        <v>67</v>
      </c>
      <c r="E109">
        <v>15</v>
      </c>
      <c r="F109">
        <v>17771</v>
      </c>
      <c r="G109">
        <f t="shared" si="10"/>
        <v>77983</v>
      </c>
      <c r="I109" s="1">
        <v>41944</v>
      </c>
      <c r="J109">
        <v>48167</v>
      </c>
      <c r="K109">
        <v>27618</v>
      </c>
      <c r="L109">
        <v>2198</v>
      </c>
      <c r="M109">
        <f t="shared" si="11"/>
        <v>77983</v>
      </c>
      <c r="Q109" s="1">
        <v>41944</v>
      </c>
      <c r="R109">
        <f t="shared" si="12"/>
        <v>15</v>
      </c>
      <c r="S109">
        <f t="shared" si="13"/>
        <v>2198</v>
      </c>
    </row>
    <row r="110" spans="1:20" x14ac:dyDescent="0.25">
      <c r="A110" s="1">
        <v>41974</v>
      </c>
      <c r="B110">
        <v>48738</v>
      </c>
      <c r="C110">
        <v>1</v>
      </c>
      <c r="D110">
        <v>18</v>
      </c>
      <c r="E110">
        <v>1</v>
      </c>
      <c r="F110">
        <v>20639</v>
      </c>
      <c r="G110">
        <f t="shared" si="10"/>
        <v>69397</v>
      </c>
      <c r="I110" s="1">
        <v>41974</v>
      </c>
      <c r="J110">
        <v>37180</v>
      </c>
      <c r="K110">
        <v>29951</v>
      </c>
      <c r="L110">
        <v>2266</v>
      </c>
      <c r="M110">
        <f t="shared" si="11"/>
        <v>69397</v>
      </c>
      <c r="Q110" s="1">
        <v>41974</v>
      </c>
      <c r="R110">
        <f t="shared" si="12"/>
        <v>1</v>
      </c>
      <c r="S110">
        <f t="shared" si="13"/>
        <v>2266</v>
      </c>
    </row>
    <row r="111" spans="1:20" x14ac:dyDescent="0.25">
      <c r="A111" s="1">
        <v>42005</v>
      </c>
      <c r="B111">
        <v>49656</v>
      </c>
      <c r="C111">
        <v>1</v>
      </c>
      <c r="D111">
        <v>67</v>
      </c>
      <c r="E111">
        <v>17</v>
      </c>
      <c r="F111">
        <v>20018</v>
      </c>
      <c r="G111">
        <f t="shared" si="10"/>
        <v>69759</v>
      </c>
      <c r="I111" s="1">
        <v>42005</v>
      </c>
      <c r="J111">
        <v>37274</v>
      </c>
      <c r="K111">
        <v>30559</v>
      </c>
      <c r="L111">
        <v>1926</v>
      </c>
      <c r="M111">
        <f t="shared" si="11"/>
        <v>69759</v>
      </c>
      <c r="Q111" s="1">
        <v>42005</v>
      </c>
      <c r="R111">
        <f t="shared" si="12"/>
        <v>17</v>
      </c>
      <c r="S111">
        <f t="shared" si="13"/>
        <v>1926</v>
      </c>
    </row>
    <row r="112" spans="1:20" x14ac:dyDescent="0.25">
      <c r="A112" s="1">
        <v>42036</v>
      </c>
      <c r="B112">
        <v>63470</v>
      </c>
      <c r="C112">
        <v>9</v>
      </c>
      <c r="D112">
        <v>7528</v>
      </c>
      <c r="E112">
        <v>26</v>
      </c>
      <c r="F112">
        <v>26307</v>
      </c>
      <c r="G112">
        <f t="shared" si="10"/>
        <v>97340</v>
      </c>
      <c r="I112" s="1">
        <v>42036</v>
      </c>
      <c r="J112">
        <v>41840</v>
      </c>
      <c r="K112">
        <v>53289</v>
      </c>
      <c r="L112">
        <v>2211</v>
      </c>
      <c r="M112">
        <f t="shared" si="11"/>
        <v>97340</v>
      </c>
      <c r="Q112" s="1">
        <v>42036</v>
      </c>
      <c r="R112">
        <f t="shared" si="12"/>
        <v>26</v>
      </c>
      <c r="S112">
        <f t="shared" si="13"/>
        <v>2211</v>
      </c>
    </row>
    <row r="113" spans="1:19" x14ac:dyDescent="0.25">
      <c r="A113" s="1">
        <v>42064</v>
      </c>
      <c r="B113">
        <v>43920</v>
      </c>
      <c r="C113">
        <v>3319</v>
      </c>
      <c r="D113">
        <v>34</v>
      </c>
      <c r="F113">
        <v>27603</v>
      </c>
      <c r="G113">
        <f t="shared" si="10"/>
        <v>74876</v>
      </c>
      <c r="I113" s="1">
        <v>42064</v>
      </c>
      <c r="J113">
        <v>29926</v>
      </c>
      <c r="K113">
        <v>43003</v>
      </c>
      <c r="L113">
        <v>1947</v>
      </c>
      <c r="M113">
        <f t="shared" si="11"/>
        <v>74876</v>
      </c>
      <c r="Q113" s="1">
        <v>42064</v>
      </c>
      <c r="R113">
        <f t="shared" si="12"/>
        <v>0</v>
      </c>
      <c r="S113">
        <f t="shared" si="13"/>
        <v>1947</v>
      </c>
    </row>
    <row r="114" spans="1:19" x14ac:dyDescent="0.25">
      <c r="A114" s="1">
        <v>42095</v>
      </c>
      <c r="B114">
        <v>57744</v>
      </c>
      <c r="D114">
        <v>1</v>
      </c>
      <c r="E114">
        <v>1</v>
      </c>
      <c r="F114">
        <v>38841</v>
      </c>
      <c r="G114">
        <f t="shared" si="10"/>
        <v>96587</v>
      </c>
      <c r="I114" s="1">
        <v>42095</v>
      </c>
      <c r="J114">
        <v>40194</v>
      </c>
      <c r="K114">
        <v>54294</v>
      </c>
      <c r="L114">
        <v>2099</v>
      </c>
      <c r="M114">
        <f t="shared" si="11"/>
        <v>96587</v>
      </c>
      <c r="Q114" s="1">
        <v>42095</v>
      </c>
      <c r="R114">
        <f t="shared" si="12"/>
        <v>1</v>
      </c>
      <c r="S114">
        <f t="shared" si="13"/>
        <v>2099</v>
      </c>
    </row>
    <row r="115" spans="1:19" x14ac:dyDescent="0.25">
      <c r="A115" s="1">
        <v>42125</v>
      </c>
      <c r="B115">
        <v>63761</v>
      </c>
      <c r="D115">
        <v>211</v>
      </c>
      <c r="F115">
        <v>32819</v>
      </c>
      <c r="G115">
        <f t="shared" si="10"/>
        <v>96791</v>
      </c>
      <c r="I115" s="1">
        <v>42125</v>
      </c>
      <c r="J115">
        <v>45666</v>
      </c>
      <c r="K115">
        <v>49112</v>
      </c>
      <c r="L115">
        <v>2013</v>
      </c>
      <c r="M115">
        <f t="shared" si="11"/>
        <v>96791</v>
      </c>
      <c r="Q115" s="1">
        <v>42125</v>
      </c>
      <c r="R115">
        <f t="shared" si="12"/>
        <v>0</v>
      </c>
      <c r="S115">
        <f t="shared" si="13"/>
        <v>2013</v>
      </c>
    </row>
    <row r="116" spans="1:19" x14ac:dyDescent="0.25">
      <c r="A116" s="1">
        <v>42156</v>
      </c>
      <c r="B116">
        <v>74200</v>
      </c>
      <c r="D116">
        <v>2804</v>
      </c>
      <c r="E116">
        <v>2</v>
      </c>
      <c r="F116">
        <v>29652</v>
      </c>
      <c r="G116">
        <f t="shared" si="10"/>
        <v>106658</v>
      </c>
      <c r="I116" s="1">
        <v>42156</v>
      </c>
      <c r="J116">
        <v>53369</v>
      </c>
      <c r="K116">
        <v>51430</v>
      </c>
      <c r="L116">
        <v>1859</v>
      </c>
      <c r="M116">
        <f t="shared" si="11"/>
        <v>106658</v>
      </c>
      <c r="Q116" s="1">
        <v>42156</v>
      </c>
      <c r="R116">
        <f t="shared" si="12"/>
        <v>2</v>
      </c>
      <c r="S116">
        <f t="shared" si="13"/>
        <v>1859</v>
      </c>
    </row>
    <row r="117" spans="1:19" x14ac:dyDescent="0.25">
      <c r="A117" s="1">
        <v>42186</v>
      </c>
      <c r="B117">
        <v>77621</v>
      </c>
      <c r="D117">
        <v>1279</v>
      </c>
      <c r="F117">
        <v>24711</v>
      </c>
      <c r="G117">
        <f t="shared" si="10"/>
        <v>103611</v>
      </c>
      <c r="I117" s="1">
        <v>42186</v>
      </c>
      <c r="J117">
        <v>58490</v>
      </c>
      <c r="K117">
        <v>43435</v>
      </c>
      <c r="L117">
        <v>1686</v>
      </c>
      <c r="M117">
        <f t="shared" si="11"/>
        <v>103611</v>
      </c>
      <c r="Q117" s="1">
        <v>42186</v>
      </c>
      <c r="R117">
        <f t="shared" si="12"/>
        <v>0</v>
      </c>
      <c r="S117">
        <f t="shared" si="13"/>
        <v>1686</v>
      </c>
    </row>
    <row r="118" spans="1:19" x14ac:dyDescent="0.25">
      <c r="A118" s="1">
        <v>42217</v>
      </c>
      <c r="B118">
        <v>68006</v>
      </c>
      <c r="F118">
        <v>17994</v>
      </c>
      <c r="G118">
        <f t="shared" si="10"/>
        <v>86000</v>
      </c>
      <c r="I118" s="1">
        <v>42217</v>
      </c>
      <c r="J118">
        <v>50580</v>
      </c>
      <c r="K118">
        <v>34021</v>
      </c>
      <c r="L118">
        <v>1399</v>
      </c>
      <c r="M118">
        <f t="shared" si="11"/>
        <v>86000</v>
      </c>
      <c r="Q118" s="1">
        <v>42217</v>
      </c>
      <c r="R118">
        <f t="shared" si="12"/>
        <v>0</v>
      </c>
      <c r="S118">
        <f t="shared" si="13"/>
        <v>1399</v>
      </c>
    </row>
    <row r="119" spans="1:19" x14ac:dyDescent="0.25">
      <c r="A119" s="1">
        <v>42248</v>
      </c>
      <c r="B119">
        <v>75190</v>
      </c>
      <c r="D119">
        <v>11</v>
      </c>
      <c r="F119">
        <v>18141</v>
      </c>
      <c r="G119">
        <f t="shared" si="10"/>
        <v>93342</v>
      </c>
      <c r="I119" s="1">
        <v>42248</v>
      </c>
      <c r="J119">
        <v>62040</v>
      </c>
      <c r="K119">
        <v>29633</v>
      </c>
      <c r="L119">
        <v>1669</v>
      </c>
      <c r="M119">
        <f t="shared" si="11"/>
        <v>93342</v>
      </c>
      <c r="Q119" s="1">
        <v>42248</v>
      </c>
      <c r="R119">
        <f t="shared" si="12"/>
        <v>0</v>
      </c>
      <c r="S119">
        <f t="shared" si="13"/>
        <v>1669</v>
      </c>
    </row>
    <row r="120" spans="1:19" x14ac:dyDescent="0.25">
      <c r="A120" s="1">
        <v>42278</v>
      </c>
      <c r="B120">
        <v>72819</v>
      </c>
      <c r="D120">
        <v>531</v>
      </c>
      <c r="F120">
        <v>17495</v>
      </c>
      <c r="G120">
        <f t="shared" si="10"/>
        <v>90845</v>
      </c>
      <c r="I120" s="1">
        <v>42278</v>
      </c>
      <c r="J120">
        <v>56968</v>
      </c>
      <c r="K120">
        <v>32151</v>
      </c>
      <c r="L120">
        <v>1726</v>
      </c>
      <c r="M120">
        <f t="shared" si="11"/>
        <v>90845</v>
      </c>
      <c r="Q120" s="1">
        <v>42278</v>
      </c>
      <c r="R120">
        <f t="shared" si="12"/>
        <v>0</v>
      </c>
      <c r="S120">
        <f t="shared" si="13"/>
        <v>1726</v>
      </c>
    </row>
    <row r="121" spans="1:19" x14ac:dyDescent="0.25">
      <c r="A121" s="1">
        <v>42309</v>
      </c>
      <c r="B121">
        <v>61380</v>
      </c>
      <c r="C121">
        <v>116</v>
      </c>
      <c r="E121">
        <v>63</v>
      </c>
      <c r="F121">
        <v>17242</v>
      </c>
      <c r="G121">
        <f t="shared" si="10"/>
        <v>78801</v>
      </c>
      <c r="I121" s="1">
        <v>42309</v>
      </c>
      <c r="J121">
        <v>45390</v>
      </c>
      <c r="K121">
        <v>32016</v>
      </c>
      <c r="L121">
        <v>1395</v>
      </c>
      <c r="M121">
        <f t="shared" si="11"/>
        <v>78801</v>
      </c>
      <c r="Q121" s="1">
        <v>42309</v>
      </c>
      <c r="R121">
        <f t="shared" si="12"/>
        <v>63</v>
      </c>
      <c r="S121">
        <f t="shared" si="13"/>
        <v>1395</v>
      </c>
    </row>
    <row r="122" spans="1:19" x14ac:dyDescent="0.25">
      <c r="A122" s="1">
        <v>42339</v>
      </c>
      <c r="B122">
        <v>56308</v>
      </c>
      <c r="E122">
        <v>5</v>
      </c>
      <c r="F122">
        <v>17651</v>
      </c>
      <c r="G122">
        <f t="shared" si="10"/>
        <v>73964</v>
      </c>
      <c r="I122" s="1">
        <v>42339</v>
      </c>
      <c r="J122">
        <v>41614</v>
      </c>
      <c r="K122">
        <v>31162</v>
      </c>
      <c r="L122">
        <v>1188</v>
      </c>
      <c r="M122">
        <f t="shared" si="11"/>
        <v>73964</v>
      </c>
      <c r="Q122" s="1">
        <v>42339</v>
      </c>
      <c r="R122">
        <f t="shared" si="12"/>
        <v>5</v>
      </c>
      <c r="S122">
        <f t="shared" si="13"/>
        <v>1188</v>
      </c>
    </row>
    <row r="123" spans="1:19" x14ac:dyDescent="0.25">
      <c r="A123" s="1">
        <v>42370</v>
      </c>
      <c r="B123">
        <v>38576</v>
      </c>
      <c r="F123">
        <v>10736</v>
      </c>
      <c r="G123">
        <f t="shared" si="10"/>
        <v>49312</v>
      </c>
      <c r="I123" s="1">
        <v>42370</v>
      </c>
      <c r="J123">
        <v>28453</v>
      </c>
      <c r="K123">
        <v>20137</v>
      </c>
      <c r="L123">
        <v>722</v>
      </c>
      <c r="M123">
        <f t="shared" si="11"/>
        <v>49312</v>
      </c>
      <c r="Q123" s="1">
        <v>42370</v>
      </c>
      <c r="R123">
        <f t="shared" si="12"/>
        <v>0</v>
      </c>
      <c r="S123">
        <f t="shared" si="13"/>
        <v>722</v>
      </c>
    </row>
  </sheetData>
  <pageMargins left="0.7" right="0.7" top="0.75" bottom="0.75" header="0.3" footer="0.3"/>
  <pageSetup scale="2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J3233"/>
  <sheetViews>
    <sheetView workbookViewId="0">
      <selection activeCell="G11" sqref="G11"/>
    </sheetView>
  </sheetViews>
  <sheetFormatPr defaultRowHeight="15" x14ac:dyDescent="0.25"/>
  <cols>
    <col min="4" max="5" width="9.7109375" customWidth="1"/>
    <col min="6" max="6" width="7.42578125" customWidth="1"/>
    <col min="7" max="7" width="11.28515625" bestFit="1" customWidth="1"/>
    <col min="11" max="11" width="15.85546875" bestFit="1" customWidth="1"/>
    <col min="13" max="13" width="14.140625" bestFit="1" customWidth="1"/>
    <col min="14" max="14" width="16.28515625" bestFit="1" customWidth="1"/>
    <col min="15" max="15" width="7" customWidth="1"/>
    <col min="16" max="16" width="8" customWidth="1"/>
    <col min="17" max="17" width="10.85546875" customWidth="1"/>
    <col min="18" max="18" width="9.5703125" customWidth="1"/>
    <col min="19" max="19" width="11.28515625" customWidth="1"/>
    <col min="20" max="20" width="9.5703125" customWidth="1"/>
    <col min="21" max="21" width="11.28515625" bestFit="1" customWidth="1"/>
    <col min="23" max="23" width="14.140625" bestFit="1" customWidth="1"/>
    <col min="24" max="24" width="16.28515625" bestFit="1" customWidth="1"/>
    <col min="25" max="25" width="18.7109375" customWidth="1"/>
    <col min="26" max="26" width="12.7109375" customWidth="1"/>
    <col min="27" max="27" width="11.28515625" customWidth="1"/>
    <col min="28" max="28" width="18.7109375" bestFit="1" customWidth="1"/>
    <col min="29" max="29" width="12.7109375" bestFit="1" customWidth="1"/>
    <col min="30" max="30" width="11.28515625" bestFit="1" customWidth="1"/>
    <col min="31" max="31" width="9.7109375" bestFit="1" customWidth="1"/>
  </cols>
  <sheetData>
    <row r="4" spans="1:36" x14ac:dyDescent="0.25">
      <c r="A4" s="11" t="s">
        <v>26</v>
      </c>
      <c r="B4" s="11" t="s">
        <v>0</v>
      </c>
      <c r="C4" s="11" t="s">
        <v>1</v>
      </c>
      <c r="G4" s="11" t="s">
        <v>26</v>
      </c>
      <c r="H4" s="11" t="s">
        <v>0</v>
      </c>
      <c r="I4" s="11" t="s">
        <v>13</v>
      </c>
      <c r="M4" s="2" t="s">
        <v>11</v>
      </c>
      <c r="N4" s="2" t="s">
        <v>10</v>
      </c>
      <c r="W4" s="2" t="s">
        <v>11</v>
      </c>
      <c r="X4" s="2" t="s">
        <v>10</v>
      </c>
    </row>
    <row r="5" spans="1:36" x14ac:dyDescent="0.25">
      <c r="A5" s="10">
        <v>38353</v>
      </c>
      <c r="B5">
        <v>865</v>
      </c>
      <c r="C5" t="s">
        <v>2</v>
      </c>
      <c r="G5" s="10">
        <v>38353</v>
      </c>
      <c r="H5">
        <v>826</v>
      </c>
      <c r="I5" s="11" t="s">
        <v>16</v>
      </c>
      <c r="M5" s="2" t="s">
        <v>7</v>
      </c>
      <c r="N5" t="s">
        <v>3</v>
      </c>
      <c r="O5" t="s">
        <v>5</v>
      </c>
      <c r="P5" t="s">
        <v>2</v>
      </c>
      <c r="Q5" t="s">
        <v>4</v>
      </c>
      <c r="R5" t="s">
        <v>6</v>
      </c>
      <c r="S5" t="s">
        <v>9</v>
      </c>
      <c r="W5" s="2" t="s">
        <v>7</v>
      </c>
      <c r="X5" t="s">
        <v>14</v>
      </c>
      <c r="Y5" t="s">
        <v>16</v>
      </c>
      <c r="Z5" t="s">
        <v>15</v>
      </c>
      <c r="AA5" t="s">
        <v>9</v>
      </c>
      <c r="AF5" t="s">
        <v>39</v>
      </c>
      <c r="AG5" t="s">
        <v>41</v>
      </c>
      <c r="AH5" t="s">
        <v>43</v>
      </c>
      <c r="AI5" t="s">
        <v>40</v>
      </c>
      <c r="AJ5" t="s">
        <v>42</v>
      </c>
    </row>
    <row r="6" spans="1:36" x14ac:dyDescent="0.25">
      <c r="A6" s="10">
        <v>38353</v>
      </c>
      <c r="B6" s="11">
        <v>23</v>
      </c>
      <c r="C6" s="11" t="s">
        <v>3</v>
      </c>
      <c r="D6" s="1"/>
      <c r="E6" s="1"/>
      <c r="G6" s="10">
        <v>38353</v>
      </c>
      <c r="H6" s="11">
        <v>44</v>
      </c>
      <c r="I6" s="11" t="s">
        <v>14</v>
      </c>
      <c r="M6" s="3">
        <v>38353</v>
      </c>
      <c r="N6" s="5">
        <v>23</v>
      </c>
      <c r="O6" s="5"/>
      <c r="P6" s="5">
        <v>865</v>
      </c>
      <c r="Q6" s="5"/>
      <c r="R6" s="5"/>
      <c r="S6" s="5">
        <v>888</v>
      </c>
      <c r="W6" s="3">
        <v>38353</v>
      </c>
      <c r="X6" s="5">
        <v>44</v>
      </c>
      <c r="Y6" s="5">
        <v>826</v>
      </c>
      <c r="Z6" s="5">
        <v>18</v>
      </c>
      <c r="AA6" s="5">
        <v>888</v>
      </c>
      <c r="AE6" s="3">
        <v>39965</v>
      </c>
      <c r="AF6">
        <f>VLOOKUP(AE6,W:AB,2,0)</f>
        <v>4272</v>
      </c>
      <c r="AG6">
        <f>VLOOKUP(AE6,M:S,3,0)</f>
        <v>3673</v>
      </c>
      <c r="AH6">
        <f>AG6/AF6</f>
        <v>0.85978464419475653</v>
      </c>
      <c r="AI6">
        <f>VLOOKUP(AE6,W:AB,5,0)</f>
        <v>16449</v>
      </c>
      <c r="AJ6">
        <f>VLOOKUP(AE6,M:S,7,0)</f>
        <v>16449</v>
      </c>
    </row>
    <row r="7" spans="1:36" x14ac:dyDescent="0.25">
      <c r="A7" s="10">
        <v>38384</v>
      </c>
      <c r="B7" s="11">
        <v>37</v>
      </c>
      <c r="C7" s="11" t="s">
        <v>3</v>
      </c>
      <c r="D7" s="1"/>
      <c r="E7" s="1"/>
      <c r="G7" s="10">
        <v>38353</v>
      </c>
      <c r="H7" s="11">
        <v>18</v>
      </c>
      <c r="I7" s="11" t="s">
        <v>15</v>
      </c>
      <c r="M7" s="3">
        <v>38384</v>
      </c>
      <c r="N7" s="5">
        <v>37</v>
      </c>
      <c r="O7" s="5"/>
      <c r="P7" s="5">
        <v>843</v>
      </c>
      <c r="Q7" s="5"/>
      <c r="R7" s="5"/>
      <c r="S7" s="5">
        <v>880</v>
      </c>
      <c r="W7" s="3">
        <v>38384</v>
      </c>
      <c r="X7" s="5">
        <v>49</v>
      </c>
      <c r="Y7" s="5">
        <v>813</v>
      </c>
      <c r="Z7" s="5">
        <v>18</v>
      </c>
      <c r="AA7" s="5">
        <v>880</v>
      </c>
      <c r="AE7" s="3">
        <v>39995</v>
      </c>
      <c r="AF7">
        <f t="shared" ref="AF7:AF70" si="0">VLOOKUP(AE7,W:AB,2,0)</f>
        <v>9557</v>
      </c>
      <c r="AG7">
        <f t="shared" ref="AG7:AG70" si="1">VLOOKUP(AE7,M:S,3,0)</f>
        <v>9247</v>
      </c>
      <c r="AH7">
        <f t="shared" ref="AH7:AH70" si="2">AG7/AF7</f>
        <v>0.96756304279585648</v>
      </c>
      <c r="AI7">
        <f t="shared" ref="AI7:AI70" si="3">VLOOKUP(AE7,W:AB,5,0)</f>
        <v>21488</v>
      </c>
      <c r="AJ7">
        <f t="shared" ref="AJ7:AJ70" si="4">VLOOKUP(AE7,M:S,7,0)</f>
        <v>21488</v>
      </c>
    </row>
    <row r="8" spans="1:36" x14ac:dyDescent="0.25">
      <c r="A8" s="10">
        <v>38384</v>
      </c>
      <c r="B8" s="11">
        <v>843</v>
      </c>
      <c r="C8" s="11" t="s">
        <v>2</v>
      </c>
      <c r="D8" s="1"/>
      <c r="E8" s="1"/>
      <c r="G8" s="10">
        <v>38384</v>
      </c>
      <c r="H8" s="11">
        <v>49</v>
      </c>
      <c r="I8" s="11" t="s">
        <v>14</v>
      </c>
      <c r="M8" s="3">
        <v>38412</v>
      </c>
      <c r="N8" s="5">
        <v>24</v>
      </c>
      <c r="O8" s="5"/>
      <c r="P8" s="5">
        <v>643</v>
      </c>
      <c r="Q8" s="5"/>
      <c r="R8" s="5"/>
      <c r="S8" s="5">
        <v>667</v>
      </c>
      <c r="W8" s="3">
        <v>38412</v>
      </c>
      <c r="X8" s="5">
        <v>30</v>
      </c>
      <c r="Y8" s="5">
        <v>614</v>
      </c>
      <c r="Z8" s="5">
        <v>23</v>
      </c>
      <c r="AA8" s="5">
        <v>667</v>
      </c>
      <c r="AE8" s="3">
        <v>40026</v>
      </c>
      <c r="AF8">
        <f t="shared" si="0"/>
        <v>15810</v>
      </c>
      <c r="AG8">
        <f t="shared" si="1"/>
        <v>15370</v>
      </c>
      <c r="AH8">
        <f t="shared" si="2"/>
        <v>0.97216951296647691</v>
      </c>
      <c r="AI8">
        <f t="shared" si="3"/>
        <v>28635</v>
      </c>
      <c r="AJ8">
        <f t="shared" si="4"/>
        <v>28635</v>
      </c>
    </row>
    <row r="9" spans="1:36" x14ac:dyDescent="0.25">
      <c r="A9" s="10">
        <v>38412</v>
      </c>
      <c r="B9" s="11">
        <v>643</v>
      </c>
      <c r="C9" s="11" t="s">
        <v>2</v>
      </c>
      <c r="D9" s="1"/>
      <c r="E9" s="1"/>
      <c r="G9" s="10">
        <v>38384</v>
      </c>
      <c r="H9" s="11">
        <v>813</v>
      </c>
      <c r="I9" s="11" t="s">
        <v>16</v>
      </c>
      <c r="M9" s="3">
        <v>38443</v>
      </c>
      <c r="N9" s="5">
        <v>34</v>
      </c>
      <c r="O9" s="5"/>
      <c r="P9" s="5">
        <v>600</v>
      </c>
      <c r="Q9" s="5"/>
      <c r="R9" s="5"/>
      <c r="S9" s="5">
        <v>634</v>
      </c>
      <c r="W9" s="3">
        <v>38443</v>
      </c>
      <c r="X9" s="5">
        <v>35</v>
      </c>
      <c r="Y9" s="5">
        <v>571</v>
      </c>
      <c r="Z9" s="5">
        <v>28</v>
      </c>
      <c r="AA9" s="5">
        <v>634</v>
      </c>
      <c r="AE9" s="3">
        <v>40057</v>
      </c>
      <c r="AF9">
        <f t="shared" si="0"/>
        <v>14494</v>
      </c>
      <c r="AG9">
        <f t="shared" si="1"/>
        <v>14029</v>
      </c>
      <c r="AH9">
        <f t="shared" si="2"/>
        <v>0.96791775907271971</v>
      </c>
      <c r="AI9">
        <f t="shared" si="3"/>
        <v>26615</v>
      </c>
      <c r="AJ9">
        <f t="shared" si="4"/>
        <v>26615</v>
      </c>
    </row>
    <row r="10" spans="1:36" x14ac:dyDescent="0.25">
      <c r="A10" s="10">
        <v>38412</v>
      </c>
      <c r="B10" s="11">
        <v>24</v>
      </c>
      <c r="C10" s="11" t="s">
        <v>3</v>
      </c>
      <c r="D10" s="1"/>
      <c r="E10" s="1"/>
      <c r="G10" s="10">
        <v>38384</v>
      </c>
      <c r="H10" s="11">
        <v>18</v>
      </c>
      <c r="I10" s="11" t="s">
        <v>15</v>
      </c>
      <c r="M10" s="3">
        <v>38473</v>
      </c>
      <c r="N10" s="5">
        <v>29</v>
      </c>
      <c r="O10" s="5"/>
      <c r="P10" s="5">
        <v>713</v>
      </c>
      <c r="Q10" s="5"/>
      <c r="R10" s="5"/>
      <c r="S10" s="5">
        <v>742</v>
      </c>
      <c r="W10" s="3">
        <v>38473</v>
      </c>
      <c r="X10" s="5">
        <v>28</v>
      </c>
      <c r="Y10" s="5">
        <v>695</v>
      </c>
      <c r="Z10" s="5">
        <v>19</v>
      </c>
      <c r="AA10" s="5">
        <v>742</v>
      </c>
      <c r="AE10" s="3">
        <v>40087</v>
      </c>
      <c r="AF10">
        <f t="shared" si="0"/>
        <v>9396</v>
      </c>
      <c r="AG10">
        <f t="shared" si="1"/>
        <v>9135</v>
      </c>
      <c r="AH10">
        <f t="shared" si="2"/>
        <v>0.97222222222222221</v>
      </c>
      <c r="AI10">
        <f t="shared" si="3"/>
        <v>18752</v>
      </c>
      <c r="AJ10">
        <f t="shared" si="4"/>
        <v>18752</v>
      </c>
    </row>
    <row r="11" spans="1:36" x14ac:dyDescent="0.25">
      <c r="A11" s="10">
        <v>38443</v>
      </c>
      <c r="B11" s="11">
        <v>34</v>
      </c>
      <c r="C11" s="11" t="s">
        <v>3</v>
      </c>
      <c r="D11" s="1"/>
      <c r="E11" s="1"/>
      <c r="G11" s="10">
        <v>38412</v>
      </c>
      <c r="H11" s="11">
        <v>23</v>
      </c>
      <c r="I11" s="11" t="s">
        <v>15</v>
      </c>
      <c r="M11" s="3">
        <v>38504</v>
      </c>
      <c r="N11" s="5">
        <v>28</v>
      </c>
      <c r="O11" s="5"/>
      <c r="P11" s="5">
        <v>794</v>
      </c>
      <c r="Q11" s="5"/>
      <c r="R11" s="5"/>
      <c r="S11" s="5">
        <v>822</v>
      </c>
      <c r="W11" s="3">
        <v>38504</v>
      </c>
      <c r="X11" s="5">
        <v>16</v>
      </c>
      <c r="Y11" s="5">
        <v>767</v>
      </c>
      <c r="Z11" s="5">
        <v>39</v>
      </c>
      <c r="AA11" s="5">
        <v>822</v>
      </c>
      <c r="AE11" s="3">
        <v>40118</v>
      </c>
      <c r="AF11">
        <f t="shared" si="0"/>
        <v>7014</v>
      </c>
      <c r="AG11">
        <f t="shared" si="1"/>
        <v>6784</v>
      </c>
      <c r="AH11">
        <f t="shared" si="2"/>
        <v>0.96720844026233244</v>
      </c>
      <c r="AI11">
        <f t="shared" si="3"/>
        <v>15438</v>
      </c>
      <c r="AJ11">
        <f t="shared" si="4"/>
        <v>15438</v>
      </c>
    </row>
    <row r="12" spans="1:36" x14ac:dyDescent="0.25">
      <c r="A12" s="10">
        <v>38443</v>
      </c>
      <c r="B12" s="11">
        <v>600</v>
      </c>
      <c r="C12" s="11" t="s">
        <v>2</v>
      </c>
      <c r="D12" s="1"/>
      <c r="E12" s="1"/>
      <c r="G12" s="10">
        <v>38412</v>
      </c>
      <c r="H12" s="11">
        <v>30</v>
      </c>
      <c r="I12" s="11" t="s">
        <v>14</v>
      </c>
      <c r="M12" s="3">
        <v>38534</v>
      </c>
      <c r="N12" s="5">
        <v>59</v>
      </c>
      <c r="O12" s="5"/>
      <c r="P12" s="5">
        <v>999</v>
      </c>
      <c r="Q12" s="5"/>
      <c r="R12" s="5"/>
      <c r="S12" s="5">
        <v>1058</v>
      </c>
      <c r="W12" s="3">
        <v>38534</v>
      </c>
      <c r="X12" s="5">
        <v>39</v>
      </c>
      <c r="Y12" s="5">
        <v>949</v>
      </c>
      <c r="Z12" s="5">
        <v>70</v>
      </c>
      <c r="AA12" s="5">
        <v>1058</v>
      </c>
      <c r="AE12" s="3">
        <v>40148</v>
      </c>
      <c r="AF12">
        <f t="shared" si="0"/>
        <v>9189</v>
      </c>
      <c r="AG12">
        <f t="shared" si="1"/>
        <v>8893</v>
      </c>
      <c r="AH12">
        <f t="shared" si="2"/>
        <v>0.96778757209707256</v>
      </c>
      <c r="AI12">
        <f t="shared" si="3"/>
        <v>18116</v>
      </c>
      <c r="AJ12">
        <f t="shared" si="4"/>
        <v>18116</v>
      </c>
    </row>
    <row r="13" spans="1:36" x14ac:dyDescent="0.25">
      <c r="A13" s="10">
        <v>38473</v>
      </c>
      <c r="B13" s="11">
        <v>713</v>
      </c>
      <c r="C13" s="11" t="s">
        <v>2</v>
      </c>
      <c r="D13" s="1"/>
      <c r="E13" s="1"/>
      <c r="G13" s="10">
        <v>38412</v>
      </c>
      <c r="H13" s="11">
        <v>614</v>
      </c>
      <c r="I13" s="11" t="s">
        <v>16</v>
      </c>
      <c r="M13" s="3">
        <v>38565</v>
      </c>
      <c r="N13" s="5">
        <v>54</v>
      </c>
      <c r="O13" s="5"/>
      <c r="P13" s="5">
        <v>1154</v>
      </c>
      <c r="Q13" s="5"/>
      <c r="R13" s="5"/>
      <c r="S13" s="5">
        <v>1208</v>
      </c>
      <c r="W13" s="3">
        <v>38565</v>
      </c>
      <c r="X13" s="5">
        <v>57</v>
      </c>
      <c r="Y13" s="5">
        <v>1084</v>
      </c>
      <c r="Z13" s="5">
        <v>67</v>
      </c>
      <c r="AA13" s="5">
        <v>1208</v>
      </c>
      <c r="AE13" s="3">
        <v>40179</v>
      </c>
      <c r="AF13">
        <f t="shared" si="0"/>
        <v>11722</v>
      </c>
      <c r="AG13">
        <f t="shared" si="1"/>
        <v>11371</v>
      </c>
      <c r="AH13">
        <f t="shared" si="2"/>
        <v>0.9700563043849173</v>
      </c>
      <c r="AI13">
        <f t="shared" si="3"/>
        <v>20516</v>
      </c>
      <c r="AJ13">
        <f t="shared" si="4"/>
        <v>20516</v>
      </c>
    </row>
    <row r="14" spans="1:36" x14ac:dyDescent="0.25">
      <c r="A14" s="10">
        <v>38473</v>
      </c>
      <c r="B14" s="11">
        <v>29</v>
      </c>
      <c r="C14" s="11" t="s">
        <v>3</v>
      </c>
      <c r="D14" s="1"/>
      <c r="E14" s="1"/>
      <c r="G14" s="10">
        <v>38443</v>
      </c>
      <c r="H14" s="11">
        <v>35</v>
      </c>
      <c r="I14" s="11" t="s">
        <v>14</v>
      </c>
      <c r="M14" s="3">
        <v>38596</v>
      </c>
      <c r="N14" s="5">
        <v>96</v>
      </c>
      <c r="O14" s="5"/>
      <c r="P14" s="5">
        <v>1240</v>
      </c>
      <c r="Q14" s="5"/>
      <c r="R14" s="5"/>
      <c r="S14" s="5">
        <v>1336</v>
      </c>
      <c r="W14" s="3">
        <v>38596</v>
      </c>
      <c r="X14" s="5">
        <v>49</v>
      </c>
      <c r="Y14" s="5">
        <v>1170</v>
      </c>
      <c r="Z14" s="5">
        <v>117</v>
      </c>
      <c r="AA14" s="5">
        <v>1336</v>
      </c>
      <c r="AE14" s="3">
        <v>40210</v>
      </c>
      <c r="AF14">
        <f t="shared" si="0"/>
        <v>13737</v>
      </c>
      <c r="AG14">
        <f t="shared" si="1"/>
        <v>13463</v>
      </c>
      <c r="AH14">
        <f t="shared" si="2"/>
        <v>0.98005386911261561</v>
      </c>
      <c r="AI14">
        <f t="shared" si="3"/>
        <v>20379</v>
      </c>
      <c r="AJ14">
        <f t="shared" si="4"/>
        <v>20379</v>
      </c>
    </row>
    <row r="15" spans="1:36" x14ac:dyDescent="0.25">
      <c r="A15" s="10">
        <v>38504</v>
      </c>
      <c r="B15" s="11">
        <v>28</v>
      </c>
      <c r="C15" s="11" t="s">
        <v>3</v>
      </c>
      <c r="D15" s="1"/>
      <c r="E15" s="1"/>
      <c r="G15" s="10">
        <v>38443</v>
      </c>
      <c r="H15" s="11">
        <v>571</v>
      </c>
      <c r="I15" s="11" t="s">
        <v>16</v>
      </c>
      <c r="M15" s="3">
        <v>38626</v>
      </c>
      <c r="N15" s="5">
        <v>133</v>
      </c>
      <c r="O15" s="5"/>
      <c r="P15" s="5">
        <v>1903</v>
      </c>
      <c r="Q15" s="5"/>
      <c r="R15" s="5"/>
      <c r="S15" s="5">
        <v>2036</v>
      </c>
      <c r="W15" s="3">
        <v>38626</v>
      </c>
      <c r="X15" s="5">
        <v>112</v>
      </c>
      <c r="Y15" s="5">
        <v>1749</v>
      </c>
      <c r="Z15" s="5">
        <v>175</v>
      </c>
      <c r="AA15" s="5">
        <v>2036</v>
      </c>
      <c r="AE15" s="3">
        <v>40238</v>
      </c>
      <c r="AF15">
        <f t="shared" si="0"/>
        <v>12676</v>
      </c>
      <c r="AG15">
        <f t="shared" si="1"/>
        <v>12639</v>
      </c>
      <c r="AH15">
        <f t="shared" si="2"/>
        <v>0.99708109813821399</v>
      </c>
      <c r="AI15">
        <f t="shared" si="3"/>
        <v>17708</v>
      </c>
      <c r="AJ15">
        <f t="shared" si="4"/>
        <v>17708</v>
      </c>
    </row>
    <row r="16" spans="1:36" x14ac:dyDescent="0.25">
      <c r="A16" s="10">
        <v>38504</v>
      </c>
      <c r="B16" s="11">
        <v>794</v>
      </c>
      <c r="C16" s="11" t="s">
        <v>2</v>
      </c>
      <c r="D16" s="1"/>
      <c r="E16" s="1"/>
      <c r="G16" s="10">
        <v>38443</v>
      </c>
      <c r="H16" s="11">
        <v>28</v>
      </c>
      <c r="I16" s="11" t="s">
        <v>15</v>
      </c>
      <c r="M16" s="3">
        <v>38657</v>
      </c>
      <c r="N16" s="5">
        <v>283</v>
      </c>
      <c r="O16" s="5"/>
      <c r="P16" s="5">
        <v>3071</v>
      </c>
      <c r="Q16" s="5"/>
      <c r="R16" s="5"/>
      <c r="S16" s="5">
        <v>3354</v>
      </c>
      <c r="W16" s="3">
        <v>38657</v>
      </c>
      <c r="X16" s="5">
        <v>243</v>
      </c>
      <c r="Y16" s="5">
        <v>2639</v>
      </c>
      <c r="Z16" s="5">
        <v>472</v>
      </c>
      <c r="AA16" s="5">
        <v>3354</v>
      </c>
      <c r="AE16" s="3">
        <v>40269</v>
      </c>
      <c r="AF16">
        <f t="shared" si="0"/>
        <v>9563</v>
      </c>
      <c r="AG16">
        <f t="shared" si="1"/>
        <v>9607</v>
      </c>
      <c r="AH16">
        <f t="shared" si="2"/>
        <v>1.0046010666108962</v>
      </c>
      <c r="AI16">
        <f t="shared" si="3"/>
        <v>14556</v>
      </c>
      <c r="AJ16">
        <f t="shared" si="4"/>
        <v>14556</v>
      </c>
    </row>
    <row r="17" spans="1:36" x14ac:dyDescent="0.25">
      <c r="A17" s="10">
        <v>38534</v>
      </c>
      <c r="B17" s="11">
        <v>999</v>
      </c>
      <c r="C17" s="11" t="s">
        <v>2</v>
      </c>
      <c r="D17" s="1"/>
      <c r="E17" s="1"/>
      <c r="G17" s="10">
        <v>38473</v>
      </c>
      <c r="H17" s="11">
        <v>19</v>
      </c>
      <c r="I17" s="11" t="s">
        <v>15</v>
      </c>
      <c r="M17" s="3">
        <v>38687</v>
      </c>
      <c r="N17" s="5">
        <v>1405</v>
      </c>
      <c r="O17" s="5"/>
      <c r="P17" s="5">
        <v>9731</v>
      </c>
      <c r="Q17" s="5"/>
      <c r="R17" s="5"/>
      <c r="S17" s="5">
        <v>11136</v>
      </c>
      <c r="W17" s="3">
        <v>38687</v>
      </c>
      <c r="X17" s="5">
        <v>989</v>
      </c>
      <c r="Y17" s="5">
        <v>7648</v>
      </c>
      <c r="Z17" s="5">
        <v>2499</v>
      </c>
      <c r="AA17" s="5">
        <v>11136</v>
      </c>
      <c r="AE17" s="3">
        <v>40299</v>
      </c>
      <c r="AF17">
        <f t="shared" si="0"/>
        <v>11244</v>
      </c>
      <c r="AG17">
        <f t="shared" si="1"/>
        <v>11233</v>
      </c>
      <c r="AH17">
        <f t="shared" si="2"/>
        <v>0.99902170046246885</v>
      </c>
      <c r="AI17">
        <f t="shared" si="3"/>
        <v>17676</v>
      </c>
      <c r="AJ17">
        <f t="shared" si="4"/>
        <v>17676</v>
      </c>
    </row>
    <row r="18" spans="1:36" x14ac:dyDescent="0.25">
      <c r="A18" s="10">
        <v>38534</v>
      </c>
      <c r="B18" s="11">
        <v>59</v>
      </c>
      <c r="C18" s="11" t="s">
        <v>3</v>
      </c>
      <c r="D18" s="1"/>
      <c r="E18" s="1"/>
      <c r="G18" s="10">
        <v>38473</v>
      </c>
      <c r="H18" s="11">
        <v>695</v>
      </c>
      <c r="I18" s="11" t="s">
        <v>16</v>
      </c>
      <c r="M18" s="3">
        <v>38718</v>
      </c>
      <c r="N18" s="5">
        <v>2091</v>
      </c>
      <c r="O18" s="5"/>
      <c r="P18" s="5">
        <v>16090</v>
      </c>
      <c r="Q18" s="5"/>
      <c r="R18" s="5"/>
      <c r="S18" s="5">
        <v>18181</v>
      </c>
      <c r="W18" s="3">
        <v>38718</v>
      </c>
      <c r="X18" s="5">
        <v>1688</v>
      </c>
      <c r="Y18" s="5">
        <v>12623</v>
      </c>
      <c r="Z18" s="5">
        <v>3870</v>
      </c>
      <c r="AA18" s="5">
        <v>18181</v>
      </c>
      <c r="AE18" s="3">
        <v>40330</v>
      </c>
      <c r="AF18">
        <f t="shared" si="0"/>
        <v>10360</v>
      </c>
      <c r="AG18">
        <f t="shared" si="1"/>
        <v>10354</v>
      </c>
      <c r="AH18">
        <f t="shared" si="2"/>
        <v>0.99942084942084941</v>
      </c>
      <c r="AI18">
        <f t="shared" si="3"/>
        <v>17842</v>
      </c>
      <c r="AJ18">
        <f t="shared" si="4"/>
        <v>17842</v>
      </c>
    </row>
    <row r="19" spans="1:36" x14ac:dyDescent="0.25">
      <c r="A19" s="10">
        <v>38565</v>
      </c>
      <c r="B19" s="11">
        <v>54</v>
      </c>
      <c r="C19" s="11" t="s">
        <v>3</v>
      </c>
      <c r="D19" s="1"/>
      <c r="E19" s="1"/>
      <c r="G19" s="10">
        <v>38473</v>
      </c>
      <c r="H19" s="11">
        <v>28</v>
      </c>
      <c r="I19" s="11" t="s">
        <v>14</v>
      </c>
      <c r="M19" s="3">
        <v>38749</v>
      </c>
      <c r="N19" s="5">
        <v>2103</v>
      </c>
      <c r="O19" s="5"/>
      <c r="P19" s="5">
        <v>15564</v>
      </c>
      <c r="Q19" s="5"/>
      <c r="R19" s="5"/>
      <c r="S19" s="5">
        <v>17667</v>
      </c>
      <c r="W19" s="3">
        <v>38749</v>
      </c>
      <c r="X19" s="5">
        <v>1651</v>
      </c>
      <c r="Y19" s="5">
        <v>12445</v>
      </c>
      <c r="Z19" s="5">
        <v>3571</v>
      </c>
      <c r="AA19" s="5">
        <v>17667</v>
      </c>
      <c r="AE19" s="3">
        <v>40360</v>
      </c>
      <c r="AF19">
        <f t="shared" si="0"/>
        <v>7944</v>
      </c>
      <c r="AG19">
        <f t="shared" si="1"/>
        <v>7969</v>
      </c>
      <c r="AH19">
        <f t="shared" si="2"/>
        <v>1.0031470292044311</v>
      </c>
      <c r="AI19">
        <f t="shared" si="3"/>
        <v>15981</v>
      </c>
      <c r="AJ19">
        <f t="shared" si="4"/>
        <v>15981</v>
      </c>
    </row>
    <row r="20" spans="1:36" x14ac:dyDescent="0.25">
      <c r="A20" s="10">
        <v>38565</v>
      </c>
      <c r="B20" s="11">
        <v>1154</v>
      </c>
      <c r="C20" s="11" t="s">
        <v>2</v>
      </c>
      <c r="D20" s="1"/>
      <c r="E20" s="1"/>
      <c r="G20" s="10">
        <v>38504</v>
      </c>
      <c r="H20" s="11">
        <v>39</v>
      </c>
      <c r="I20" s="11" t="s">
        <v>15</v>
      </c>
      <c r="M20" s="3">
        <v>38777</v>
      </c>
      <c r="N20" s="5">
        <v>1894</v>
      </c>
      <c r="O20" s="5"/>
      <c r="P20" s="5">
        <v>12989</v>
      </c>
      <c r="Q20" s="5"/>
      <c r="R20" s="5"/>
      <c r="S20" s="5">
        <v>14883</v>
      </c>
      <c r="W20" s="3">
        <v>38777</v>
      </c>
      <c r="X20" s="5">
        <v>1455</v>
      </c>
      <c r="Y20" s="5">
        <v>9990</v>
      </c>
      <c r="Z20" s="5">
        <v>3438</v>
      </c>
      <c r="AA20" s="5">
        <v>14883</v>
      </c>
      <c r="AE20" s="3">
        <v>40391</v>
      </c>
      <c r="AF20">
        <f t="shared" si="0"/>
        <v>10171</v>
      </c>
      <c r="AG20">
        <f t="shared" si="1"/>
        <v>10240</v>
      </c>
      <c r="AH20">
        <f t="shared" si="2"/>
        <v>1.0067839937076</v>
      </c>
      <c r="AI20">
        <f t="shared" si="3"/>
        <v>19168</v>
      </c>
      <c r="AJ20">
        <f t="shared" si="4"/>
        <v>19168</v>
      </c>
    </row>
    <row r="21" spans="1:36" x14ac:dyDescent="0.25">
      <c r="A21" s="10">
        <v>38596</v>
      </c>
      <c r="B21" s="11">
        <v>1240</v>
      </c>
      <c r="C21" s="11" t="s">
        <v>2</v>
      </c>
      <c r="D21" s="1"/>
      <c r="E21" s="1"/>
      <c r="G21" s="10">
        <v>38504</v>
      </c>
      <c r="H21" s="11">
        <v>767</v>
      </c>
      <c r="I21" s="11" t="s">
        <v>16</v>
      </c>
      <c r="M21" s="3">
        <v>38808</v>
      </c>
      <c r="N21" s="5">
        <v>2001</v>
      </c>
      <c r="O21" s="5"/>
      <c r="P21" s="5">
        <v>14136</v>
      </c>
      <c r="Q21" s="5"/>
      <c r="R21" s="5"/>
      <c r="S21" s="5">
        <v>16137</v>
      </c>
      <c r="W21" s="3">
        <v>38808</v>
      </c>
      <c r="X21" s="5">
        <v>1447</v>
      </c>
      <c r="Y21" s="5">
        <v>10989</v>
      </c>
      <c r="Z21" s="5">
        <v>3701</v>
      </c>
      <c r="AA21" s="5">
        <v>16137</v>
      </c>
      <c r="AE21" s="3">
        <v>40422</v>
      </c>
      <c r="AF21">
        <f t="shared" si="0"/>
        <v>12608</v>
      </c>
      <c r="AG21">
        <f t="shared" si="1"/>
        <v>12706</v>
      </c>
      <c r="AH21">
        <f t="shared" si="2"/>
        <v>1.007772842639594</v>
      </c>
      <c r="AI21">
        <f t="shared" si="3"/>
        <v>18971</v>
      </c>
      <c r="AJ21">
        <f t="shared" si="4"/>
        <v>18971</v>
      </c>
    </row>
    <row r="22" spans="1:36" x14ac:dyDescent="0.25">
      <c r="A22" s="10">
        <v>38596</v>
      </c>
      <c r="B22" s="11">
        <v>96</v>
      </c>
      <c r="C22" s="11" t="s">
        <v>3</v>
      </c>
      <c r="D22" s="1"/>
      <c r="E22" s="1"/>
      <c r="G22" s="10">
        <v>38504</v>
      </c>
      <c r="H22" s="11">
        <v>16</v>
      </c>
      <c r="I22" s="11" t="s">
        <v>14</v>
      </c>
      <c r="M22" s="3">
        <v>38838</v>
      </c>
      <c r="N22" s="5">
        <v>1975</v>
      </c>
      <c r="O22" s="5"/>
      <c r="P22" s="5">
        <v>16975</v>
      </c>
      <c r="Q22" s="5"/>
      <c r="R22" s="5"/>
      <c r="S22" s="5">
        <v>18950</v>
      </c>
      <c r="W22" s="3">
        <v>38838</v>
      </c>
      <c r="X22" s="5">
        <v>1400</v>
      </c>
      <c r="Y22" s="5">
        <v>13613</v>
      </c>
      <c r="Z22" s="5">
        <v>3937</v>
      </c>
      <c r="AA22" s="5">
        <v>18950</v>
      </c>
      <c r="AE22" s="3">
        <v>40452</v>
      </c>
      <c r="AF22">
        <f t="shared" si="0"/>
        <v>14205</v>
      </c>
      <c r="AG22">
        <f t="shared" si="1"/>
        <v>14514</v>
      </c>
      <c r="AH22">
        <f t="shared" si="2"/>
        <v>1.021752903907075</v>
      </c>
      <c r="AI22">
        <f t="shared" si="3"/>
        <v>21287</v>
      </c>
      <c r="AJ22">
        <f t="shared" si="4"/>
        <v>21287</v>
      </c>
    </row>
    <row r="23" spans="1:36" x14ac:dyDescent="0.25">
      <c r="A23" s="10">
        <v>38626</v>
      </c>
      <c r="B23" s="11">
        <v>133</v>
      </c>
      <c r="C23" s="11" t="s">
        <v>3</v>
      </c>
      <c r="D23" s="1"/>
      <c r="E23" s="1"/>
      <c r="G23" s="10">
        <v>38534</v>
      </c>
      <c r="H23" s="11">
        <v>70</v>
      </c>
      <c r="I23" s="11" t="s">
        <v>15</v>
      </c>
      <c r="M23" s="3">
        <v>38869</v>
      </c>
      <c r="N23" s="5">
        <v>1850</v>
      </c>
      <c r="O23" s="5"/>
      <c r="P23" s="5">
        <v>17293</v>
      </c>
      <c r="Q23" s="5"/>
      <c r="R23" s="5"/>
      <c r="S23" s="5">
        <v>19143</v>
      </c>
      <c r="W23" s="3">
        <v>38869</v>
      </c>
      <c r="X23" s="5">
        <v>1389</v>
      </c>
      <c r="Y23" s="5">
        <v>14380</v>
      </c>
      <c r="Z23" s="5">
        <v>3374</v>
      </c>
      <c r="AA23" s="5">
        <v>19143</v>
      </c>
      <c r="AE23" s="3">
        <v>40483</v>
      </c>
      <c r="AF23">
        <f t="shared" si="0"/>
        <v>15045</v>
      </c>
      <c r="AG23">
        <f t="shared" si="1"/>
        <v>15385</v>
      </c>
      <c r="AH23">
        <f t="shared" si="2"/>
        <v>1.0225988700564972</v>
      </c>
      <c r="AI23">
        <f t="shared" si="3"/>
        <v>22277</v>
      </c>
      <c r="AJ23">
        <f t="shared" si="4"/>
        <v>22277</v>
      </c>
    </row>
    <row r="24" spans="1:36" x14ac:dyDescent="0.25">
      <c r="A24" s="10">
        <v>38626</v>
      </c>
      <c r="B24" s="11">
        <v>1903</v>
      </c>
      <c r="C24" s="11" t="s">
        <v>2</v>
      </c>
      <c r="D24" s="1"/>
      <c r="E24" s="1"/>
      <c r="G24" s="10">
        <v>38534</v>
      </c>
      <c r="H24" s="11">
        <v>949</v>
      </c>
      <c r="I24" s="11" t="s">
        <v>16</v>
      </c>
      <c r="M24" s="3">
        <v>38899</v>
      </c>
      <c r="N24" s="5">
        <v>1828</v>
      </c>
      <c r="O24" s="5"/>
      <c r="P24" s="5">
        <v>18802</v>
      </c>
      <c r="Q24" s="5"/>
      <c r="R24" s="5"/>
      <c r="S24" s="5">
        <v>20630</v>
      </c>
      <c r="W24" s="3">
        <v>38899</v>
      </c>
      <c r="X24" s="5">
        <v>1405</v>
      </c>
      <c r="Y24" s="5">
        <v>15985</v>
      </c>
      <c r="Z24" s="5">
        <v>3240</v>
      </c>
      <c r="AA24" s="5">
        <v>20630</v>
      </c>
      <c r="AE24" s="3">
        <v>40513</v>
      </c>
      <c r="AF24">
        <f t="shared" si="0"/>
        <v>17054</v>
      </c>
      <c r="AG24">
        <f t="shared" si="1"/>
        <v>17435</v>
      </c>
      <c r="AH24">
        <f t="shared" si="2"/>
        <v>1.0223407998123608</v>
      </c>
      <c r="AI24">
        <f t="shared" si="3"/>
        <v>24918</v>
      </c>
      <c r="AJ24">
        <f t="shared" si="4"/>
        <v>24918</v>
      </c>
    </row>
    <row r="25" spans="1:36" x14ac:dyDescent="0.25">
      <c r="A25" s="10">
        <v>38657</v>
      </c>
      <c r="B25" s="11">
        <v>3071</v>
      </c>
      <c r="C25" s="11" t="s">
        <v>2</v>
      </c>
      <c r="D25" s="1"/>
      <c r="E25" s="1"/>
      <c r="G25" s="10">
        <v>38534</v>
      </c>
      <c r="H25" s="11">
        <v>39</v>
      </c>
      <c r="I25" s="11" t="s">
        <v>14</v>
      </c>
      <c r="M25" s="3">
        <v>38930</v>
      </c>
      <c r="N25" s="5">
        <v>1874</v>
      </c>
      <c r="O25" s="5"/>
      <c r="P25" s="5">
        <v>21409</v>
      </c>
      <c r="Q25" s="5"/>
      <c r="R25" s="5"/>
      <c r="S25" s="5">
        <v>23283</v>
      </c>
      <c r="W25" s="3">
        <v>38930</v>
      </c>
      <c r="X25" s="5">
        <v>1330</v>
      </c>
      <c r="Y25" s="5">
        <v>18666</v>
      </c>
      <c r="Z25" s="5">
        <v>3287</v>
      </c>
      <c r="AA25" s="5">
        <v>23283</v>
      </c>
      <c r="AE25" s="3">
        <v>40544</v>
      </c>
      <c r="AF25">
        <f t="shared" si="0"/>
        <v>18502</v>
      </c>
      <c r="AG25">
        <f t="shared" si="1"/>
        <v>18832</v>
      </c>
      <c r="AH25">
        <f t="shared" si="2"/>
        <v>1.0178359096313911</v>
      </c>
      <c r="AI25">
        <f t="shared" si="3"/>
        <v>26034</v>
      </c>
      <c r="AJ25">
        <f t="shared" si="4"/>
        <v>26034</v>
      </c>
    </row>
    <row r="26" spans="1:36" x14ac:dyDescent="0.25">
      <c r="A26" s="10">
        <v>38657</v>
      </c>
      <c r="B26" s="11">
        <v>283</v>
      </c>
      <c r="C26" s="11" t="s">
        <v>3</v>
      </c>
      <c r="D26" s="1"/>
      <c r="E26" s="1"/>
      <c r="G26" s="10">
        <v>38565</v>
      </c>
      <c r="H26" s="11">
        <v>67</v>
      </c>
      <c r="I26" s="11" t="s">
        <v>15</v>
      </c>
      <c r="M26" s="3">
        <v>38961</v>
      </c>
      <c r="N26" s="5">
        <v>1690</v>
      </c>
      <c r="O26" s="5"/>
      <c r="P26" s="5">
        <v>19941</v>
      </c>
      <c r="Q26" s="5"/>
      <c r="R26" s="5"/>
      <c r="S26" s="5">
        <v>21631</v>
      </c>
      <c r="W26" s="3">
        <v>38961</v>
      </c>
      <c r="X26" s="5">
        <v>1215</v>
      </c>
      <c r="Y26" s="5">
        <v>17479</v>
      </c>
      <c r="Z26" s="5">
        <v>2937</v>
      </c>
      <c r="AA26" s="5">
        <v>21631</v>
      </c>
      <c r="AE26" s="3">
        <v>40575</v>
      </c>
      <c r="AF26">
        <f t="shared" si="0"/>
        <v>17396</v>
      </c>
      <c r="AG26">
        <f t="shared" si="1"/>
        <v>17593</v>
      </c>
      <c r="AH26">
        <f t="shared" si="2"/>
        <v>1.0113244424005519</v>
      </c>
      <c r="AI26">
        <f t="shared" si="3"/>
        <v>25608</v>
      </c>
      <c r="AJ26">
        <f t="shared" si="4"/>
        <v>25608</v>
      </c>
    </row>
    <row r="27" spans="1:36" x14ac:dyDescent="0.25">
      <c r="A27" s="10">
        <v>38687</v>
      </c>
      <c r="B27" s="11">
        <v>1405</v>
      </c>
      <c r="C27" s="11" t="s">
        <v>3</v>
      </c>
      <c r="D27" s="1"/>
      <c r="E27" s="1"/>
      <c r="G27" s="10">
        <v>38565</v>
      </c>
      <c r="H27" s="11">
        <v>1084</v>
      </c>
      <c r="I27" s="11" t="s">
        <v>16</v>
      </c>
      <c r="M27" s="3">
        <v>38991</v>
      </c>
      <c r="N27" s="5">
        <v>1896</v>
      </c>
      <c r="O27" s="5"/>
      <c r="P27" s="5">
        <v>20670</v>
      </c>
      <c r="Q27" s="5"/>
      <c r="R27" s="5"/>
      <c r="S27" s="5">
        <v>22566</v>
      </c>
      <c r="W27" s="3">
        <v>38991</v>
      </c>
      <c r="X27" s="5">
        <v>1252</v>
      </c>
      <c r="Y27" s="5">
        <v>17925</v>
      </c>
      <c r="Z27" s="5">
        <v>3389</v>
      </c>
      <c r="AA27" s="5">
        <v>22566</v>
      </c>
      <c r="AE27" s="3">
        <v>40603</v>
      </c>
      <c r="AF27">
        <f t="shared" si="0"/>
        <v>15213</v>
      </c>
      <c r="AG27">
        <f t="shared" si="1"/>
        <v>15376</v>
      </c>
      <c r="AH27">
        <f t="shared" si="2"/>
        <v>1.0107145204759087</v>
      </c>
      <c r="AI27">
        <f t="shared" si="3"/>
        <v>20652</v>
      </c>
      <c r="AJ27">
        <f t="shared" si="4"/>
        <v>20652</v>
      </c>
    </row>
    <row r="28" spans="1:36" x14ac:dyDescent="0.25">
      <c r="A28" s="10">
        <v>38687</v>
      </c>
      <c r="B28" s="11">
        <v>9731</v>
      </c>
      <c r="C28" s="11" t="s">
        <v>2</v>
      </c>
      <c r="D28" s="1"/>
      <c r="E28" s="1"/>
      <c r="G28" s="10">
        <v>38565</v>
      </c>
      <c r="H28" s="11">
        <v>57</v>
      </c>
      <c r="I28" s="11" t="s">
        <v>14</v>
      </c>
      <c r="M28" s="3">
        <v>39022</v>
      </c>
      <c r="N28" s="5">
        <v>2054</v>
      </c>
      <c r="O28" s="5"/>
      <c r="P28" s="5">
        <v>19165</v>
      </c>
      <c r="Q28" s="5"/>
      <c r="R28" s="5"/>
      <c r="S28" s="5">
        <v>21219</v>
      </c>
      <c r="W28" s="3">
        <v>39022</v>
      </c>
      <c r="X28" s="5">
        <v>1167</v>
      </c>
      <c r="Y28" s="5">
        <v>16236</v>
      </c>
      <c r="Z28" s="5">
        <v>3816</v>
      </c>
      <c r="AA28" s="5">
        <v>21219</v>
      </c>
      <c r="AE28" s="3">
        <v>40634</v>
      </c>
      <c r="AF28">
        <f t="shared" si="0"/>
        <v>10593</v>
      </c>
      <c r="AG28">
        <f t="shared" si="1"/>
        <v>10725</v>
      </c>
      <c r="AH28">
        <f t="shared" si="2"/>
        <v>1.0124610591900312</v>
      </c>
      <c r="AI28">
        <f t="shared" si="3"/>
        <v>13806</v>
      </c>
      <c r="AJ28">
        <f t="shared" si="4"/>
        <v>13806</v>
      </c>
    </row>
    <row r="29" spans="1:36" x14ac:dyDescent="0.25">
      <c r="A29" s="10">
        <v>38718</v>
      </c>
      <c r="B29" s="11">
        <v>2091</v>
      </c>
      <c r="C29" s="11" t="s">
        <v>3</v>
      </c>
      <c r="D29" s="1"/>
      <c r="E29" s="1"/>
      <c r="G29" s="10">
        <v>38596</v>
      </c>
      <c r="H29" s="11">
        <v>117</v>
      </c>
      <c r="I29" s="11" t="s">
        <v>15</v>
      </c>
      <c r="M29" s="3">
        <v>39052</v>
      </c>
      <c r="N29" s="5">
        <v>2787</v>
      </c>
      <c r="O29" s="5"/>
      <c r="P29" s="5">
        <v>19930</v>
      </c>
      <c r="Q29" s="5"/>
      <c r="R29" s="5"/>
      <c r="S29" s="5">
        <v>22717</v>
      </c>
      <c r="W29" s="3">
        <v>39052</v>
      </c>
      <c r="X29" s="5">
        <v>1378</v>
      </c>
      <c r="Y29" s="5">
        <v>16315</v>
      </c>
      <c r="Z29" s="5">
        <v>5024</v>
      </c>
      <c r="AA29" s="5">
        <v>22717</v>
      </c>
      <c r="AE29" s="3">
        <v>40664</v>
      </c>
      <c r="AF29">
        <f t="shared" si="0"/>
        <v>7420</v>
      </c>
      <c r="AG29">
        <f t="shared" si="1"/>
        <v>7425</v>
      </c>
      <c r="AH29">
        <f t="shared" si="2"/>
        <v>1.0006738544474394</v>
      </c>
      <c r="AI29">
        <f t="shared" si="3"/>
        <v>12090</v>
      </c>
      <c r="AJ29">
        <f t="shared" si="4"/>
        <v>12090</v>
      </c>
    </row>
    <row r="30" spans="1:36" x14ac:dyDescent="0.25">
      <c r="A30" s="10">
        <v>38718</v>
      </c>
      <c r="B30" s="11">
        <v>16090</v>
      </c>
      <c r="C30" s="11" t="s">
        <v>2</v>
      </c>
      <c r="D30" s="1"/>
      <c r="E30" s="1"/>
      <c r="G30" s="10">
        <v>38596</v>
      </c>
      <c r="H30" s="11">
        <v>1170</v>
      </c>
      <c r="I30" s="11" t="s">
        <v>16</v>
      </c>
      <c r="M30" s="3">
        <v>39083</v>
      </c>
      <c r="N30" s="5">
        <v>2575</v>
      </c>
      <c r="O30" s="5"/>
      <c r="P30" s="5">
        <v>18549</v>
      </c>
      <c r="Q30" s="5"/>
      <c r="R30" s="5"/>
      <c r="S30" s="5">
        <v>21124</v>
      </c>
      <c r="W30" s="3">
        <v>39083</v>
      </c>
      <c r="X30" s="5">
        <v>1213</v>
      </c>
      <c r="Y30" s="5">
        <v>15263</v>
      </c>
      <c r="Z30" s="5">
        <v>4648</v>
      </c>
      <c r="AA30" s="5">
        <v>21124</v>
      </c>
      <c r="AE30" s="3">
        <v>40695</v>
      </c>
      <c r="AF30">
        <f t="shared" si="0"/>
        <v>6376</v>
      </c>
      <c r="AG30">
        <f t="shared" si="1"/>
        <v>6431</v>
      </c>
      <c r="AH30">
        <f t="shared" si="2"/>
        <v>1.0086260978670012</v>
      </c>
      <c r="AI30">
        <f t="shared" si="3"/>
        <v>11840</v>
      </c>
      <c r="AJ30">
        <f t="shared" si="4"/>
        <v>11840</v>
      </c>
    </row>
    <row r="31" spans="1:36" x14ac:dyDescent="0.25">
      <c r="A31" s="10">
        <v>38749</v>
      </c>
      <c r="B31" s="11">
        <v>2103</v>
      </c>
      <c r="C31" s="11" t="s">
        <v>3</v>
      </c>
      <c r="D31" s="1"/>
      <c r="E31" s="1"/>
      <c r="G31" s="10">
        <v>38596</v>
      </c>
      <c r="H31" s="11">
        <v>49</v>
      </c>
      <c r="I31" s="11" t="s">
        <v>14</v>
      </c>
      <c r="M31" s="3">
        <v>39114</v>
      </c>
      <c r="N31" s="5">
        <v>2928</v>
      </c>
      <c r="O31" s="5"/>
      <c r="P31" s="5">
        <v>18576</v>
      </c>
      <c r="Q31" s="5"/>
      <c r="R31" s="5"/>
      <c r="S31" s="5">
        <v>21504</v>
      </c>
      <c r="W31" s="3">
        <v>39114</v>
      </c>
      <c r="X31" s="5">
        <v>1202</v>
      </c>
      <c r="Y31" s="5">
        <v>15003</v>
      </c>
      <c r="Z31" s="5">
        <v>5299</v>
      </c>
      <c r="AA31" s="5">
        <v>21504</v>
      </c>
      <c r="AE31" s="3">
        <v>40725</v>
      </c>
      <c r="AF31">
        <f t="shared" si="0"/>
        <v>5524</v>
      </c>
      <c r="AG31">
        <f t="shared" si="1"/>
        <v>5596</v>
      </c>
      <c r="AH31">
        <f t="shared" si="2"/>
        <v>1.0130340333091963</v>
      </c>
      <c r="AI31">
        <f t="shared" si="3"/>
        <v>12111</v>
      </c>
      <c r="AJ31">
        <f t="shared" si="4"/>
        <v>12111</v>
      </c>
    </row>
    <row r="32" spans="1:36" x14ac:dyDescent="0.25">
      <c r="A32" s="10">
        <v>38749</v>
      </c>
      <c r="B32" s="11">
        <v>15564</v>
      </c>
      <c r="C32" s="11" t="s">
        <v>2</v>
      </c>
      <c r="D32" s="1"/>
      <c r="E32" s="1"/>
      <c r="G32" s="10">
        <v>38626</v>
      </c>
      <c r="H32" s="11">
        <v>175</v>
      </c>
      <c r="I32" s="11" t="s">
        <v>15</v>
      </c>
      <c r="M32" s="3">
        <v>39142</v>
      </c>
      <c r="N32" s="5">
        <v>3041</v>
      </c>
      <c r="O32" s="5"/>
      <c r="P32" s="5">
        <v>16836</v>
      </c>
      <c r="Q32" s="5"/>
      <c r="R32" s="5"/>
      <c r="S32" s="5">
        <v>19877</v>
      </c>
      <c r="W32" s="3">
        <v>39142</v>
      </c>
      <c r="X32" s="5">
        <v>1161</v>
      </c>
      <c r="Y32" s="5">
        <v>13356</v>
      </c>
      <c r="Z32" s="5">
        <v>5360</v>
      </c>
      <c r="AA32" s="5">
        <v>19877</v>
      </c>
      <c r="AE32" s="3">
        <v>40756</v>
      </c>
      <c r="AF32">
        <f t="shared" si="0"/>
        <v>6163</v>
      </c>
      <c r="AG32">
        <f t="shared" si="1"/>
        <v>6287</v>
      </c>
      <c r="AH32">
        <f t="shared" si="2"/>
        <v>1.0201200713938017</v>
      </c>
      <c r="AI32">
        <f t="shared" si="3"/>
        <v>15141</v>
      </c>
      <c r="AJ32">
        <f t="shared" si="4"/>
        <v>15141</v>
      </c>
    </row>
    <row r="33" spans="1:36" x14ac:dyDescent="0.25">
      <c r="A33" s="10">
        <v>38777</v>
      </c>
      <c r="B33" s="11">
        <v>12989</v>
      </c>
      <c r="C33" s="11" t="s">
        <v>2</v>
      </c>
      <c r="D33" s="1"/>
      <c r="E33" s="1"/>
      <c r="G33" s="10">
        <v>38626</v>
      </c>
      <c r="H33" s="11">
        <v>1749</v>
      </c>
      <c r="I33" s="11" t="s">
        <v>16</v>
      </c>
      <c r="M33" s="3">
        <v>39173</v>
      </c>
      <c r="N33" s="5">
        <v>2844</v>
      </c>
      <c r="O33" s="5"/>
      <c r="P33" s="5">
        <v>19589</v>
      </c>
      <c r="Q33" s="5"/>
      <c r="R33" s="5"/>
      <c r="S33" s="5">
        <v>22433</v>
      </c>
      <c r="W33" s="3">
        <v>39173</v>
      </c>
      <c r="X33" s="5">
        <v>1055</v>
      </c>
      <c r="Y33" s="5">
        <v>16457</v>
      </c>
      <c r="Z33" s="5">
        <v>4921</v>
      </c>
      <c r="AA33" s="5">
        <v>22433</v>
      </c>
      <c r="AE33" s="3">
        <v>40787</v>
      </c>
      <c r="AF33">
        <f t="shared" si="0"/>
        <v>6608</v>
      </c>
      <c r="AG33">
        <f t="shared" si="1"/>
        <v>6722</v>
      </c>
      <c r="AH33">
        <f t="shared" si="2"/>
        <v>1.0172518159806296</v>
      </c>
      <c r="AI33">
        <f t="shared" si="3"/>
        <v>15058</v>
      </c>
      <c r="AJ33">
        <f t="shared" si="4"/>
        <v>15058</v>
      </c>
    </row>
    <row r="34" spans="1:36" x14ac:dyDescent="0.25">
      <c r="A34" s="10">
        <v>38777</v>
      </c>
      <c r="B34" s="11">
        <v>1894</v>
      </c>
      <c r="C34" s="11" t="s">
        <v>3</v>
      </c>
      <c r="D34" s="1"/>
      <c r="E34" s="1"/>
      <c r="G34" s="10">
        <v>38626</v>
      </c>
      <c r="H34" s="11">
        <v>112</v>
      </c>
      <c r="I34" s="11" t="s">
        <v>14</v>
      </c>
      <c r="M34" s="3">
        <v>39203</v>
      </c>
      <c r="N34" s="5">
        <v>3865</v>
      </c>
      <c r="O34" s="5"/>
      <c r="P34" s="5">
        <v>27055</v>
      </c>
      <c r="Q34" s="5"/>
      <c r="R34" s="5"/>
      <c r="S34" s="5">
        <v>30920</v>
      </c>
      <c r="W34" s="3">
        <v>39203</v>
      </c>
      <c r="X34" s="5">
        <v>1319</v>
      </c>
      <c r="Y34" s="5">
        <v>22883</v>
      </c>
      <c r="Z34" s="5">
        <v>6718</v>
      </c>
      <c r="AA34" s="5">
        <v>30920</v>
      </c>
      <c r="AE34" s="3">
        <v>40817</v>
      </c>
      <c r="AF34">
        <f t="shared" si="0"/>
        <v>6814</v>
      </c>
      <c r="AG34">
        <f t="shared" si="1"/>
        <v>6917</v>
      </c>
      <c r="AH34">
        <f t="shared" si="2"/>
        <v>1.0151159377751688</v>
      </c>
      <c r="AI34">
        <f t="shared" si="3"/>
        <v>15521</v>
      </c>
      <c r="AJ34">
        <f t="shared" si="4"/>
        <v>15521</v>
      </c>
    </row>
    <row r="35" spans="1:36" x14ac:dyDescent="0.25">
      <c r="A35" s="10">
        <v>38808</v>
      </c>
      <c r="B35" s="11">
        <v>2001</v>
      </c>
      <c r="C35" s="11" t="s">
        <v>3</v>
      </c>
      <c r="D35" s="1"/>
      <c r="E35" s="1"/>
      <c r="G35" s="10">
        <v>38657</v>
      </c>
      <c r="H35" s="11">
        <v>472</v>
      </c>
      <c r="I35" s="11" t="s">
        <v>15</v>
      </c>
      <c r="M35" s="3">
        <v>39234</v>
      </c>
      <c r="N35" s="5">
        <v>4487</v>
      </c>
      <c r="O35" s="5"/>
      <c r="P35" s="5">
        <v>30328</v>
      </c>
      <c r="Q35" s="5"/>
      <c r="R35" s="5"/>
      <c r="S35" s="5">
        <v>34815</v>
      </c>
      <c r="W35" s="3">
        <v>39234</v>
      </c>
      <c r="X35" s="5">
        <v>1313</v>
      </c>
      <c r="Y35" s="5">
        <v>25651</v>
      </c>
      <c r="Z35" s="5">
        <v>7851</v>
      </c>
      <c r="AA35" s="5">
        <v>34815</v>
      </c>
      <c r="AE35" s="3">
        <v>40848</v>
      </c>
      <c r="AF35">
        <f t="shared" si="0"/>
        <v>7897</v>
      </c>
      <c r="AG35">
        <f t="shared" si="1"/>
        <v>8052</v>
      </c>
      <c r="AH35">
        <f t="shared" si="2"/>
        <v>1.0196277067240724</v>
      </c>
      <c r="AI35">
        <f t="shared" si="3"/>
        <v>16145</v>
      </c>
      <c r="AJ35">
        <f t="shared" si="4"/>
        <v>16145</v>
      </c>
    </row>
    <row r="36" spans="1:36" x14ac:dyDescent="0.25">
      <c r="A36" s="10">
        <v>38808</v>
      </c>
      <c r="B36" s="11">
        <v>14136</v>
      </c>
      <c r="C36" s="11" t="s">
        <v>2</v>
      </c>
      <c r="D36" s="1"/>
      <c r="E36" s="1"/>
      <c r="G36" s="10">
        <v>38657</v>
      </c>
      <c r="H36" s="11">
        <v>2639</v>
      </c>
      <c r="I36" s="11" t="s">
        <v>16</v>
      </c>
      <c r="M36" s="3">
        <v>39264</v>
      </c>
      <c r="N36" s="5">
        <v>4388</v>
      </c>
      <c r="O36" s="5"/>
      <c r="P36" s="5">
        <v>35720</v>
      </c>
      <c r="Q36" s="5"/>
      <c r="R36" s="5"/>
      <c r="S36" s="5">
        <v>40108</v>
      </c>
      <c r="W36" s="3">
        <v>39264</v>
      </c>
      <c r="X36" s="5">
        <v>1364</v>
      </c>
      <c r="Y36" s="5">
        <v>31265</v>
      </c>
      <c r="Z36" s="5">
        <v>7479</v>
      </c>
      <c r="AA36" s="5">
        <v>40108</v>
      </c>
      <c r="AE36" s="3">
        <v>40878</v>
      </c>
      <c r="AF36">
        <f t="shared" si="0"/>
        <v>9245</v>
      </c>
      <c r="AG36">
        <f t="shared" si="1"/>
        <v>9402</v>
      </c>
      <c r="AH36">
        <f t="shared" si="2"/>
        <v>1.016982152514873</v>
      </c>
      <c r="AI36">
        <f t="shared" si="3"/>
        <v>15800</v>
      </c>
      <c r="AJ36">
        <f t="shared" si="4"/>
        <v>15800</v>
      </c>
    </row>
    <row r="37" spans="1:36" x14ac:dyDescent="0.25">
      <c r="A37" s="10">
        <v>38838</v>
      </c>
      <c r="B37" s="11">
        <v>16975</v>
      </c>
      <c r="C37" s="11" t="s">
        <v>2</v>
      </c>
      <c r="D37" s="1"/>
      <c r="E37" s="1"/>
      <c r="G37" s="10">
        <v>38657</v>
      </c>
      <c r="H37" s="11">
        <v>243</v>
      </c>
      <c r="I37" s="11" t="s">
        <v>14</v>
      </c>
      <c r="M37" s="3">
        <v>39295</v>
      </c>
      <c r="N37" s="5">
        <v>3914</v>
      </c>
      <c r="O37" s="5"/>
      <c r="P37" s="5">
        <v>37873</v>
      </c>
      <c r="Q37" s="5"/>
      <c r="R37" s="5"/>
      <c r="S37" s="5">
        <v>41787</v>
      </c>
      <c r="W37" s="3">
        <v>39295</v>
      </c>
      <c r="X37" s="5">
        <v>1256</v>
      </c>
      <c r="Y37" s="5">
        <v>33697</v>
      </c>
      <c r="Z37" s="5">
        <v>6834</v>
      </c>
      <c r="AA37" s="5">
        <v>41787</v>
      </c>
      <c r="AE37" s="3">
        <v>40909</v>
      </c>
      <c r="AF37">
        <f t="shared" si="0"/>
        <v>9831</v>
      </c>
      <c r="AG37">
        <f t="shared" si="1"/>
        <v>9964</v>
      </c>
      <c r="AH37">
        <f t="shared" si="2"/>
        <v>1.013528633913132</v>
      </c>
      <c r="AI37">
        <f t="shared" si="3"/>
        <v>17049</v>
      </c>
      <c r="AJ37">
        <f t="shared" si="4"/>
        <v>17049</v>
      </c>
    </row>
    <row r="38" spans="1:36" x14ac:dyDescent="0.25">
      <c r="A38" s="10">
        <v>38838</v>
      </c>
      <c r="B38" s="11">
        <v>1975</v>
      </c>
      <c r="C38" s="11" t="s">
        <v>3</v>
      </c>
      <c r="D38" s="1"/>
      <c r="E38" s="1"/>
      <c r="G38" s="10">
        <v>38687</v>
      </c>
      <c r="H38" s="11">
        <v>2499</v>
      </c>
      <c r="I38" s="11" t="s">
        <v>15</v>
      </c>
      <c r="M38" s="3">
        <v>39326</v>
      </c>
      <c r="N38" s="5">
        <v>3751</v>
      </c>
      <c r="O38" s="5"/>
      <c r="P38" s="5">
        <v>38162</v>
      </c>
      <c r="Q38" s="5"/>
      <c r="R38" s="5"/>
      <c r="S38" s="5">
        <v>41913</v>
      </c>
      <c r="W38" s="3">
        <v>39326</v>
      </c>
      <c r="X38" s="5">
        <v>1349</v>
      </c>
      <c r="Y38" s="5">
        <v>34158</v>
      </c>
      <c r="Z38" s="5">
        <v>6406</v>
      </c>
      <c r="AA38" s="5">
        <v>41913</v>
      </c>
      <c r="AE38" s="3">
        <v>40940</v>
      </c>
      <c r="AF38">
        <f t="shared" si="0"/>
        <v>9082</v>
      </c>
      <c r="AG38">
        <f t="shared" si="1"/>
        <v>9237</v>
      </c>
      <c r="AH38">
        <f t="shared" si="2"/>
        <v>1.0170667253908832</v>
      </c>
      <c r="AI38">
        <f t="shared" si="3"/>
        <v>17244</v>
      </c>
      <c r="AJ38">
        <f t="shared" si="4"/>
        <v>17244</v>
      </c>
    </row>
    <row r="39" spans="1:36" x14ac:dyDescent="0.25">
      <c r="A39" s="10">
        <v>38869</v>
      </c>
      <c r="B39" s="11">
        <v>17293</v>
      </c>
      <c r="C39" s="11" t="s">
        <v>2</v>
      </c>
      <c r="D39" s="1"/>
      <c r="E39" s="1"/>
      <c r="G39" s="10">
        <v>38687</v>
      </c>
      <c r="H39" s="11">
        <v>7648</v>
      </c>
      <c r="I39" s="11" t="s">
        <v>16</v>
      </c>
      <c r="M39" s="3">
        <v>39356</v>
      </c>
      <c r="N39" s="5">
        <v>3891</v>
      </c>
      <c r="O39" s="5"/>
      <c r="P39" s="5">
        <v>39546</v>
      </c>
      <c r="Q39" s="5"/>
      <c r="R39" s="5"/>
      <c r="S39" s="5">
        <v>43437</v>
      </c>
      <c r="W39" s="3">
        <v>39356</v>
      </c>
      <c r="X39" s="5">
        <v>1311</v>
      </c>
      <c r="Y39" s="5">
        <v>35897</v>
      </c>
      <c r="Z39" s="5">
        <v>6229</v>
      </c>
      <c r="AA39" s="5">
        <v>43437</v>
      </c>
      <c r="AE39" s="3">
        <v>40969</v>
      </c>
      <c r="AF39">
        <f t="shared" si="0"/>
        <v>11001</v>
      </c>
      <c r="AG39">
        <f t="shared" si="1"/>
        <v>11247</v>
      </c>
      <c r="AH39">
        <f t="shared" si="2"/>
        <v>1.0223616034905918</v>
      </c>
      <c r="AI39">
        <f t="shared" si="3"/>
        <v>16652</v>
      </c>
      <c r="AJ39">
        <f t="shared" si="4"/>
        <v>16652</v>
      </c>
    </row>
    <row r="40" spans="1:36" x14ac:dyDescent="0.25">
      <c r="A40" s="10">
        <v>38869</v>
      </c>
      <c r="B40" s="11">
        <v>1850</v>
      </c>
      <c r="C40" s="11" t="s">
        <v>3</v>
      </c>
      <c r="D40" s="1"/>
      <c r="E40" s="1"/>
      <c r="G40" s="10">
        <v>38687</v>
      </c>
      <c r="H40" s="11">
        <v>989</v>
      </c>
      <c r="I40" s="11" t="s">
        <v>14</v>
      </c>
      <c r="M40" s="3">
        <v>39387</v>
      </c>
      <c r="N40" s="5">
        <v>4935</v>
      </c>
      <c r="O40" s="5"/>
      <c r="P40" s="5">
        <v>36595</v>
      </c>
      <c r="Q40" s="5"/>
      <c r="R40" s="5"/>
      <c r="S40" s="5">
        <v>41530</v>
      </c>
      <c r="W40" s="3">
        <v>39387</v>
      </c>
      <c r="X40" s="5">
        <v>1433</v>
      </c>
      <c r="Y40" s="5">
        <v>32190</v>
      </c>
      <c r="Z40" s="5">
        <v>7907</v>
      </c>
      <c r="AA40" s="5">
        <v>41530</v>
      </c>
      <c r="AE40" s="3">
        <v>41000</v>
      </c>
      <c r="AF40">
        <f t="shared" si="0"/>
        <v>14080</v>
      </c>
      <c r="AG40">
        <f t="shared" si="1"/>
        <v>14409</v>
      </c>
      <c r="AH40">
        <f t="shared" si="2"/>
        <v>1.0233664772727273</v>
      </c>
      <c r="AI40">
        <f t="shared" si="3"/>
        <v>20037</v>
      </c>
      <c r="AJ40">
        <f t="shared" si="4"/>
        <v>20037</v>
      </c>
    </row>
    <row r="41" spans="1:36" x14ac:dyDescent="0.25">
      <c r="A41" s="10">
        <v>38899</v>
      </c>
      <c r="B41" s="11">
        <v>18802</v>
      </c>
      <c r="C41" s="11" t="s">
        <v>2</v>
      </c>
      <c r="D41" s="1"/>
      <c r="E41" s="1"/>
      <c r="G41" s="10">
        <v>38718</v>
      </c>
      <c r="H41" s="11">
        <v>3870</v>
      </c>
      <c r="I41" s="11" t="s">
        <v>15</v>
      </c>
      <c r="M41" s="3">
        <v>39417</v>
      </c>
      <c r="N41" s="5">
        <v>6058</v>
      </c>
      <c r="O41" s="5"/>
      <c r="P41" s="5">
        <v>36030</v>
      </c>
      <c r="Q41" s="5"/>
      <c r="R41" s="5"/>
      <c r="S41" s="5">
        <v>42088</v>
      </c>
      <c r="W41" s="3">
        <v>39417</v>
      </c>
      <c r="X41" s="5">
        <v>1529</v>
      </c>
      <c r="Y41" s="5">
        <v>30756</v>
      </c>
      <c r="Z41" s="5">
        <v>9803</v>
      </c>
      <c r="AA41" s="5">
        <v>42088</v>
      </c>
      <c r="AE41" s="3">
        <v>41030</v>
      </c>
      <c r="AF41">
        <f t="shared" si="0"/>
        <v>13189</v>
      </c>
      <c r="AG41">
        <f t="shared" si="1"/>
        <v>13389</v>
      </c>
      <c r="AH41">
        <f t="shared" si="2"/>
        <v>1.0151641519448025</v>
      </c>
      <c r="AI41">
        <f t="shared" si="3"/>
        <v>20415</v>
      </c>
      <c r="AJ41">
        <f t="shared" si="4"/>
        <v>20415</v>
      </c>
    </row>
    <row r="42" spans="1:36" x14ac:dyDescent="0.25">
      <c r="A42" s="10">
        <v>38899</v>
      </c>
      <c r="B42" s="11">
        <v>1828</v>
      </c>
      <c r="C42" s="11" t="s">
        <v>3</v>
      </c>
      <c r="D42" s="1"/>
      <c r="E42" s="1"/>
      <c r="G42" s="10">
        <v>38718</v>
      </c>
      <c r="H42" s="11">
        <v>12623</v>
      </c>
      <c r="I42" s="11" t="s">
        <v>16</v>
      </c>
      <c r="M42" s="3">
        <v>39448</v>
      </c>
      <c r="N42" s="5">
        <v>5457</v>
      </c>
      <c r="O42" s="5"/>
      <c r="P42" s="5">
        <v>31842</v>
      </c>
      <c r="Q42" s="5"/>
      <c r="R42" s="5"/>
      <c r="S42" s="5">
        <v>37299</v>
      </c>
      <c r="W42" s="3">
        <v>39448</v>
      </c>
      <c r="X42" s="5">
        <v>1162</v>
      </c>
      <c r="Y42" s="5">
        <v>27756</v>
      </c>
      <c r="Z42" s="5">
        <v>8381</v>
      </c>
      <c r="AA42" s="5">
        <v>37299</v>
      </c>
      <c r="AE42" s="3">
        <v>41061</v>
      </c>
      <c r="AF42">
        <f t="shared" si="0"/>
        <v>12382</v>
      </c>
      <c r="AG42">
        <f t="shared" si="1"/>
        <v>12542</v>
      </c>
      <c r="AH42">
        <f t="shared" si="2"/>
        <v>1.0129219835244709</v>
      </c>
      <c r="AI42">
        <f t="shared" si="3"/>
        <v>22426</v>
      </c>
      <c r="AJ42">
        <f t="shared" si="4"/>
        <v>22426</v>
      </c>
    </row>
    <row r="43" spans="1:36" x14ac:dyDescent="0.25">
      <c r="A43" s="10">
        <v>38930</v>
      </c>
      <c r="B43" s="11">
        <v>21409</v>
      </c>
      <c r="C43" s="11" t="s">
        <v>2</v>
      </c>
      <c r="D43" s="1"/>
      <c r="E43" s="1"/>
      <c r="G43" s="10">
        <v>38718</v>
      </c>
      <c r="H43" s="11">
        <v>1688</v>
      </c>
      <c r="I43" s="11" t="s">
        <v>14</v>
      </c>
      <c r="M43" s="3">
        <v>39479</v>
      </c>
      <c r="N43" s="5">
        <v>6994</v>
      </c>
      <c r="O43" s="5"/>
      <c r="P43" s="5">
        <v>30920</v>
      </c>
      <c r="Q43" s="5"/>
      <c r="R43" s="5"/>
      <c r="S43" s="5">
        <v>37914</v>
      </c>
      <c r="W43" s="3">
        <v>39479</v>
      </c>
      <c r="X43" s="5">
        <v>1383</v>
      </c>
      <c r="Y43" s="5">
        <v>26108</v>
      </c>
      <c r="Z43" s="5">
        <v>10423</v>
      </c>
      <c r="AA43" s="5">
        <v>37914</v>
      </c>
      <c r="AE43" s="3">
        <v>41091</v>
      </c>
      <c r="AF43">
        <f t="shared" si="0"/>
        <v>13178</v>
      </c>
      <c r="AG43">
        <f t="shared" si="1"/>
        <v>13383</v>
      </c>
      <c r="AH43">
        <f t="shared" si="2"/>
        <v>1.0155562300804371</v>
      </c>
      <c r="AI43">
        <f t="shared" si="3"/>
        <v>24469</v>
      </c>
      <c r="AJ43">
        <f t="shared" si="4"/>
        <v>24469</v>
      </c>
    </row>
    <row r="44" spans="1:36" x14ac:dyDescent="0.25">
      <c r="A44" s="10">
        <v>38930</v>
      </c>
      <c r="B44" s="11">
        <v>1874</v>
      </c>
      <c r="C44" s="11" t="s">
        <v>3</v>
      </c>
      <c r="D44" s="1"/>
      <c r="E44" s="1"/>
      <c r="G44" s="10">
        <v>38749</v>
      </c>
      <c r="H44" s="11">
        <v>3571</v>
      </c>
      <c r="I44" s="11" t="s">
        <v>15</v>
      </c>
      <c r="M44" s="3">
        <v>39508</v>
      </c>
      <c r="N44" s="5">
        <v>7122</v>
      </c>
      <c r="O44" s="5"/>
      <c r="P44" s="5">
        <v>23878</v>
      </c>
      <c r="Q44" s="5"/>
      <c r="R44" s="5"/>
      <c r="S44" s="5">
        <v>31000</v>
      </c>
      <c r="W44" s="3">
        <v>39508</v>
      </c>
      <c r="X44" s="5">
        <v>1156</v>
      </c>
      <c r="Y44" s="5">
        <v>19872</v>
      </c>
      <c r="Z44" s="5">
        <v>9972</v>
      </c>
      <c r="AA44" s="5">
        <v>31000</v>
      </c>
      <c r="AE44" s="3">
        <v>41122</v>
      </c>
      <c r="AF44">
        <f t="shared" si="0"/>
        <v>13092</v>
      </c>
      <c r="AG44">
        <f t="shared" si="1"/>
        <v>13357</v>
      </c>
      <c r="AH44">
        <f t="shared" si="2"/>
        <v>1.0202413687748244</v>
      </c>
      <c r="AI44">
        <f t="shared" si="3"/>
        <v>26340</v>
      </c>
      <c r="AJ44">
        <f t="shared" si="4"/>
        <v>26340</v>
      </c>
    </row>
    <row r="45" spans="1:36" x14ac:dyDescent="0.25">
      <c r="A45" s="10">
        <v>38961</v>
      </c>
      <c r="B45" s="11">
        <v>19941</v>
      </c>
      <c r="C45" s="11" t="s">
        <v>2</v>
      </c>
      <c r="D45" s="1"/>
      <c r="E45" s="1"/>
      <c r="G45" s="10">
        <v>38749</v>
      </c>
      <c r="H45" s="11">
        <v>12445</v>
      </c>
      <c r="I45" s="11" t="s">
        <v>16</v>
      </c>
      <c r="M45" s="3">
        <v>39539</v>
      </c>
      <c r="N45" s="5">
        <v>10711</v>
      </c>
      <c r="O45" s="5"/>
      <c r="P45" s="5">
        <v>26414</v>
      </c>
      <c r="Q45" s="5"/>
      <c r="R45" s="5"/>
      <c r="S45" s="5">
        <v>37125</v>
      </c>
      <c r="W45" s="3">
        <v>39539</v>
      </c>
      <c r="X45" s="5">
        <v>1528</v>
      </c>
      <c r="Y45" s="5">
        <v>20971</v>
      </c>
      <c r="Z45" s="5">
        <v>14626</v>
      </c>
      <c r="AA45" s="5">
        <v>37125</v>
      </c>
      <c r="AE45" s="3">
        <v>41153</v>
      </c>
      <c r="AF45">
        <f t="shared" si="0"/>
        <v>13246</v>
      </c>
      <c r="AG45">
        <f t="shared" si="1"/>
        <v>13492</v>
      </c>
      <c r="AH45">
        <f t="shared" si="2"/>
        <v>1.0185716442699684</v>
      </c>
      <c r="AI45">
        <f t="shared" si="3"/>
        <v>28102</v>
      </c>
      <c r="AJ45">
        <f t="shared" si="4"/>
        <v>28102</v>
      </c>
    </row>
    <row r="46" spans="1:36" x14ac:dyDescent="0.25">
      <c r="A46" s="10">
        <v>38961</v>
      </c>
      <c r="B46" s="11">
        <v>1690</v>
      </c>
      <c r="C46" s="11" t="s">
        <v>3</v>
      </c>
      <c r="D46" s="1"/>
      <c r="E46" s="1"/>
      <c r="G46" s="10">
        <v>38749</v>
      </c>
      <c r="H46" s="11">
        <v>1651</v>
      </c>
      <c r="I46" s="11" t="s">
        <v>14</v>
      </c>
      <c r="M46" s="3">
        <v>39569</v>
      </c>
      <c r="N46" s="5">
        <v>7954</v>
      </c>
      <c r="O46" s="5"/>
      <c r="P46" s="5">
        <v>27528</v>
      </c>
      <c r="Q46" s="5"/>
      <c r="R46" s="5"/>
      <c r="S46" s="5">
        <v>35482</v>
      </c>
      <c r="W46" s="3">
        <v>39569</v>
      </c>
      <c r="X46" s="5">
        <v>1326</v>
      </c>
      <c r="Y46" s="5">
        <v>22979</v>
      </c>
      <c r="Z46" s="5">
        <v>11177</v>
      </c>
      <c r="AA46" s="5">
        <v>35482</v>
      </c>
      <c r="AE46" s="3">
        <v>41183</v>
      </c>
      <c r="AF46">
        <f t="shared" si="0"/>
        <v>14068</v>
      </c>
      <c r="AG46">
        <f t="shared" si="1"/>
        <v>14252</v>
      </c>
      <c r="AH46">
        <f t="shared" si="2"/>
        <v>1.0130793289735569</v>
      </c>
      <c r="AI46">
        <f t="shared" si="3"/>
        <v>30009</v>
      </c>
      <c r="AJ46">
        <f t="shared" si="4"/>
        <v>30009</v>
      </c>
    </row>
    <row r="47" spans="1:36" x14ac:dyDescent="0.25">
      <c r="A47" s="10">
        <v>38991</v>
      </c>
      <c r="B47" s="11">
        <v>20670</v>
      </c>
      <c r="C47" s="11" t="s">
        <v>2</v>
      </c>
      <c r="D47" s="1"/>
      <c r="E47" s="1"/>
      <c r="G47" s="10">
        <v>38777</v>
      </c>
      <c r="H47" s="11">
        <v>3438</v>
      </c>
      <c r="I47" s="11" t="s">
        <v>15</v>
      </c>
      <c r="M47" s="3">
        <v>39600</v>
      </c>
      <c r="N47" s="5">
        <v>6216</v>
      </c>
      <c r="O47" s="5"/>
      <c r="P47" s="5">
        <v>22886</v>
      </c>
      <c r="Q47" s="5"/>
      <c r="R47" s="5"/>
      <c r="S47" s="5">
        <v>29102</v>
      </c>
      <c r="W47" s="3">
        <v>39600</v>
      </c>
      <c r="X47" s="5">
        <v>1116</v>
      </c>
      <c r="Y47" s="5">
        <v>19421</v>
      </c>
      <c r="Z47" s="5">
        <v>8565</v>
      </c>
      <c r="AA47" s="5">
        <v>29102</v>
      </c>
      <c r="AE47" s="3">
        <v>41214</v>
      </c>
      <c r="AF47">
        <f t="shared" si="0"/>
        <v>13316</v>
      </c>
      <c r="AG47">
        <f t="shared" si="1"/>
        <v>13492</v>
      </c>
      <c r="AH47">
        <f t="shared" si="2"/>
        <v>1.0132171823370382</v>
      </c>
      <c r="AI47">
        <f t="shared" si="3"/>
        <v>29749</v>
      </c>
      <c r="AJ47">
        <f t="shared" si="4"/>
        <v>29749</v>
      </c>
    </row>
    <row r="48" spans="1:36" x14ac:dyDescent="0.25">
      <c r="A48" s="10">
        <v>38991</v>
      </c>
      <c r="B48" s="11">
        <v>1896</v>
      </c>
      <c r="C48" s="11" t="s">
        <v>3</v>
      </c>
      <c r="D48" s="1"/>
      <c r="E48" s="1"/>
      <c r="G48" s="10">
        <v>38777</v>
      </c>
      <c r="H48" s="11">
        <v>9990</v>
      </c>
      <c r="I48" s="11" t="s">
        <v>16</v>
      </c>
      <c r="M48" s="3">
        <v>39630</v>
      </c>
      <c r="N48" s="5">
        <v>3812</v>
      </c>
      <c r="O48" s="5"/>
      <c r="P48" s="5">
        <v>19843</v>
      </c>
      <c r="Q48" s="5"/>
      <c r="R48" s="5"/>
      <c r="S48" s="5">
        <v>23655</v>
      </c>
      <c r="W48" s="3">
        <v>39630</v>
      </c>
      <c r="X48" s="5">
        <v>697</v>
      </c>
      <c r="Y48" s="5">
        <v>17820</v>
      </c>
      <c r="Z48" s="5">
        <v>5138</v>
      </c>
      <c r="AA48" s="5">
        <v>23655</v>
      </c>
      <c r="AE48" s="3">
        <v>41244</v>
      </c>
      <c r="AF48">
        <f t="shared" si="0"/>
        <v>15936</v>
      </c>
      <c r="AG48">
        <f t="shared" si="1"/>
        <v>16216</v>
      </c>
      <c r="AH48">
        <f t="shared" si="2"/>
        <v>1.017570281124498</v>
      </c>
      <c r="AI48">
        <f t="shared" si="3"/>
        <v>32784</v>
      </c>
      <c r="AJ48">
        <f t="shared" si="4"/>
        <v>32784</v>
      </c>
    </row>
    <row r="49" spans="1:36" x14ac:dyDescent="0.25">
      <c r="A49" s="10">
        <v>39022</v>
      </c>
      <c r="B49" s="11">
        <v>19165</v>
      </c>
      <c r="C49" s="11" t="s">
        <v>2</v>
      </c>
      <c r="D49" s="1"/>
      <c r="E49" s="1"/>
      <c r="G49" s="10">
        <v>38777</v>
      </c>
      <c r="H49" s="11">
        <v>1455</v>
      </c>
      <c r="I49" s="11" t="s">
        <v>14</v>
      </c>
      <c r="M49" s="3">
        <v>39661</v>
      </c>
      <c r="N49" s="5">
        <v>3008</v>
      </c>
      <c r="O49" s="5"/>
      <c r="P49" s="5">
        <v>20321</v>
      </c>
      <c r="Q49" s="5"/>
      <c r="R49" s="5"/>
      <c r="S49" s="5">
        <v>23329</v>
      </c>
      <c r="W49" s="3">
        <v>39661</v>
      </c>
      <c r="X49" s="5">
        <v>535</v>
      </c>
      <c r="Y49" s="5">
        <v>18820</v>
      </c>
      <c r="Z49" s="5">
        <v>3974</v>
      </c>
      <c r="AA49" s="5">
        <v>23329</v>
      </c>
      <c r="AE49" s="3">
        <v>41275</v>
      </c>
      <c r="AF49">
        <f t="shared" si="0"/>
        <v>13955</v>
      </c>
      <c r="AG49">
        <f t="shared" si="1"/>
        <v>14266</v>
      </c>
      <c r="AH49">
        <f t="shared" si="2"/>
        <v>1.022285919025439</v>
      </c>
      <c r="AI49">
        <f t="shared" si="3"/>
        <v>28907</v>
      </c>
      <c r="AJ49">
        <f t="shared" si="4"/>
        <v>28907</v>
      </c>
    </row>
    <row r="50" spans="1:36" x14ac:dyDescent="0.25">
      <c r="A50" s="10">
        <v>39022</v>
      </c>
      <c r="B50" s="11">
        <v>2054</v>
      </c>
      <c r="C50" s="11" t="s">
        <v>3</v>
      </c>
      <c r="D50" s="1"/>
      <c r="E50" s="1"/>
      <c r="G50" s="10">
        <v>38808</v>
      </c>
      <c r="H50" s="11">
        <v>3701</v>
      </c>
      <c r="I50" s="11" t="s">
        <v>15</v>
      </c>
      <c r="M50" s="3">
        <v>39692</v>
      </c>
      <c r="N50" s="5">
        <v>1917</v>
      </c>
      <c r="O50" s="5"/>
      <c r="P50" s="5">
        <v>15950</v>
      </c>
      <c r="Q50" s="5"/>
      <c r="R50" s="5"/>
      <c r="S50" s="5">
        <v>17867</v>
      </c>
      <c r="W50" s="3">
        <v>39692</v>
      </c>
      <c r="X50" s="5">
        <v>333</v>
      </c>
      <c r="Y50" s="5">
        <v>15153</v>
      </c>
      <c r="Z50" s="5">
        <v>2381</v>
      </c>
      <c r="AA50" s="5">
        <v>17867</v>
      </c>
      <c r="AE50" s="3">
        <v>41306</v>
      </c>
      <c r="AF50">
        <f t="shared" si="0"/>
        <v>14118</v>
      </c>
      <c r="AG50">
        <f t="shared" si="1"/>
        <v>14429</v>
      </c>
      <c r="AH50">
        <f t="shared" si="2"/>
        <v>1.0220286159512679</v>
      </c>
      <c r="AI50">
        <f t="shared" si="3"/>
        <v>30974</v>
      </c>
      <c r="AJ50">
        <f t="shared" si="4"/>
        <v>30974</v>
      </c>
    </row>
    <row r="51" spans="1:36" x14ac:dyDescent="0.25">
      <c r="A51" s="10">
        <v>39052</v>
      </c>
      <c r="B51" s="11">
        <v>2787</v>
      </c>
      <c r="C51" s="11" t="s">
        <v>3</v>
      </c>
      <c r="D51" s="1"/>
      <c r="E51" s="1"/>
      <c r="G51" s="10">
        <v>38808</v>
      </c>
      <c r="H51" s="11">
        <v>10989</v>
      </c>
      <c r="I51" s="11" t="s">
        <v>16</v>
      </c>
      <c r="M51" s="3">
        <v>39722</v>
      </c>
      <c r="N51" s="5">
        <v>1181</v>
      </c>
      <c r="O51" s="5"/>
      <c r="P51" s="5">
        <v>10778</v>
      </c>
      <c r="Q51" s="5"/>
      <c r="R51" s="5"/>
      <c r="S51" s="5">
        <v>11959</v>
      </c>
      <c r="W51" s="3">
        <v>39722</v>
      </c>
      <c r="X51" s="5">
        <v>226</v>
      </c>
      <c r="Y51" s="5">
        <v>10285</v>
      </c>
      <c r="Z51" s="5">
        <v>1448</v>
      </c>
      <c r="AA51" s="5">
        <v>11959</v>
      </c>
      <c r="AE51" s="3">
        <v>41334</v>
      </c>
      <c r="AF51">
        <f t="shared" si="0"/>
        <v>15173</v>
      </c>
      <c r="AG51">
        <f t="shared" si="1"/>
        <v>15534</v>
      </c>
      <c r="AH51">
        <f t="shared" si="2"/>
        <v>1.0237922625716733</v>
      </c>
      <c r="AI51">
        <f t="shared" si="3"/>
        <v>31277</v>
      </c>
      <c r="AJ51">
        <f t="shared" si="4"/>
        <v>31277</v>
      </c>
    </row>
    <row r="52" spans="1:36" x14ac:dyDescent="0.25">
      <c r="A52" s="10">
        <v>39052</v>
      </c>
      <c r="B52" s="11">
        <v>19930</v>
      </c>
      <c r="C52" s="11" t="s">
        <v>2</v>
      </c>
      <c r="D52" s="1"/>
      <c r="E52" s="1"/>
      <c r="G52" s="10">
        <v>38808</v>
      </c>
      <c r="H52" s="11">
        <v>1447</v>
      </c>
      <c r="I52" s="11" t="s">
        <v>14</v>
      </c>
      <c r="M52" s="3">
        <v>39753</v>
      </c>
      <c r="N52" s="5">
        <v>1415</v>
      </c>
      <c r="O52" s="5"/>
      <c r="P52" s="5">
        <v>10864</v>
      </c>
      <c r="Q52" s="5"/>
      <c r="R52" s="5"/>
      <c r="S52" s="5">
        <v>12279</v>
      </c>
      <c r="W52" s="3">
        <v>39753</v>
      </c>
      <c r="X52" s="5">
        <v>278</v>
      </c>
      <c r="Y52" s="5">
        <v>10453</v>
      </c>
      <c r="Z52" s="5">
        <v>1548</v>
      </c>
      <c r="AA52" s="5">
        <v>12279</v>
      </c>
      <c r="AE52" s="3">
        <v>41365</v>
      </c>
      <c r="AF52">
        <f t="shared" si="0"/>
        <v>15258</v>
      </c>
      <c r="AG52">
        <f t="shared" si="1"/>
        <v>15566</v>
      </c>
      <c r="AH52">
        <f t="shared" si="2"/>
        <v>1.020186131865251</v>
      </c>
      <c r="AI52">
        <f t="shared" si="3"/>
        <v>31822</v>
      </c>
      <c r="AJ52">
        <f t="shared" si="4"/>
        <v>31822</v>
      </c>
    </row>
    <row r="53" spans="1:36" x14ac:dyDescent="0.25">
      <c r="A53" s="10">
        <v>39083</v>
      </c>
      <c r="B53" s="11">
        <v>2575</v>
      </c>
      <c r="C53" s="11" t="s">
        <v>3</v>
      </c>
      <c r="D53" s="1"/>
      <c r="E53" s="1"/>
      <c r="G53" s="10">
        <v>38838</v>
      </c>
      <c r="H53" s="11">
        <v>3937</v>
      </c>
      <c r="I53" s="11" t="s">
        <v>15</v>
      </c>
      <c r="M53" s="3">
        <v>39783</v>
      </c>
      <c r="N53" s="5">
        <v>1908</v>
      </c>
      <c r="O53" s="5"/>
      <c r="P53" s="5">
        <v>9981</v>
      </c>
      <c r="Q53" s="5"/>
      <c r="R53" s="5"/>
      <c r="S53" s="5">
        <v>11889</v>
      </c>
      <c r="W53" s="3">
        <v>39783</v>
      </c>
      <c r="X53" s="5">
        <v>438</v>
      </c>
      <c r="Y53" s="5">
        <v>9552</v>
      </c>
      <c r="Z53" s="5">
        <v>1899</v>
      </c>
      <c r="AA53" s="5">
        <v>11889</v>
      </c>
      <c r="AE53" s="3">
        <v>41395</v>
      </c>
      <c r="AF53">
        <f t="shared" si="0"/>
        <v>15539</v>
      </c>
      <c r="AG53">
        <f t="shared" si="1"/>
        <v>15856</v>
      </c>
      <c r="AH53">
        <f t="shared" si="2"/>
        <v>1.0204002831585044</v>
      </c>
      <c r="AI53">
        <f t="shared" si="3"/>
        <v>32342</v>
      </c>
      <c r="AJ53">
        <f t="shared" si="4"/>
        <v>32342</v>
      </c>
    </row>
    <row r="54" spans="1:36" x14ac:dyDescent="0.25">
      <c r="A54" s="10">
        <v>39083</v>
      </c>
      <c r="B54" s="11">
        <v>18549</v>
      </c>
      <c r="C54" s="11" t="s">
        <v>2</v>
      </c>
      <c r="D54" s="1"/>
      <c r="E54" s="1"/>
      <c r="G54" s="10">
        <v>38838</v>
      </c>
      <c r="H54" s="11">
        <v>13613</v>
      </c>
      <c r="I54" s="11" t="s">
        <v>16</v>
      </c>
      <c r="M54" s="3">
        <v>39814</v>
      </c>
      <c r="N54" s="5">
        <v>1021</v>
      </c>
      <c r="O54" s="5"/>
      <c r="P54" s="5">
        <v>6638</v>
      </c>
      <c r="Q54" s="5"/>
      <c r="R54" s="5"/>
      <c r="S54" s="5">
        <v>7659</v>
      </c>
      <c r="W54" s="3">
        <v>39814</v>
      </c>
      <c r="X54" s="5">
        <v>194</v>
      </c>
      <c r="Y54" s="5">
        <v>6437</v>
      </c>
      <c r="Z54" s="5">
        <v>1028</v>
      </c>
      <c r="AA54" s="5">
        <v>7659</v>
      </c>
      <c r="AE54" s="3">
        <v>41426</v>
      </c>
      <c r="AF54">
        <f t="shared" si="0"/>
        <v>14591</v>
      </c>
      <c r="AG54">
        <f t="shared" si="1"/>
        <v>14917</v>
      </c>
      <c r="AH54">
        <f t="shared" si="2"/>
        <v>1.0223425399218697</v>
      </c>
      <c r="AI54">
        <f t="shared" si="3"/>
        <v>32375</v>
      </c>
      <c r="AJ54">
        <f t="shared" si="4"/>
        <v>32375</v>
      </c>
    </row>
    <row r="55" spans="1:36" x14ac:dyDescent="0.25">
      <c r="A55" s="10">
        <v>39114</v>
      </c>
      <c r="B55" s="11">
        <v>18576</v>
      </c>
      <c r="C55" s="11" t="s">
        <v>2</v>
      </c>
      <c r="D55" s="1"/>
      <c r="E55" s="1"/>
      <c r="G55" s="10">
        <v>38838</v>
      </c>
      <c r="H55" s="11">
        <v>1400</v>
      </c>
      <c r="I55" s="11" t="s">
        <v>14</v>
      </c>
      <c r="M55" s="3">
        <v>39845</v>
      </c>
      <c r="N55" s="5">
        <v>2875</v>
      </c>
      <c r="O55" s="5"/>
      <c r="P55" s="5">
        <v>8795</v>
      </c>
      <c r="Q55" s="5"/>
      <c r="R55" s="5"/>
      <c r="S55" s="5">
        <v>11670</v>
      </c>
      <c r="W55" s="3">
        <v>39845</v>
      </c>
      <c r="X55" s="5">
        <v>720</v>
      </c>
      <c r="Y55" s="5">
        <v>8464</v>
      </c>
      <c r="Z55" s="5">
        <v>2486</v>
      </c>
      <c r="AA55" s="5">
        <v>11670</v>
      </c>
      <c r="AE55" s="3">
        <v>41456</v>
      </c>
      <c r="AF55">
        <f t="shared" si="0"/>
        <v>13308</v>
      </c>
      <c r="AG55">
        <f t="shared" si="1"/>
        <v>13693</v>
      </c>
      <c r="AH55">
        <f t="shared" si="2"/>
        <v>1.0289299669371808</v>
      </c>
      <c r="AI55">
        <f t="shared" si="3"/>
        <v>35942</v>
      </c>
      <c r="AJ55">
        <f t="shared" si="4"/>
        <v>35942</v>
      </c>
    </row>
    <row r="56" spans="1:36" x14ac:dyDescent="0.25">
      <c r="A56" s="10">
        <v>39114</v>
      </c>
      <c r="B56" s="11">
        <v>2928</v>
      </c>
      <c r="C56" s="11" t="s">
        <v>3</v>
      </c>
      <c r="D56" s="1"/>
      <c r="E56" s="1"/>
      <c r="G56" s="10">
        <v>38869</v>
      </c>
      <c r="H56" s="11">
        <v>3374</v>
      </c>
      <c r="I56" s="11" t="s">
        <v>15</v>
      </c>
      <c r="M56" s="3">
        <v>39873</v>
      </c>
      <c r="N56" s="5">
        <v>6757</v>
      </c>
      <c r="O56" s="5"/>
      <c r="P56" s="5">
        <v>5491</v>
      </c>
      <c r="Q56" s="5"/>
      <c r="R56" s="5"/>
      <c r="S56" s="5">
        <v>12248</v>
      </c>
      <c r="W56" s="3">
        <v>39873</v>
      </c>
      <c r="X56" s="5">
        <v>1767</v>
      </c>
      <c r="Y56" s="5">
        <v>4994</v>
      </c>
      <c r="Z56" s="5">
        <v>5487</v>
      </c>
      <c r="AA56" s="5">
        <v>12248</v>
      </c>
      <c r="AE56" s="3">
        <v>41487</v>
      </c>
      <c r="AF56">
        <f t="shared" si="0"/>
        <v>11511</v>
      </c>
      <c r="AG56">
        <f t="shared" si="1"/>
        <v>11861</v>
      </c>
      <c r="AH56">
        <f t="shared" si="2"/>
        <v>1.0304056988967074</v>
      </c>
      <c r="AI56">
        <f t="shared" si="3"/>
        <v>32841</v>
      </c>
      <c r="AJ56">
        <f t="shared" si="4"/>
        <v>32841</v>
      </c>
    </row>
    <row r="57" spans="1:36" x14ac:dyDescent="0.25">
      <c r="A57" s="10">
        <v>39142</v>
      </c>
      <c r="B57" s="11">
        <v>3041</v>
      </c>
      <c r="C57" s="11" t="s">
        <v>3</v>
      </c>
      <c r="D57" s="1"/>
      <c r="E57" s="1"/>
      <c r="G57" s="10">
        <v>38869</v>
      </c>
      <c r="H57" s="11">
        <v>14380</v>
      </c>
      <c r="I57" s="11" t="s">
        <v>16</v>
      </c>
      <c r="M57" s="3">
        <v>39904</v>
      </c>
      <c r="N57" s="5">
        <v>7889</v>
      </c>
      <c r="O57" s="5"/>
      <c r="P57" s="5">
        <v>6205</v>
      </c>
      <c r="Q57" s="5"/>
      <c r="R57" s="5"/>
      <c r="S57" s="5">
        <v>14094</v>
      </c>
      <c r="W57" s="3">
        <v>39904</v>
      </c>
      <c r="X57" s="5">
        <v>1958</v>
      </c>
      <c r="Y57" s="5">
        <v>5617</v>
      </c>
      <c r="Z57" s="5">
        <v>6519</v>
      </c>
      <c r="AA57" s="5">
        <v>14094</v>
      </c>
      <c r="AE57" s="3">
        <v>41518</v>
      </c>
      <c r="AF57">
        <f t="shared" si="0"/>
        <v>10589</v>
      </c>
      <c r="AG57">
        <f t="shared" si="1"/>
        <v>10905</v>
      </c>
      <c r="AH57">
        <f t="shared" si="2"/>
        <v>1.0298422891680046</v>
      </c>
      <c r="AI57">
        <f t="shared" si="3"/>
        <v>30387</v>
      </c>
      <c r="AJ57">
        <f t="shared" si="4"/>
        <v>30387</v>
      </c>
    </row>
    <row r="58" spans="1:36" x14ac:dyDescent="0.25">
      <c r="A58" s="10">
        <v>39142</v>
      </c>
      <c r="B58" s="11">
        <v>16836</v>
      </c>
      <c r="C58" s="11" t="s">
        <v>2</v>
      </c>
      <c r="D58" s="1"/>
      <c r="E58" s="1"/>
      <c r="G58" s="10">
        <v>38869</v>
      </c>
      <c r="H58" s="11">
        <v>1389</v>
      </c>
      <c r="I58" s="11" t="s">
        <v>14</v>
      </c>
      <c r="M58" s="3">
        <v>39934</v>
      </c>
      <c r="N58" s="5">
        <v>7801</v>
      </c>
      <c r="O58" s="5"/>
      <c r="P58" s="5">
        <v>8110</v>
      </c>
      <c r="Q58" s="5"/>
      <c r="R58" s="5"/>
      <c r="S58" s="5">
        <v>15911</v>
      </c>
      <c r="W58" s="3">
        <v>39934</v>
      </c>
      <c r="X58" s="5">
        <v>1844</v>
      </c>
      <c r="Y58" s="5">
        <v>7665</v>
      </c>
      <c r="Z58" s="5">
        <v>6402</v>
      </c>
      <c r="AA58" s="5">
        <v>15911</v>
      </c>
      <c r="AE58" s="3">
        <v>41548</v>
      </c>
      <c r="AF58">
        <f t="shared" si="0"/>
        <v>8489</v>
      </c>
      <c r="AG58">
        <f t="shared" si="1"/>
        <v>8808</v>
      </c>
      <c r="AH58">
        <f t="shared" si="2"/>
        <v>1.0375780421722229</v>
      </c>
      <c r="AI58">
        <f t="shared" si="3"/>
        <v>25586</v>
      </c>
      <c r="AJ58">
        <f t="shared" si="4"/>
        <v>25586</v>
      </c>
    </row>
    <row r="59" spans="1:36" x14ac:dyDescent="0.25">
      <c r="A59" s="10">
        <v>39173</v>
      </c>
      <c r="B59" s="11">
        <v>19589</v>
      </c>
      <c r="C59" s="11" t="s">
        <v>2</v>
      </c>
      <c r="D59" s="1"/>
      <c r="E59" s="1"/>
      <c r="G59" s="10">
        <v>38899</v>
      </c>
      <c r="H59" s="11">
        <v>3240</v>
      </c>
      <c r="I59" s="11" t="s">
        <v>15</v>
      </c>
      <c r="M59" s="3">
        <v>39965</v>
      </c>
      <c r="N59" s="5"/>
      <c r="O59" s="5">
        <v>3673</v>
      </c>
      <c r="P59" s="5">
        <v>7390</v>
      </c>
      <c r="Q59" s="5">
        <v>5386</v>
      </c>
      <c r="R59" s="5"/>
      <c r="S59" s="5">
        <v>16449</v>
      </c>
      <c r="W59" s="3">
        <v>39965</v>
      </c>
      <c r="X59" s="5">
        <v>4272</v>
      </c>
      <c r="Y59" s="5">
        <v>7108</v>
      </c>
      <c r="Z59" s="5">
        <v>5069</v>
      </c>
      <c r="AA59" s="5">
        <v>16449</v>
      </c>
      <c r="AE59" s="3">
        <v>41579</v>
      </c>
      <c r="AF59">
        <f t="shared" si="0"/>
        <v>6264</v>
      </c>
      <c r="AG59">
        <f t="shared" si="1"/>
        <v>6521</v>
      </c>
      <c r="AH59">
        <f t="shared" si="2"/>
        <v>1.0410280970625798</v>
      </c>
      <c r="AI59">
        <f t="shared" si="3"/>
        <v>20817</v>
      </c>
      <c r="AJ59">
        <f t="shared" si="4"/>
        <v>20817</v>
      </c>
    </row>
    <row r="60" spans="1:36" x14ac:dyDescent="0.25">
      <c r="A60" s="10">
        <v>39173</v>
      </c>
      <c r="B60" s="11">
        <v>2844</v>
      </c>
      <c r="C60" s="11" t="s">
        <v>3</v>
      </c>
      <c r="D60" s="1"/>
      <c r="E60" s="1"/>
      <c r="G60" s="10">
        <v>38899</v>
      </c>
      <c r="H60" s="11">
        <v>15985</v>
      </c>
      <c r="I60" s="11" t="s">
        <v>16</v>
      </c>
      <c r="M60" s="3">
        <v>39995</v>
      </c>
      <c r="N60" s="5"/>
      <c r="O60" s="5">
        <v>9247</v>
      </c>
      <c r="P60" s="5">
        <v>7562</v>
      </c>
      <c r="Q60" s="5">
        <v>4679</v>
      </c>
      <c r="R60" s="5"/>
      <c r="S60" s="5">
        <v>21488</v>
      </c>
      <c r="W60" s="3">
        <v>39995</v>
      </c>
      <c r="X60" s="5">
        <v>9557</v>
      </c>
      <c r="Y60" s="5">
        <v>7329</v>
      </c>
      <c r="Z60" s="5">
        <v>4602</v>
      </c>
      <c r="AA60" s="5">
        <v>21488</v>
      </c>
      <c r="AE60" s="3">
        <v>41609</v>
      </c>
      <c r="AF60">
        <f t="shared" si="0"/>
        <v>5421</v>
      </c>
      <c r="AG60">
        <f t="shared" si="1"/>
        <v>5615</v>
      </c>
      <c r="AH60">
        <f t="shared" si="2"/>
        <v>1.0357867552112157</v>
      </c>
      <c r="AI60">
        <f t="shared" si="3"/>
        <v>20796</v>
      </c>
      <c r="AJ60">
        <f t="shared" si="4"/>
        <v>20796</v>
      </c>
    </row>
    <row r="61" spans="1:36" x14ac:dyDescent="0.25">
      <c r="A61" s="10">
        <v>39203</v>
      </c>
      <c r="B61" s="11">
        <v>27055</v>
      </c>
      <c r="C61" s="11" t="s">
        <v>2</v>
      </c>
      <c r="D61" s="1"/>
      <c r="E61" s="1"/>
      <c r="G61" s="10">
        <v>38899</v>
      </c>
      <c r="H61" s="11">
        <v>1405</v>
      </c>
      <c r="I61" s="11" t="s">
        <v>14</v>
      </c>
      <c r="M61" s="3">
        <v>40026</v>
      </c>
      <c r="N61" s="5"/>
      <c r="O61" s="5">
        <v>15370</v>
      </c>
      <c r="P61" s="5">
        <v>8903</v>
      </c>
      <c r="Q61" s="5">
        <v>4362</v>
      </c>
      <c r="R61" s="5"/>
      <c r="S61" s="5">
        <v>28635</v>
      </c>
      <c r="W61" s="3">
        <v>40026</v>
      </c>
      <c r="X61" s="5">
        <v>15810</v>
      </c>
      <c r="Y61" s="5">
        <v>8765</v>
      </c>
      <c r="Z61" s="5">
        <v>4060</v>
      </c>
      <c r="AA61" s="5">
        <v>28635</v>
      </c>
      <c r="AE61" s="3">
        <v>41640</v>
      </c>
      <c r="AF61">
        <f t="shared" si="0"/>
        <v>4753</v>
      </c>
      <c r="AG61">
        <f t="shared" si="1"/>
        <v>4989</v>
      </c>
      <c r="AH61">
        <f t="shared" si="2"/>
        <v>1.0496528508310541</v>
      </c>
      <c r="AI61">
        <f t="shared" si="3"/>
        <v>20698</v>
      </c>
      <c r="AJ61">
        <f t="shared" si="4"/>
        <v>20698</v>
      </c>
    </row>
    <row r="62" spans="1:36" x14ac:dyDescent="0.25">
      <c r="A62" s="10">
        <v>39203</v>
      </c>
      <c r="B62" s="11">
        <v>3865</v>
      </c>
      <c r="C62" s="11" t="s">
        <v>3</v>
      </c>
      <c r="D62" s="1"/>
      <c r="E62" s="1"/>
      <c r="G62" s="10">
        <v>38930</v>
      </c>
      <c r="H62" s="11">
        <v>3287</v>
      </c>
      <c r="I62" s="11" t="s">
        <v>15</v>
      </c>
      <c r="M62" s="3">
        <v>40057</v>
      </c>
      <c r="N62" s="5"/>
      <c r="O62" s="5">
        <v>14029</v>
      </c>
      <c r="P62" s="5">
        <v>9675</v>
      </c>
      <c r="Q62" s="5">
        <v>2911</v>
      </c>
      <c r="R62" s="5"/>
      <c r="S62" s="5">
        <v>26615</v>
      </c>
      <c r="W62" s="3">
        <v>40057</v>
      </c>
      <c r="X62" s="5">
        <v>14494</v>
      </c>
      <c r="Y62" s="5">
        <v>9547</v>
      </c>
      <c r="Z62" s="5">
        <v>2574</v>
      </c>
      <c r="AA62" s="5">
        <v>26615</v>
      </c>
      <c r="AE62" s="3">
        <v>41671</v>
      </c>
      <c r="AF62">
        <f t="shared" si="0"/>
        <v>4811</v>
      </c>
      <c r="AG62">
        <f t="shared" si="1"/>
        <v>4958</v>
      </c>
      <c r="AH62">
        <f t="shared" si="2"/>
        <v>1.0305549781750156</v>
      </c>
      <c r="AI62">
        <f t="shared" si="3"/>
        <v>21746</v>
      </c>
      <c r="AJ62">
        <f t="shared" si="4"/>
        <v>21746</v>
      </c>
    </row>
    <row r="63" spans="1:36" x14ac:dyDescent="0.25">
      <c r="A63" s="10">
        <v>39234</v>
      </c>
      <c r="B63" s="11">
        <v>4487</v>
      </c>
      <c r="C63" s="11" t="s">
        <v>3</v>
      </c>
      <c r="D63" s="1"/>
      <c r="E63" s="1"/>
      <c r="G63" s="10">
        <v>38930</v>
      </c>
      <c r="H63" s="11">
        <v>18666</v>
      </c>
      <c r="I63" s="11" t="s">
        <v>16</v>
      </c>
      <c r="M63" s="3">
        <v>40087</v>
      </c>
      <c r="N63" s="5"/>
      <c r="O63" s="5">
        <v>9135</v>
      </c>
      <c r="P63" s="5">
        <v>7833</v>
      </c>
      <c r="Q63" s="5">
        <v>1784</v>
      </c>
      <c r="R63" s="5"/>
      <c r="S63" s="5">
        <v>18752</v>
      </c>
      <c r="W63" s="3">
        <v>40087</v>
      </c>
      <c r="X63" s="5">
        <v>9396</v>
      </c>
      <c r="Y63" s="5">
        <v>7753</v>
      </c>
      <c r="Z63" s="5">
        <v>1603</v>
      </c>
      <c r="AA63" s="5">
        <v>18752</v>
      </c>
      <c r="AE63" s="3">
        <v>41699</v>
      </c>
      <c r="AF63">
        <f t="shared" si="0"/>
        <v>3966</v>
      </c>
      <c r="AG63">
        <f t="shared" si="1"/>
        <v>4086</v>
      </c>
      <c r="AH63">
        <f t="shared" si="2"/>
        <v>1.0302571860816945</v>
      </c>
      <c r="AI63">
        <f t="shared" si="3"/>
        <v>14988</v>
      </c>
      <c r="AJ63">
        <f t="shared" si="4"/>
        <v>14988</v>
      </c>
    </row>
    <row r="64" spans="1:36" x14ac:dyDescent="0.25">
      <c r="A64" s="10">
        <v>39234</v>
      </c>
      <c r="B64" s="11">
        <v>30328</v>
      </c>
      <c r="C64" s="11" t="s">
        <v>2</v>
      </c>
      <c r="D64" s="1"/>
      <c r="E64" s="1"/>
      <c r="G64" s="10">
        <v>38930</v>
      </c>
      <c r="H64" s="11">
        <v>1330</v>
      </c>
      <c r="I64" s="11" t="s">
        <v>14</v>
      </c>
      <c r="M64" s="3">
        <v>40118</v>
      </c>
      <c r="N64" s="5"/>
      <c r="O64" s="5">
        <v>6784</v>
      </c>
      <c r="P64" s="5">
        <v>7262</v>
      </c>
      <c r="Q64" s="5">
        <v>1392</v>
      </c>
      <c r="R64" s="5"/>
      <c r="S64" s="5">
        <v>15438</v>
      </c>
      <c r="W64" s="3">
        <v>40118</v>
      </c>
      <c r="X64" s="5">
        <v>7014</v>
      </c>
      <c r="Y64" s="5">
        <v>7215</v>
      </c>
      <c r="Z64" s="5">
        <v>1209</v>
      </c>
      <c r="AA64" s="5">
        <v>15438</v>
      </c>
      <c r="AE64" s="3">
        <v>41730</v>
      </c>
      <c r="AF64">
        <f t="shared" si="0"/>
        <v>3315</v>
      </c>
      <c r="AG64">
        <f t="shared" si="1"/>
        <v>0</v>
      </c>
      <c r="AH64">
        <f t="shared" si="2"/>
        <v>0</v>
      </c>
      <c r="AI64">
        <f t="shared" si="3"/>
        <v>15796</v>
      </c>
      <c r="AJ64">
        <f t="shared" si="4"/>
        <v>15796</v>
      </c>
    </row>
    <row r="65" spans="1:36" x14ac:dyDescent="0.25">
      <c r="A65" s="10">
        <v>39264</v>
      </c>
      <c r="B65" s="11">
        <v>4388</v>
      </c>
      <c r="C65" s="11" t="s">
        <v>3</v>
      </c>
      <c r="D65" s="1"/>
      <c r="E65" s="1"/>
      <c r="G65" s="10">
        <v>38961</v>
      </c>
      <c r="H65" s="11">
        <v>2937</v>
      </c>
      <c r="I65" s="11" t="s">
        <v>15</v>
      </c>
      <c r="M65" s="3">
        <v>40148</v>
      </c>
      <c r="N65" s="5"/>
      <c r="O65" s="5">
        <v>8893</v>
      </c>
      <c r="P65" s="5">
        <v>7497</v>
      </c>
      <c r="Q65" s="5">
        <v>1726</v>
      </c>
      <c r="R65" s="5"/>
      <c r="S65" s="5">
        <v>18116</v>
      </c>
      <c r="W65" s="3">
        <v>40148</v>
      </c>
      <c r="X65" s="5">
        <v>9189</v>
      </c>
      <c r="Y65" s="5">
        <v>7453</v>
      </c>
      <c r="Z65" s="5">
        <v>1474</v>
      </c>
      <c r="AA65" s="5">
        <v>18116</v>
      </c>
      <c r="AE65" s="3">
        <v>41760</v>
      </c>
      <c r="AF65">
        <f t="shared" si="0"/>
        <v>3393</v>
      </c>
      <c r="AG65">
        <f t="shared" si="1"/>
        <v>0</v>
      </c>
      <c r="AH65">
        <f t="shared" si="2"/>
        <v>0</v>
      </c>
      <c r="AI65">
        <f t="shared" si="3"/>
        <v>20982</v>
      </c>
      <c r="AJ65">
        <f t="shared" si="4"/>
        <v>20982</v>
      </c>
    </row>
    <row r="66" spans="1:36" x14ac:dyDescent="0.25">
      <c r="A66" s="10">
        <v>39264</v>
      </c>
      <c r="B66" s="11">
        <v>35720</v>
      </c>
      <c r="C66" s="11" t="s">
        <v>2</v>
      </c>
      <c r="D66" s="1"/>
      <c r="E66" s="1"/>
      <c r="G66" s="10">
        <v>38961</v>
      </c>
      <c r="H66" s="11">
        <v>17479</v>
      </c>
      <c r="I66" s="11" t="s">
        <v>16</v>
      </c>
      <c r="M66" s="3">
        <v>40179</v>
      </c>
      <c r="N66" s="5"/>
      <c r="O66" s="5">
        <v>11371</v>
      </c>
      <c r="P66" s="5">
        <v>7168</v>
      </c>
      <c r="Q66" s="5">
        <v>1977</v>
      </c>
      <c r="R66" s="5"/>
      <c r="S66" s="5">
        <v>20516</v>
      </c>
      <c r="W66" s="3">
        <v>40179</v>
      </c>
      <c r="X66" s="5">
        <v>11722</v>
      </c>
      <c r="Y66" s="5">
        <v>7105</v>
      </c>
      <c r="Z66" s="5">
        <v>1689</v>
      </c>
      <c r="AA66" s="5">
        <v>20516</v>
      </c>
      <c r="AE66" s="3">
        <v>41791</v>
      </c>
      <c r="AF66">
        <f t="shared" si="0"/>
        <v>3249</v>
      </c>
      <c r="AG66">
        <f t="shared" si="1"/>
        <v>0</v>
      </c>
      <c r="AH66">
        <f t="shared" si="2"/>
        <v>0</v>
      </c>
      <c r="AI66">
        <f t="shared" si="3"/>
        <v>22620</v>
      </c>
      <c r="AJ66">
        <f t="shared" si="4"/>
        <v>22620</v>
      </c>
    </row>
    <row r="67" spans="1:36" x14ac:dyDescent="0.25">
      <c r="A67" s="10">
        <v>39295</v>
      </c>
      <c r="B67" s="11">
        <v>37873</v>
      </c>
      <c r="C67" s="11" t="s">
        <v>2</v>
      </c>
      <c r="D67" s="1"/>
      <c r="E67" s="1"/>
      <c r="G67" s="10">
        <v>38961</v>
      </c>
      <c r="H67" s="11">
        <v>1215</v>
      </c>
      <c r="I67" s="11" t="s">
        <v>14</v>
      </c>
      <c r="M67" s="3">
        <v>40210</v>
      </c>
      <c r="N67" s="5"/>
      <c r="O67" s="5">
        <v>13463</v>
      </c>
      <c r="P67" s="5">
        <v>4904</v>
      </c>
      <c r="Q67" s="5">
        <v>2012</v>
      </c>
      <c r="R67" s="5"/>
      <c r="S67" s="5">
        <v>20379</v>
      </c>
      <c r="W67" s="3">
        <v>40210</v>
      </c>
      <c r="X67" s="5">
        <v>13737</v>
      </c>
      <c r="Y67" s="5">
        <v>4854</v>
      </c>
      <c r="Z67" s="5">
        <v>1788</v>
      </c>
      <c r="AA67" s="5">
        <v>20379</v>
      </c>
      <c r="AE67" s="3">
        <v>41821</v>
      </c>
      <c r="AF67">
        <f t="shared" si="0"/>
        <v>2784</v>
      </c>
      <c r="AG67">
        <f t="shared" si="1"/>
        <v>0</v>
      </c>
      <c r="AH67">
        <f t="shared" si="2"/>
        <v>0</v>
      </c>
      <c r="AI67">
        <f t="shared" si="3"/>
        <v>24951</v>
      </c>
      <c r="AJ67">
        <f t="shared" si="4"/>
        <v>24951</v>
      </c>
    </row>
    <row r="68" spans="1:36" x14ac:dyDescent="0.25">
      <c r="A68" s="10">
        <v>39295</v>
      </c>
      <c r="B68" s="11">
        <v>3914</v>
      </c>
      <c r="C68" s="11" t="s">
        <v>3</v>
      </c>
      <c r="D68" s="1"/>
      <c r="E68" s="1"/>
      <c r="G68" s="10">
        <v>38991</v>
      </c>
      <c r="H68" s="11">
        <v>3389</v>
      </c>
      <c r="I68" s="11" t="s">
        <v>15</v>
      </c>
      <c r="M68" s="3">
        <v>40238</v>
      </c>
      <c r="N68" s="5"/>
      <c r="O68" s="5">
        <v>12639</v>
      </c>
      <c r="P68" s="5">
        <v>3313</v>
      </c>
      <c r="Q68" s="5">
        <v>1756</v>
      </c>
      <c r="R68" s="5"/>
      <c r="S68" s="5">
        <v>17708</v>
      </c>
      <c r="W68" s="3">
        <v>40238</v>
      </c>
      <c r="X68" s="5">
        <v>12676</v>
      </c>
      <c r="Y68" s="5">
        <v>3289</v>
      </c>
      <c r="Z68" s="5">
        <v>1743</v>
      </c>
      <c r="AA68" s="5">
        <v>17708</v>
      </c>
      <c r="AE68" s="3">
        <v>41852</v>
      </c>
      <c r="AF68">
        <f t="shared" si="0"/>
        <v>2417</v>
      </c>
      <c r="AG68">
        <f t="shared" si="1"/>
        <v>0</v>
      </c>
      <c r="AH68">
        <f t="shared" si="2"/>
        <v>0</v>
      </c>
      <c r="AI68">
        <f t="shared" si="3"/>
        <v>29558</v>
      </c>
      <c r="AJ68">
        <f t="shared" si="4"/>
        <v>29558</v>
      </c>
    </row>
    <row r="69" spans="1:36" x14ac:dyDescent="0.25">
      <c r="A69" s="10">
        <v>39326</v>
      </c>
      <c r="B69" s="11">
        <v>38162</v>
      </c>
      <c r="C69" s="11" t="s">
        <v>2</v>
      </c>
      <c r="D69" s="1"/>
      <c r="E69" s="1"/>
      <c r="G69" s="10">
        <v>38991</v>
      </c>
      <c r="H69" s="11">
        <v>17925</v>
      </c>
      <c r="I69" s="11" t="s">
        <v>16</v>
      </c>
      <c r="M69" s="3">
        <v>40269</v>
      </c>
      <c r="N69" s="5"/>
      <c r="O69" s="5">
        <v>9607</v>
      </c>
      <c r="P69" s="5">
        <v>3693</v>
      </c>
      <c r="Q69" s="5">
        <v>1256</v>
      </c>
      <c r="R69" s="5"/>
      <c r="S69" s="5">
        <v>14556</v>
      </c>
      <c r="W69" s="3">
        <v>40269</v>
      </c>
      <c r="X69" s="5">
        <v>9563</v>
      </c>
      <c r="Y69" s="5">
        <v>3687</v>
      </c>
      <c r="Z69" s="5">
        <v>1306</v>
      </c>
      <c r="AA69" s="5">
        <v>14556</v>
      </c>
      <c r="AE69" s="3">
        <v>41883</v>
      </c>
      <c r="AF69">
        <f t="shared" si="0"/>
        <v>2312</v>
      </c>
      <c r="AG69">
        <f t="shared" si="1"/>
        <v>0</v>
      </c>
      <c r="AH69">
        <f t="shared" si="2"/>
        <v>0</v>
      </c>
      <c r="AI69">
        <f t="shared" si="3"/>
        <v>29191</v>
      </c>
      <c r="AJ69">
        <f t="shared" si="4"/>
        <v>29191</v>
      </c>
    </row>
    <row r="70" spans="1:36" x14ac:dyDescent="0.25">
      <c r="A70" s="10">
        <v>39326</v>
      </c>
      <c r="B70" s="11">
        <v>3751</v>
      </c>
      <c r="C70" s="11" t="s">
        <v>3</v>
      </c>
      <c r="D70" s="1"/>
      <c r="E70" s="1"/>
      <c r="G70" s="10">
        <v>38991</v>
      </c>
      <c r="H70" s="11">
        <v>1252</v>
      </c>
      <c r="I70" s="11" t="s">
        <v>14</v>
      </c>
      <c r="M70" s="3">
        <v>40299</v>
      </c>
      <c r="N70" s="5"/>
      <c r="O70" s="5">
        <v>11233</v>
      </c>
      <c r="P70" s="5">
        <v>5123</v>
      </c>
      <c r="Q70" s="5">
        <v>1320</v>
      </c>
      <c r="R70" s="5"/>
      <c r="S70" s="5">
        <v>17676</v>
      </c>
      <c r="W70" s="3">
        <v>40299</v>
      </c>
      <c r="X70" s="5">
        <v>11244</v>
      </c>
      <c r="Y70" s="5">
        <v>5116</v>
      </c>
      <c r="Z70" s="5">
        <v>1316</v>
      </c>
      <c r="AA70" s="5">
        <v>17676</v>
      </c>
      <c r="AE70" s="3">
        <v>41913</v>
      </c>
      <c r="AF70">
        <f t="shared" si="0"/>
        <v>2380</v>
      </c>
      <c r="AG70">
        <f t="shared" si="1"/>
        <v>0</v>
      </c>
      <c r="AH70">
        <f t="shared" si="2"/>
        <v>0</v>
      </c>
      <c r="AI70">
        <f t="shared" si="3"/>
        <v>27720</v>
      </c>
      <c r="AJ70">
        <f t="shared" si="4"/>
        <v>27720</v>
      </c>
    </row>
    <row r="71" spans="1:36" x14ac:dyDescent="0.25">
      <c r="A71" s="10">
        <v>39356</v>
      </c>
      <c r="B71" s="11">
        <v>39546</v>
      </c>
      <c r="C71" s="11" t="s">
        <v>2</v>
      </c>
      <c r="D71" s="1"/>
      <c r="E71" s="1"/>
      <c r="G71" s="10">
        <v>39022</v>
      </c>
      <c r="H71" s="11">
        <v>3816</v>
      </c>
      <c r="I71" s="11" t="s">
        <v>15</v>
      </c>
      <c r="M71" s="3">
        <v>40330</v>
      </c>
      <c r="N71" s="5"/>
      <c r="O71" s="5">
        <v>10354</v>
      </c>
      <c r="P71" s="5">
        <v>6269</v>
      </c>
      <c r="Q71" s="5">
        <v>1219</v>
      </c>
      <c r="R71" s="5"/>
      <c r="S71" s="5">
        <v>17842</v>
      </c>
      <c r="W71" s="3">
        <v>40330</v>
      </c>
      <c r="X71" s="5">
        <v>10360</v>
      </c>
      <c r="Y71" s="5">
        <v>6264</v>
      </c>
      <c r="Z71" s="5">
        <v>1218</v>
      </c>
      <c r="AA71" s="5">
        <v>17842</v>
      </c>
      <c r="AE71" s="3">
        <v>41944</v>
      </c>
      <c r="AF71">
        <f t="shared" ref="AF71:AF86" si="5">VLOOKUP(AE71,W:AB,2,0)</f>
        <v>2381</v>
      </c>
      <c r="AG71">
        <f t="shared" ref="AG71:AG86" si="6">VLOOKUP(AE71,M:S,3,0)</f>
        <v>0</v>
      </c>
      <c r="AH71">
        <f t="shared" ref="AH71:AH86" si="7">AG71/AF71</f>
        <v>0</v>
      </c>
      <c r="AI71">
        <f t="shared" ref="AI71:AI86" si="8">VLOOKUP(AE71,W:AB,5,0)</f>
        <v>26010</v>
      </c>
      <c r="AJ71">
        <f t="shared" ref="AJ71:AJ86" si="9">VLOOKUP(AE71,M:S,7,0)</f>
        <v>26010</v>
      </c>
    </row>
    <row r="72" spans="1:36" x14ac:dyDescent="0.25">
      <c r="A72" s="10">
        <v>39356</v>
      </c>
      <c r="B72" s="11">
        <v>3891</v>
      </c>
      <c r="C72" s="11" t="s">
        <v>3</v>
      </c>
      <c r="D72" s="1"/>
      <c r="E72" s="1"/>
      <c r="G72" s="10">
        <v>39022</v>
      </c>
      <c r="H72" s="11">
        <v>16236</v>
      </c>
      <c r="I72" s="11" t="s">
        <v>16</v>
      </c>
      <c r="M72" s="3">
        <v>40360</v>
      </c>
      <c r="N72" s="5"/>
      <c r="O72" s="5">
        <v>7969</v>
      </c>
      <c r="P72" s="5">
        <v>7063</v>
      </c>
      <c r="Q72" s="5">
        <v>949</v>
      </c>
      <c r="R72" s="5"/>
      <c r="S72" s="5">
        <v>15981</v>
      </c>
      <c r="W72" s="3">
        <v>40360</v>
      </c>
      <c r="X72" s="5">
        <v>7944</v>
      </c>
      <c r="Y72" s="5">
        <v>7058</v>
      </c>
      <c r="Z72" s="5">
        <v>979</v>
      </c>
      <c r="AA72" s="5">
        <v>15981</v>
      </c>
      <c r="AE72" s="3">
        <v>41974</v>
      </c>
      <c r="AF72">
        <f t="shared" si="5"/>
        <v>2277</v>
      </c>
      <c r="AG72">
        <f t="shared" si="6"/>
        <v>0</v>
      </c>
      <c r="AH72">
        <f t="shared" si="7"/>
        <v>0</v>
      </c>
      <c r="AI72">
        <f t="shared" si="8"/>
        <v>23963</v>
      </c>
      <c r="AJ72">
        <f t="shared" si="9"/>
        <v>23963</v>
      </c>
    </row>
    <row r="73" spans="1:36" x14ac:dyDescent="0.25">
      <c r="A73" s="10">
        <v>39387</v>
      </c>
      <c r="B73" s="11">
        <v>36595</v>
      </c>
      <c r="C73" s="11" t="s">
        <v>2</v>
      </c>
      <c r="D73" s="1"/>
      <c r="E73" s="1"/>
      <c r="G73" s="10">
        <v>39022</v>
      </c>
      <c r="H73" s="11">
        <v>1167</v>
      </c>
      <c r="I73" s="11" t="s">
        <v>14</v>
      </c>
      <c r="M73" s="3">
        <v>40391</v>
      </c>
      <c r="N73" s="5"/>
      <c r="O73" s="5">
        <v>10240</v>
      </c>
      <c r="P73" s="5">
        <v>7491</v>
      </c>
      <c r="Q73" s="5">
        <v>1437</v>
      </c>
      <c r="R73" s="5"/>
      <c r="S73" s="5">
        <v>19168</v>
      </c>
      <c r="W73" s="3">
        <v>40391</v>
      </c>
      <c r="X73" s="5">
        <v>10171</v>
      </c>
      <c r="Y73" s="5">
        <v>7486</v>
      </c>
      <c r="Z73" s="5">
        <v>1511</v>
      </c>
      <c r="AA73" s="5">
        <v>19168</v>
      </c>
      <c r="AE73" s="3">
        <v>42005</v>
      </c>
      <c r="AF73">
        <f t="shared" si="5"/>
        <v>1976</v>
      </c>
      <c r="AG73">
        <f t="shared" si="6"/>
        <v>0</v>
      </c>
      <c r="AH73">
        <f t="shared" si="7"/>
        <v>0</v>
      </c>
      <c r="AI73">
        <f t="shared" si="8"/>
        <v>21822</v>
      </c>
      <c r="AJ73">
        <f t="shared" si="9"/>
        <v>21822</v>
      </c>
    </row>
    <row r="74" spans="1:36" x14ac:dyDescent="0.25">
      <c r="A74" s="10">
        <v>39387</v>
      </c>
      <c r="B74" s="11">
        <v>4935</v>
      </c>
      <c r="C74" s="11" t="s">
        <v>3</v>
      </c>
      <c r="D74" s="1"/>
      <c r="E74" s="1"/>
      <c r="G74" s="10">
        <v>39052</v>
      </c>
      <c r="H74" s="11">
        <v>5024</v>
      </c>
      <c r="I74" s="11" t="s">
        <v>15</v>
      </c>
      <c r="M74" s="3">
        <v>40422</v>
      </c>
      <c r="N74" s="5"/>
      <c r="O74" s="5">
        <v>12706</v>
      </c>
      <c r="P74" s="5">
        <v>4257</v>
      </c>
      <c r="Q74" s="5">
        <v>2008</v>
      </c>
      <c r="R74" s="5"/>
      <c r="S74" s="5">
        <v>18971</v>
      </c>
      <c r="W74" s="3">
        <v>40422</v>
      </c>
      <c r="X74" s="5">
        <v>12608</v>
      </c>
      <c r="Y74" s="5">
        <v>4256</v>
      </c>
      <c r="Z74" s="5">
        <v>2107</v>
      </c>
      <c r="AA74" s="5">
        <v>18971</v>
      </c>
      <c r="AE74" s="3">
        <v>42036</v>
      </c>
      <c r="AF74">
        <f t="shared" si="5"/>
        <v>2128</v>
      </c>
      <c r="AG74">
        <f t="shared" si="6"/>
        <v>0</v>
      </c>
      <c r="AH74">
        <f t="shared" si="7"/>
        <v>0</v>
      </c>
      <c r="AI74">
        <f t="shared" si="8"/>
        <v>22094</v>
      </c>
      <c r="AJ74">
        <f t="shared" si="9"/>
        <v>22094</v>
      </c>
    </row>
    <row r="75" spans="1:36" x14ac:dyDescent="0.25">
      <c r="A75" s="10">
        <v>39417</v>
      </c>
      <c r="B75" s="11">
        <v>36030</v>
      </c>
      <c r="C75" s="11" t="s">
        <v>2</v>
      </c>
      <c r="D75" s="1"/>
      <c r="E75" s="1"/>
      <c r="G75" s="10">
        <v>39052</v>
      </c>
      <c r="H75" s="11">
        <v>16315</v>
      </c>
      <c r="I75" s="11" t="s">
        <v>16</v>
      </c>
      <c r="M75" s="3">
        <v>40452</v>
      </c>
      <c r="N75" s="5"/>
      <c r="O75" s="5">
        <v>14514</v>
      </c>
      <c r="P75" s="5">
        <v>4110</v>
      </c>
      <c r="Q75" s="5">
        <v>2663</v>
      </c>
      <c r="R75" s="5"/>
      <c r="S75" s="5">
        <v>21287</v>
      </c>
      <c r="W75" s="3">
        <v>40452</v>
      </c>
      <c r="X75" s="5">
        <v>14205</v>
      </c>
      <c r="Y75" s="5">
        <v>4108</v>
      </c>
      <c r="Z75" s="5">
        <v>2974</v>
      </c>
      <c r="AA75" s="5">
        <v>21287</v>
      </c>
      <c r="AE75" s="3">
        <v>42064</v>
      </c>
      <c r="AF75">
        <f t="shared" si="5"/>
        <v>1852</v>
      </c>
      <c r="AG75">
        <f t="shared" si="6"/>
        <v>0</v>
      </c>
      <c r="AH75">
        <f t="shared" si="7"/>
        <v>0</v>
      </c>
      <c r="AI75">
        <f t="shared" si="8"/>
        <v>18747</v>
      </c>
      <c r="AJ75">
        <f t="shared" si="9"/>
        <v>18747</v>
      </c>
    </row>
    <row r="76" spans="1:36" x14ac:dyDescent="0.25">
      <c r="A76" s="10">
        <v>39417</v>
      </c>
      <c r="B76" s="11">
        <v>6058</v>
      </c>
      <c r="C76" s="11" t="s">
        <v>3</v>
      </c>
      <c r="D76" s="1"/>
      <c r="E76" s="1"/>
      <c r="G76" s="10">
        <v>39052</v>
      </c>
      <c r="H76" s="11">
        <v>1378</v>
      </c>
      <c r="I76" s="11" t="s">
        <v>14</v>
      </c>
      <c r="M76" s="3">
        <v>40483</v>
      </c>
      <c r="N76" s="5"/>
      <c r="O76" s="5">
        <v>15385</v>
      </c>
      <c r="P76" s="5">
        <v>3892</v>
      </c>
      <c r="Q76" s="5">
        <v>3000</v>
      </c>
      <c r="R76" s="5"/>
      <c r="S76" s="5">
        <v>22277</v>
      </c>
      <c r="W76" s="3">
        <v>40483</v>
      </c>
      <c r="X76" s="5">
        <v>15045</v>
      </c>
      <c r="Y76" s="5">
        <v>3891</v>
      </c>
      <c r="Z76" s="5">
        <v>3341</v>
      </c>
      <c r="AA76" s="5">
        <v>22277</v>
      </c>
      <c r="AE76" s="3">
        <v>42095</v>
      </c>
      <c r="AF76">
        <f t="shared" si="5"/>
        <v>1910</v>
      </c>
      <c r="AG76">
        <f t="shared" si="6"/>
        <v>0</v>
      </c>
      <c r="AH76">
        <f t="shared" si="7"/>
        <v>0</v>
      </c>
      <c r="AI76">
        <f t="shared" si="8"/>
        <v>22081</v>
      </c>
      <c r="AJ76">
        <f t="shared" si="9"/>
        <v>22081</v>
      </c>
    </row>
    <row r="77" spans="1:36" x14ac:dyDescent="0.25">
      <c r="A77" s="10">
        <v>39448</v>
      </c>
      <c r="B77" s="11">
        <v>31842</v>
      </c>
      <c r="C77" s="11" t="s">
        <v>2</v>
      </c>
      <c r="D77" s="1"/>
      <c r="E77" s="1"/>
      <c r="G77" s="10">
        <v>39083</v>
      </c>
      <c r="H77" s="11">
        <v>4648</v>
      </c>
      <c r="I77" s="11" t="s">
        <v>15</v>
      </c>
      <c r="M77" s="3">
        <v>40513</v>
      </c>
      <c r="N77" s="5"/>
      <c r="O77" s="5">
        <v>17435</v>
      </c>
      <c r="P77" s="5">
        <v>4036</v>
      </c>
      <c r="Q77" s="5">
        <v>3447</v>
      </c>
      <c r="R77" s="5"/>
      <c r="S77" s="5">
        <v>24918</v>
      </c>
      <c r="W77" s="3">
        <v>40513</v>
      </c>
      <c r="X77" s="5">
        <v>17054</v>
      </c>
      <c r="Y77" s="5">
        <v>4035</v>
      </c>
      <c r="Z77" s="5">
        <v>3829</v>
      </c>
      <c r="AA77" s="5">
        <v>24918</v>
      </c>
      <c r="AE77" s="3">
        <v>42125</v>
      </c>
      <c r="AF77">
        <f t="shared" si="5"/>
        <v>2171</v>
      </c>
      <c r="AG77">
        <f t="shared" si="6"/>
        <v>0</v>
      </c>
      <c r="AH77">
        <f t="shared" si="7"/>
        <v>0</v>
      </c>
      <c r="AI77">
        <f t="shared" si="8"/>
        <v>29988</v>
      </c>
      <c r="AJ77">
        <f t="shared" si="9"/>
        <v>29988</v>
      </c>
    </row>
    <row r="78" spans="1:36" x14ac:dyDescent="0.25">
      <c r="A78" s="10">
        <v>39448</v>
      </c>
      <c r="B78" s="11">
        <v>5457</v>
      </c>
      <c r="C78" s="11" t="s">
        <v>3</v>
      </c>
      <c r="D78" s="1"/>
      <c r="E78" s="1"/>
      <c r="G78" s="10">
        <v>39083</v>
      </c>
      <c r="H78" s="11">
        <v>15263</v>
      </c>
      <c r="I78" s="11" t="s">
        <v>16</v>
      </c>
      <c r="M78" s="3">
        <v>40544</v>
      </c>
      <c r="N78" s="5"/>
      <c r="O78" s="5">
        <v>18832</v>
      </c>
      <c r="P78" s="5">
        <v>4009</v>
      </c>
      <c r="Q78" s="5">
        <v>3193</v>
      </c>
      <c r="R78" s="5"/>
      <c r="S78" s="5">
        <v>26034</v>
      </c>
      <c r="W78" s="3">
        <v>40544</v>
      </c>
      <c r="X78" s="5">
        <v>18502</v>
      </c>
      <c r="Y78" s="5">
        <v>4003</v>
      </c>
      <c r="Z78" s="5">
        <v>3529</v>
      </c>
      <c r="AA78" s="5">
        <v>26034</v>
      </c>
      <c r="AE78" s="3">
        <v>42156</v>
      </c>
      <c r="AF78">
        <f t="shared" si="5"/>
        <v>2004</v>
      </c>
      <c r="AG78">
        <f t="shared" si="6"/>
        <v>0</v>
      </c>
      <c r="AH78">
        <f t="shared" si="7"/>
        <v>0</v>
      </c>
      <c r="AI78">
        <f t="shared" si="8"/>
        <v>29434</v>
      </c>
      <c r="AJ78">
        <f t="shared" si="9"/>
        <v>29434</v>
      </c>
    </row>
    <row r="79" spans="1:36" x14ac:dyDescent="0.25">
      <c r="A79" s="10">
        <v>39479</v>
      </c>
      <c r="B79" s="11">
        <v>30920</v>
      </c>
      <c r="C79" s="11" t="s">
        <v>2</v>
      </c>
      <c r="D79" s="1"/>
      <c r="E79" s="1"/>
      <c r="G79" s="10">
        <v>39083</v>
      </c>
      <c r="H79" s="11">
        <v>1213</v>
      </c>
      <c r="I79" s="11" t="s">
        <v>14</v>
      </c>
      <c r="M79" s="3">
        <v>40575</v>
      </c>
      <c r="N79" s="5"/>
      <c r="O79" s="5">
        <v>17593</v>
      </c>
      <c r="P79" s="5">
        <v>4613</v>
      </c>
      <c r="Q79" s="5">
        <v>3402</v>
      </c>
      <c r="R79" s="5"/>
      <c r="S79" s="5">
        <v>25608</v>
      </c>
      <c r="W79" s="3">
        <v>40575</v>
      </c>
      <c r="X79" s="5">
        <v>17396</v>
      </c>
      <c r="Y79" s="5">
        <v>4609</v>
      </c>
      <c r="Z79" s="5">
        <v>3603</v>
      </c>
      <c r="AA79" s="5">
        <v>25608</v>
      </c>
      <c r="AE79" s="3">
        <v>42186</v>
      </c>
      <c r="AF79">
        <f t="shared" si="5"/>
        <v>1721</v>
      </c>
      <c r="AG79">
        <f t="shared" si="6"/>
        <v>0</v>
      </c>
      <c r="AH79">
        <f t="shared" si="7"/>
        <v>0</v>
      </c>
      <c r="AI79">
        <f t="shared" si="8"/>
        <v>30844</v>
      </c>
      <c r="AJ79">
        <f t="shared" si="9"/>
        <v>30844</v>
      </c>
    </row>
    <row r="80" spans="1:36" x14ac:dyDescent="0.25">
      <c r="A80" s="10">
        <v>39479</v>
      </c>
      <c r="B80" s="11">
        <v>6994</v>
      </c>
      <c r="C80" s="11" t="s">
        <v>3</v>
      </c>
      <c r="D80" s="1"/>
      <c r="E80" s="1"/>
      <c r="G80" s="10">
        <v>39114</v>
      </c>
      <c r="H80" s="11">
        <v>5299</v>
      </c>
      <c r="I80" s="11" t="s">
        <v>15</v>
      </c>
      <c r="M80" s="3">
        <v>40603</v>
      </c>
      <c r="N80" s="5"/>
      <c r="O80" s="5">
        <v>15376</v>
      </c>
      <c r="P80" s="5">
        <v>3036</v>
      </c>
      <c r="Q80" s="5">
        <v>2240</v>
      </c>
      <c r="R80" s="5"/>
      <c r="S80" s="5">
        <v>20652</v>
      </c>
      <c r="W80" s="3">
        <v>40603</v>
      </c>
      <c r="X80" s="5">
        <v>15213</v>
      </c>
      <c r="Y80" s="5">
        <v>3035</v>
      </c>
      <c r="Z80" s="5">
        <v>2404</v>
      </c>
      <c r="AA80" s="5">
        <v>20652</v>
      </c>
      <c r="AE80" s="3">
        <v>42217</v>
      </c>
      <c r="AF80">
        <f t="shared" si="5"/>
        <v>1641</v>
      </c>
      <c r="AG80">
        <f t="shared" si="6"/>
        <v>0</v>
      </c>
      <c r="AH80">
        <f t="shared" si="7"/>
        <v>0</v>
      </c>
      <c r="AI80">
        <f t="shared" si="8"/>
        <v>31762</v>
      </c>
      <c r="AJ80">
        <f t="shared" si="9"/>
        <v>31762</v>
      </c>
    </row>
    <row r="81" spans="1:36" x14ac:dyDescent="0.25">
      <c r="A81" s="10">
        <v>39508</v>
      </c>
      <c r="B81" s="11">
        <v>7122</v>
      </c>
      <c r="C81" s="11" t="s">
        <v>3</v>
      </c>
      <c r="D81" s="1"/>
      <c r="E81" s="1"/>
      <c r="G81" s="10">
        <v>39114</v>
      </c>
      <c r="H81" s="11">
        <v>15003</v>
      </c>
      <c r="I81" s="11" t="s">
        <v>16</v>
      </c>
      <c r="M81" s="3">
        <v>40634</v>
      </c>
      <c r="N81" s="5"/>
      <c r="O81" s="5">
        <v>10725</v>
      </c>
      <c r="P81" s="5">
        <v>2082</v>
      </c>
      <c r="Q81" s="5">
        <v>999</v>
      </c>
      <c r="R81" s="5"/>
      <c r="S81" s="5">
        <v>13806</v>
      </c>
      <c r="W81" s="3">
        <v>40634</v>
      </c>
      <c r="X81" s="5">
        <v>10593</v>
      </c>
      <c r="Y81" s="5">
        <v>2081</v>
      </c>
      <c r="Z81" s="5">
        <v>1132</v>
      </c>
      <c r="AA81" s="5">
        <v>13806</v>
      </c>
      <c r="AE81" s="3">
        <v>42248</v>
      </c>
      <c r="AF81">
        <f t="shared" si="5"/>
        <v>1471</v>
      </c>
      <c r="AG81">
        <f t="shared" si="6"/>
        <v>0</v>
      </c>
      <c r="AH81">
        <f t="shared" si="7"/>
        <v>0</v>
      </c>
      <c r="AI81">
        <f t="shared" si="8"/>
        <v>30184</v>
      </c>
      <c r="AJ81">
        <f t="shared" si="9"/>
        <v>30184</v>
      </c>
    </row>
    <row r="82" spans="1:36" x14ac:dyDescent="0.25">
      <c r="A82" s="10">
        <v>39508</v>
      </c>
      <c r="B82" s="11">
        <v>23878</v>
      </c>
      <c r="C82" s="11" t="s">
        <v>2</v>
      </c>
      <c r="D82" s="1"/>
      <c r="E82" s="1"/>
      <c r="G82" s="10">
        <v>39114</v>
      </c>
      <c r="H82" s="11">
        <v>1202</v>
      </c>
      <c r="I82" s="11" t="s">
        <v>14</v>
      </c>
      <c r="M82" s="3">
        <v>40664</v>
      </c>
      <c r="N82" s="5"/>
      <c r="O82" s="5">
        <v>7425</v>
      </c>
      <c r="P82" s="5">
        <v>3594</v>
      </c>
      <c r="Q82" s="5">
        <v>1071</v>
      </c>
      <c r="R82" s="5"/>
      <c r="S82" s="5">
        <v>12090</v>
      </c>
      <c r="W82" s="3">
        <v>40664</v>
      </c>
      <c r="X82" s="5">
        <v>7420</v>
      </c>
      <c r="Y82" s="5">
        <v>3594</v>
      </c>
      <c r="Z82" s="5">
        <v>1076</v>
      </c>
      <c r="AA82" s="5">
        <v>12090</v>
      </c>
      <c r="AE82" s="3">
        <v>42278</v>
      </c>
      <c r="AF82">
        <f t="shared" si="5"/>
        <v>1498</v>
      </c>
      <c r="AG82">
        <f t="shared" si="6"/>
        <v>0</v>
      </c>
      <c r="AH82">
        <f t="shared" si="7"/>
        <v>0</v>
      </c>
      <c r="AI82">
        <f t="shared" si="8"/>
        <v>29530</v>
      </c>
      <c r="AJ82">
        <f t="shared" si="9"/>
        <v>29530</v>
      </c>
    </row>
    <row r="83" spans="1:36" x14ac:dyDescent="0.25">
      <c r="A83" s="10">
        <v>39539</v>
      </c>
      <c r="B83" s="11">
        <v>26414</v>
      </c>
      <c r="C83" s="11" t="s">
        <v>2</v>
      </c>
      <c r="D83" s="1"/>
      <c r="E83" s="1"/>
      <c r="G83" s="10">
        <v>39142</v>
      </c>
      <c r="H83" s="11">
        <v>5360</v>
      </c>
      <c r="I83" s="11" t="s">
        <v>15</v>
      </c>
      <c r="M83" s="3">
        <v>40695</v>
      </c>
      <c r="N83" s="5"/>
      <c r="O83" s="5">
        <v>6431</v>
      </c>
      <c r="P83" s="5">
        <v>4503</v>
      </c>
      <c r="Q83" s="5">
        <v>906</v>
      </c>
      <c r="R83" s="5"/>
      <c r="S83" s="5">
        <v>11840</v>
      </c>
      <c r="W83" s="3">
        <v>40695</v>
      </c>
      <c r="X83" s="5">
        <v>6376</v>
      </c>
      <c r="Y83" s="5">
        <v>4502</v>
      </c>
      <c r="Z83" s="5">
        <v>962</v>
      </c>
      <c r="AA83" s="5">
        <v>11840</v>
      </c>
      <c r="AE83" s="3">
        <v>42309</v>
      </c>
      <c r="AF83">
        <f t="shared" si="5"/>
        <v>1459</v>
      </c>
      <c r="AG83">
        <f t="shared" si="6"/>
        <v>0</v>
      </c>
      <c r="AH83">
        <f t="shared" si="7"/>
        <v>0</v>
      </c>
      <c r="AI83">
        <f t="shared" si="8"/>
        <v>27569</v>
      </c>
      <c r="AJ83">
        <f t="shared" si="9"/>
        <v>27569</v>
      </c>
    </row>
    <row r="84" spans="1:36" x14ac:dyDescent="0.25">
      <c r="A84" s="10">
        <v>39539</v>
      </c>
      <c r="B84" s="11">
        <v>10711</v>
      </c>
      <c r="C84" s="11" t="s">
        <v>3</v>
      </c>
      <c r="D84" s="1"/>
      <c r="E84" s="1"/>
      <c r="G84" s="10">
        <v>39142</v>
      </c>
      <c r="H84" s="11">
        <v>13356</v>
      </c>
      <c r="I84" s="11" t="s">
        <v>16</v>
      </c>
      <c r="M84" s="3">
        <v>40725</v>
      </c>
      <c r="N84" s="5"/>
      <c r="O84" s="5">
        <v>5596</v>
      </c>
      <c r="P84" s="5">
        <v>5638</v>
      </c>
      <c r="Q84" s="5">
        <v>877</v>
      </c>
      <c r="R84" s="5"/>
      <c r="S84" s="5">
        <v>12111</v>
      </c>
      <c r="W84" s="3">
        <v>40725</v>
      </c>
      <c r="X84" s="5">
        <v>5524</v>
      </c>
      <c r="Y84" s="5">
        <v>5638</v>
      </c>
      <c r="Z84" s="5">
        <v>949</v>
      </c>
      <c r="AA84" s="5">
        <v>12111</v>
      </c>
      <c r="AE84" s="3">
        <v>42339</v>
      </c>
      <c r="AF84">
        <f t="shared" si="5"/>
        <v>1372</v>
      </c>
      <c r="AG84">
        <f t="shared" si="6"/>
        <v>0</v>
      </c>
      <c r="AH84">
        <f t="shared" si="7"/>
        <v>0</v>
      </c>
      <c r="AI84">
        <f t="shared" si="8"/>
        <v>26295</v>
      </c>
      <c r="AJ84">
        <f t="shared" si="9"/>
        <v>26295</v>
      </c>
    </row>
    <row r="85" spans="1:36" x14ac:dyDescent="0.25">
      <c r="A85" s="10">
        <v>39569</v>
      </c>
      <c r="B85" s="11">
        <v>27528</v>
      </c>
      <c r="C85" s="11" t="s">
        <v>2</v>
      </c>
      <c r="D85" s="1"/>
      <c r="E85" s="1"/>
      <c r="G85" s="10">
        <v>39142</v>
      </c>
      <c r="H85" s="11">
        <v>1161</v>
      </c>
      <c r="I85" s="11" t="s">
        <v>14</v>
      </c>
      <c r="M85" s="3">
        <v>40756</v>
      </c>
      <c r="N85" s="5"/>
      <c r="O85" s="5">
        <v>6287</v>
      </c>
      <c r="P85" s="5">
        <v>7760</v>
      </c>
      <c r="Q85" s="5">
        <v>1094</v>
      </c>
      <c r="R85" s="5"/>
      <c r="S85" s="5">
        <v>15141</v>
      </c>
      <c r="W85" s="3">
        <v>40756</v>
      </c>
      <c r="X85" s="5">
        <v>6163</v>
      </c>
      <c r="Y85" s="5">
        <v>7760</v>
      </c>
      <c r="Z85" s="5">
        <v>1218</v>
      </c>
      <c r="AA85" s="5">
        <v>15141</v>
      </c>
      <c r="AE85" s="3">
        <v>42370</v>
      </c>
      <c r="AF85">
        <f t="shared" si="5"/>
        <v>1041</v>
      </c>
      <c r="AG85">
        <f t="shared" si="6"/>
        <v>0</v>
      </c>
      <c r="AH85">
        <f t="shared" si="7"/>
        <v>0</v>
      </c>
      <c r="AI85">
        <f t="shared" si="8"/>
        <v>20181</v>
      </c>
      <c r="AJ85">
        <f t="shared" si="9"/>
        <v>20181</v>
      </c>
    </row>
    <row r="86" spans="1:36" x14ac:dyDescent="0.25">
      <c r="A86" s="10">
        <v>39569</v>
      </c>
      <c r="B86" s="11">
        <v>7954</v>
      </c>
      <c r="C86" s="11" t="s">
        <v>3</v>
      </c>
      <c r="D86" s="1"/>
      <c r="E86" s="1"/>
      <c r="G86" s="10">
        <v>39173</v>
      </c>
      <c r="H86" s="11">
        <v>4921</v>
      </c>
      <c r="I86" s="11" t="s">
        <v>15</v>
      </c>
      <c r="M86" s="3">
        <v>40787</v>
      </c>
      <c r="N86" s="5"/>
      <c r="O86" s="5">
        <v>6722</v>
      </c>
      <c r="P86" s="5">
        <v>7102</v>
      </c>
      <c r="Q86" s="5">
        <v>1234</v>
      </c>
      <c r="R86" s="5"/>
      <c r="S86" s="5">
        <v>15058</v>
      </c>
      <c r="W86" s="3">
        <v>40787</v>
      </c>
      <c r="X86" s="5">
        <v>6608</v>
      </c>
      <c r="Y86" s="5">
        <v>7099</v>
      </c>
      <c r="Z86" s="5">
        <v>1351</v>
      </c>
      <c r="AA86" s="5">
        <v>15058</v>
      </c>
      <c r="AE86" s="3">
        <v>42401</v>
      </c>
      <c r="AF86">
        <f t="shared" si="5"/>
        <v>780</v>
      </c>
      <c r="AG86">
        <f t="shared" si="6"/>
        <v>0</v>
      </c>
      <c r="AH86">
        <f t="shared" si="7"/>
        <v>0</v>
      </c>
      <c r="AI86">
        <f t="shared" si="8"/>
        <v>13212</v>
      </c>
      <c r="AJ86">
        <f t="shared" si="9"/>
        <v>13212</v>
      </c>
    </row>
    <row r="87" spans="1:36" x14ac:dyDescent="0.25">
      <c r="A87" s="10">
        <v>39600</v>
      </c>
      <c r="B87" s="11">
        <v>6216</v>
      </c>
      <c r="C87" s="11" t="s">
        <v>3</v>
      </c>
      <c r="D87" s="1"/>
      <c r="E87" s="1"/>
      <c r="G87" s="10">
        <v>39173</v>
      </c>
      <c r="H87" s="11">
        <v>16457</v>
      </c>
      <c r="I87" s="11" t="s">
        <v>16</v>
      </c>
      <c r="M87" s="3">
        <v>40817</v>
      </c>
      <c r="N87" s="5"/>
      <c r="O87" s="5">
        <v>6917</v>
      </c>
      <c r="P87" s="5">
        <v>7201</v>
      </c>
      <c r="Q87" s="5">
        <v>1403</v>
      </c>
      <c r="R87" s="5"/>
      <c r="S87" s="5">
        <v>15521</v>
      </c>
      <c r="W87" s="3">
        <v>40817</v>
      </c>
      <c r="X87" s="5">
        <v>6814</v>
      </c>
      <c r="Y87" s="5">
        <v>7200</v>
      </c>
      <c r="Z87" s="5">
        <v>1507</v>
      </c>
      <c r="AA87" s="5">
        <v>15521</v>
      </c>
      <c r="AE87" s="3"/>
    </row>
    <row r="88" spans="1:36" x14ac:dyDescent="0.25">
      <c r="A88" s="10">
        <v>39600</v>
      </c>
      <c r="B88" s="11">
        <v>22886</v>
      </c>
      <c r="C88" s="11" t="s">
        <v>2</v>
      </c>
      <c r="D88" s="1"/>
      <c r="E88" s="1"/>
      <c r="G88" s="10">
        <v>39173</v>
      </c>
      <c r="H88" s="11">
        <v>1055</v>
      </c>
      <c r="I88" s="11" t="s">
        <v>14</v>
      </c>
      <c r="M88" s="3">
        <v>40848</v>
      </c>
      <c r="N88" s="5"/>
      <c r="O88" s="5">
        <v>8052</v>
      </c>
      <c r="P88" s="5">
        <v>6033</v>
      </c>
      <c r="Q88" s="5">
        <v>2060</v>
      </c>
      <c r="R88" s="5"/>
      <c r="S88" s="5">
        <v>16145</v>
      </c>
      <c r="W88" s="3">
        <v>40848</v>
      </c>
      <c r="X88" s="5">
        <v>7897</v>
      </c>
      <c r="Y88" s="5">
        <v>6027</v>
      </c>
      <c r="Z88" s="5">
        <v>2221</v>
      </c>
      <c r="AA88" s="5">
        <v>16145</v>
      </c>
      <c r="AE88" s="3"/>
    </row>
    <row r="89" spans="1:36" x14ac:dyDescent="0.25">
      <c r="A89" s="10">
        <v>39630</v>
      </c>
      <c r="B89" s="11">
        <v>19843</v>
      </c>
      <c r="C89" s="11" t="s">
        <v>2</v>
      </c>
      <c r="D89" s="1"/>
      <c r="E89" s="1"/>
      <c r="G89" s="10">
        <v>39203</v>
      </c>
      <c r="H89" s="11">
        <v>6718</v>
      </c>
      <c r="I89" s="11" t="s">
        <v>15</v>
      </c>
      <c r="M89" s="3">
        <v>40878</v>
      </c>
      <c r="N89" s="5"/>
      <c r="O89" s="5">
        <v>9402</v>
      </c>
      <c r="P89" s="5">
        <v>4254</v>
      </c>
      <c r="Q89" s="5">
        <v>2144</v>
      </c>
      <c r="R89" s="5"/>
      <c r="S89" s="5">
        <v>15800</v>
      </c>
      <c r="W89" s="3">
        <v>40878</v>
      </c>
      <c r="X89" s="5">
        <v>9245</v>
      </c>
      <c r="Y89" s="5">
        <v>4246</v>
      </c>
      <c r="Z89" s="5">
        <v>2309</v>
      </c>
      <c r="AA89" s="5">
        <v>15800</v>
      </c>
      <c r="AE89" s="3"/>
    </row>
    <row r="90" spans="1:36" x14ac:dyDescent="0.25">
      <c r="A90" s="10">
        <v>39630</v>
      </c>
      <c r="B90" s="11">
        <v>3812</v>
      </c>
      <c r="C90" s="11" t="s">
        <v>3</v>
      </c>
      <c r="D90" s="1"/>
      <c r="E90" s="1"/>
      <c r="G90" s="10">
        <v>39203</v>
      </c>
      <c r="H90" s="11">
        <v>22883</v>
      </c>
      <c r="I90" s="11" t="s">
        <v>16</v>
      </c>
      <c r="M90" s="3">
        <v>40909</v>
      </c>
      <c r="N90" s="5"/>
      <c r="O90" s="5">
        <v>9964</v>
      </c>
      <c r="P90" s="5">
        <v>4698</v>
      </c>
      <c r="Q90" s="5">
        <v>2387</v>
      </c>
      <c r="R90" s="5"/>
      <c r="S90" s="5">
        <v>17049</v>
      </c>
      <c r="W90" s="3">
        <v>40909</v>
      </c>
      <c r="X90" s="5">
        <v>9831</v>
      </c>
      <c r="Y90" s="5">
        <v>4694</v>
      </c>
      <c r="Z90" s="5">
        <v>2524</v>
      </c>
      <c r="AA90" s="5">
        <v>17049</v>
      </c>
      <c r="AE90" s="3"/>
    </row>
    <row r="91" spans="1:36" x14ac:dyDescent="0.25">
      <c r="A91" s="10">
        <v>39661</v>
      </c>
      <c r="B91" s="11">
        <v>20321</v>
      </c>
      <c r="C91" s="11" t="s">
        <v>2</v>
      </c>
      <c r="D91" s="1"/>
      <c r="E91" s="1"/>
      <c r="G91" s="10">
        <v>39203</v>
      </c>
      <c r="H91" s="11">
        <v>1319</v>
      </c>
      <c r="I91" s="11" t="s">
        <v>14</v>
      </c>
      <c r="M91" s="3">
        <v>40940</v>
      </c>
      <c r="N91" s="5"/>
      <c r="O91" s="5">
        <v>9237</v>
      </c>
      <c r="P91" s="5">
        <v>5414</v>
      </c>
      <c r="Q91" s="5">
        <v>2593</v>
      </c>
      <c r="R91" s="5"/>
      <c r="S91" s="5">
        <v>17244</v>
      </c>
      <c r="W91" s="3">
        <v>40940</v>
      </c>
      <c r="X91" s="5">
        <v>9082</v>
      </c>
      <c r="Y91" s="5">
        <v>5408</v>
      </c>
      <c r="Z91" s="5">
        <v>2754</v>
      </c>
      <c r="AA91" s="5">
        <v>17244</v>
      </c>
      <c r="AE91" s="3"/>
    </row>
    <row r="92" spans="1:36" x14ac:dyDescent="0.25">
      <c r="A92" s="10">
        <v>39661</v>
      </c>
      <c r="B92" s="11">
        <v>3008</v>
      </c>
      <c r="C92" s="11" t="s">
        <v>3</v>
      </c>
      <c r="D92" s="1"/>
      <c r="E92" s="1"/>
      <c r="G92" s="10">
        <v>39234</v>
      </c>
      <c r="H92" s="11">
        <v>7851</v>
      </c>
      <c r="I92" s="11" t="s">
        <v>15</v>
      </c>
      <c r="M92" s="3">
        <v>40969</v>
      </c>
      <c r="N92" s="5"/>
      <c r="O92" s="5">
        <v>11247</v>
      </c>
      <c r="P92" s="5">
        <v>3241</v>
      </c>
      <c r="Q92" s="5">
        <v>2164</v>
      </c>
      <c r="R92" s="5"/>
      <c r="S92" s="5">
        <v>16652</v>
      </c>
      <c r="W92" s="3">
        <v>40969</v>
      </c>
      <c r="X92" s="5">
        <v>11001</v>
      </c>
      <c r="Y92" s="5">
        <v>3234</v>
      </c>
      <c r="Z92" s="5">
        <v>2417</v>
      </c>
      <c r="AA92" s="5">
        <v>16652</v>
      </c>
      <c r="AE92" s="3"/>
    </row>
    <row r="93" spans="1:36" x14ac:dyDescent="0.25">
      <c r="A93" s="10">
        <v>39692</v>
      </c>
      <c r="B93" s="11">
        <v>15950</v>
      </c>
      <c r="C93" s="11" t="s">
        <v>2</v>
      </c>
      <c r="D93" s="1"/>
      <c r="E93" s="1"/>
      <c r="G93" s="10">
        <v>39234</v>
      </c>
      <c r="H93" s="11">
        <v>25651</v>
      </c>
      <c r="I93" s="11" t="s">
        <v>16</v>
      </c>
      <c r="M93" s="3">
        <v>41000</v>
      </c>
      <c r="N93" s="5"/>
      <c r="O93" s="5">
        <v>14409</v>
      </c>
      <c r="P93" s="5">
        <v>3375</v>
      </c>
      <c r="Q93" s="5">
        <v>2253</v>
      </c>
      <c r="R93" s="5"/>
      <c r="S93" s="5">
        <v>20037</v>
      </c>
      <c r="W93" s="3">
        <v>41000</v>
      </c>
      <c r="X93" s="5">
        <v>14080</v>
      </c>
      <c r="Y93" s="5">
        <v>3368</v>
      </c>
      <c r="Z93" s="5">
        <v>2589</v>
      </c>
      <c r="AA93" s="5">
        <v>20037</v>
      </c>
      <c r="AE93" s="3"/>
    </row>
    <row r="94" spans="1:36" x14ac:dyDescent="0.25">
      <c r="A94" s="10">
        <v>39692</v>
      </c>
      <c r="B94" s="11">
        <v>1917</v>
      </c>
      <c r="C94" s="11" t="s">
        <v>3</v>
      </c>
      <c r="D94" s="1"/>
      <c r="E94" s="1"/>
      <c r="G94" s="10">
        <v>39234</v>
      </c>
      <c r="H94" s="11">
        <v>1313</v>
      </c>
      <c r="I94" s="11" t="s">
        <v>14</v>
      </c>
      <c r="M94" s="3">
        <v>41030</v>
      </c>
      <c r="N94" s="5"/>
      <c r="O94" s="5">
        <v>13389</v>
      </c>
      <c r="P94" s="5">
        <v>4588</v>
      </c>
      <c r="Q94" s="5">
        <v>2438</v>
      </c>
      <c r="R94" s="5"/>
      <c r="S94" s="5">
        <v>20415</v>
      </c>
      <c r="W94" s="3">
        <v>41030</v>
      </c>
      <c r="X94" s="5">
        <v>13189</v>
      </c>
      <c r="Y94" s="5">
        <v>4588</v>
      </c>
      <c r="Z94" s="5">
        <v>2638</v>
      </c>
      <c r="AA94" s="5">
        <v>20415</v>
      </c>
      <c r="AE94" s="3"/>
    </row>
    <row r="95" spans="1:36" x14ac:dyDescent="0.25">
      <c r="A95" s="10">
        <v>39722</v>
      </c>
      <c r="B95" s="11">
        <v>1181</v>
      </c>
      <c r="C95" s="11" t="s">
        <v>3</v>
      </c>
      <c r="D95" s="1"/>
      <c r="E95" s="1"/>
      <c r="G95" s="10">
        <v>39264</v>
      </c>
      <c r="H95" s="11">
        <v>7479</v>
      </c>
      <c r="I95" s="11" t="s">
        <v>15</v>
      </c>
      <c r="M95" s="3">
        <v>41061</v>
      </c>
      <c r="N95" s="5"/>
      <c r="O95" s="5">
        <v>12542</v>
      </c>
      <c r="P95" s="5">
        <v>7595</v>
      </c>
      <c r="Q95" s="5">
        <v>2289</v>
      </c>
      <c r="R95" s="5"/>
      <c r="S95" s="5">
        <v>22426</v>
      </c>
      <c r="W95" s="3">
        <v>41061</v>
      </c>
      <c r="X95" s="5">
        <v>12382</v>
      </c>
      <c r="Y95" s="5">
        <v>7585</v>
      </c>
      <c r="Z95" s="5">
        <v>2459</v>
      </c>
      <c r="AA95" s="5">
        <v>22426</v>
      </c>
      <c r="AE95" s="3"/>
    </row>
    <row r="96" spans="1:36" x14ac:dyDescent="0.25">
      <c r="A96" s="10">
        <v>39722</v>
      </c>
      <c r="B96" s="11">
        <v>10778</v>
      </c>
      <c r="C96" s="11" t="s">
        <v>2</v>
      </c>
      <c r="D96" s="1"/>
      <c r="E96" s="1"/>
      <c r="G96" s="10">
        <v>39264</v>
      </c>
      <c r="H96" s="11">
        <v>31265</v>
      </c>
      <c r="I96" s="11" t="s">
        <v>16</v>
      </c>
      <c r="M96" s="3">
        <v>41091</v>
      </c>
      <c r="N96" s="5"/>
      <c r="O96" s="5">
        <v>13383</v>
      </c>
      <c r="P96" s="5">
        <v>9142</v>
      </c>
      <c r="Q96" s="5">
        <v>1944</v>
      </c>
      <c r="R96" s="5"/>
      <c r="S96" s="5">
        <v>24469</v>
      </c>
      <c r="W96" s="3">
        <v>41091</v>
      </c>
      <c r="X96" s="5">
        <v>13178</v>
      </c>
      <c r="Y96" s="5">
        <v>9137</v>
      </c>
      <c r="Z96" s="5">
        <v>2154</v>
      </c>
      <c r="AA96" s="5">
        <v>24469</v>
      </c>
      <c r="AE96" s="3"/>
    </row>
    <row r="97" spans="1:31" x14ac:dyDescent="0.25">
      <c r="A97" s="10">
        <v>39753</v>
      </c>
      <c r="B97" s="11">
        <v>1415</v>
      </c>
      <c r="C97" s="11" t="s">
        <v>3</v>
      </c>
      <c r="D97" s="1"/>
      <c r="E97" s="1"/>
      <c r="G97" s="10">
        <v>39264</v>
      </c>
      <c r="H97" s="11">
        <v>1364</v>
      </c>
      <c r="I97" s="11" t="s">
        <v>14</v>
      </c>
      <c r="M97" s="3">
        <v>41122</v>
      </c>
      <c r="N97" s="5"/>
      <c r="O97" s="5">
        <v>13357</v>
      </c>
      <c r="P97" s="5">
        <v>10878</v>
      </c>
      <c r="Q97" s="5">
        <v>2105</v>
      </c>
      <c r="R97" s="5"/>
      <c r="S97" s="5">
        <v>26340</v>
      </c>
      <c r="W97" s="3">
        <v>41122</v>
      </c>
      <c r="X97" s="5">
        <v>13092</v>
      </c>
      <c r="Y97" s="5">
        <v>10864</v>
      </c>
      <c r="Z97" s="5">
        <v>2384</v>
      </c>
      <c r="AA97" s="5">
        <v>26340</v>
      </c>
      <c r="AE97" s="3"/>
    </row>
    <row r="98" spans="1:31" x14ac:dyDescent="0.25">
      <c r="A98" s="10">
        <v>39753</v>
      </c>
      <c r="B98" s="11">
        <v>10864</v>
      </c>
      <c r="C98" s="11" t="s">
        <v>2</v>
      </c>
      <c r="D98" s="1"/>
      <c r="E98" s="1"/>
      <c r="G98" s="10">
        <v>39295</v>
      </c>
      <c r="H98" s="11">
        <v>6834</v>
      </c>
      <c r="I98" s="11" t="s">
        <v>15</v>
      </c>
      <c r="M98" s="3">
        <v>41153</v>
      </c>
      <c r="N98" s="5"/>
      <c r="O98" s="5">
        <v>13492</v>
      </c>
      <c r="P98" s="5">
        <v>11393</v>
      </c>
      <c r="Q98" s="5">
        <v>3217</v>
      </c>
      <c r="R98" s="5"/>
      <c r="S98" s="5">
        <v>28102</v>
      </c>
      <c r="W98" s="3">
        <v>41153</v>
      </c>
      <c r="X98" s="5">
        <v>13246</v>
      </c>
      <c r="Y98" s="5">
        <v>11375</v>
      </c>
      <c r="Z98" s="5">
        <v>3481</v>
      </c>
      <c r="AA98" s="5">
        <v>28102</v>
      </c>
      <c r="AE98" s="3"/>
    </row>
    <row r="99" spans="1:31" x14ac:dyDescent="0.25">
      <c r="A99" s="10">
        <v>39783</v>
      </c>
      <c r="B99" s="11">
        <v>1908</v>
      </c>
      <c r="C99" s="11" t="s">
        <v>3</v>
      </c>
      <c r="D99" s="1"/>
      <c r="E99" s="1"/>
      <c r="G99" s="10">
        <v>39295</v>
      </c>
      <c r="H99" s="11">
        <v>33697</v>
      </c>
      <c r="I99" s="11" t="s">
        <v>16</v>
      </c>
      <c r="M99" s="3">
        <v>41183</v>
      </c>
      <c r="N99" s="5"/>
      <c r="O99" s="5">
        <v>14252</v>
      </c>
      <c r="P99" s="5">
        <v>11163</v>
      </c>
      <c r="Q99" s="5">
        <v>4594</v>
      </c>
      <c r="R99" s="5"/>
      <c r="S99" s="5">
        <v>30009</v>
      </c>
      <c r="W99" s="3">
        <v>41183</v>
      </c>
      <c r="X99" s="5">
        <v>14068</v>
      </c>
      <c r="Y99" s="5">
        <v>11150</v>
      </c>
      <c r="Z99" s="5">
        <v>4791</v>
      </c>
      <c r="AA99" s="5">
        <v>30009</v>
      </c>
      <c r="AE99" s="3"/>
    </row>
    <row r="100" spans="1:31" x14ac:dyDescent="0.25">
      <c r="A100" s="10">
        <v>39783</v>
      </c>
      <c r="B100" s="11">
        <v>9981</v>
      </c>
      <c r="C100" s="11" t="s">
        <v>2</v>
      </c>
      <c r="D100" s="1"/>
      <c r="E100" s="1"/>
      <c r="G100" s="10">
        <v>39295</v>
      </c>
      <c r="H100" s="11">
        <v>1256</v>
      </c>
      <c r="I100" s="11" t="s">
        <v>14</v>
      </c>
      <c r="M100" s="3">
        <v>41214</v>
      </c>
      <c r="N100" s="5"/>
      <c r="O100" s="5">
        <v>13492</v>
      </c>
      <c r="P100" s="5">
        <v>10851</v>
      </c>
      <c r="Q100" s="5">
        <v>5406</v>
      </c>
      <c r="R100" s="5"/>
      <c r="S100" s="5">
        <v>29749</v>
      </c>
      <c r="W100" s="3">
        <v>41214</v>
      </c>
      <c r="X100" s="5">
        <v>13316</v>
      </c>
      <c r="Y100" s="5">
        <v>10847</v>
      </c>
      <c r="Z100" s="5">
        <v>5586</v>
      </c>
      <c r="AA100" s="5">
        <v>29749</v>
      </c>
      <c r="AE100" s="3"/>
    </row>
    <row r="101" spans="1:31" x14ac:dyDescent="0.25">
      <c r="A101" s="10">
        <v>39814</v>
      </c>
      <c r="B101" s="11">
        <v>1021</v>
      </c>
      <c r="C101" s="11" t="s">
        <v>3</v>
      </c>
      <c r="D101" s="1"/>
      <c r="E101" s="1"/>
      <c r="G101" s="10">
        <v>39326</v>
      </c>
      <c r="H101" s="11">
        <v>6406</v>
      </c>
      <c r="I101" s="11" t="s">
        <v>15</v>
      </c>
      <c r="M101" s="3">
        <v>41244</v>
      </c>
      <c r="N101" s="5"/>
      <c r="O101" s="5">
        <v>16216</v>
      </c>
      <c r="P101" s="5">
        <v>10880</v>
      </c>
      <c r="Q101" s="5">
        <v>5688</v>
      </c>
      <c r="R101" s="5"/>
      <c r="S101" s="5">
        <v>32784</v>
      </c>
      <c r="W101" s="3">
        <v>41244</v>
      </c>
      <c r="X101" s="5">
        <v>15936</v>
      </c>
      <c r="Y101" s="5">
        <v>10879</v>
      </c>
      <c r="Z101" s="5">
        <v>5969</v>
      </c>
      <c r="AA101" s="5">
        <v>32784</v>
      </c>
      <c r="AE101" s="3"/>
    </row>
    <row r="102" spans="1:31" x14ac:dyDescent="0.25">
      <c r="A102" s="10">
        <v>39814</v>
      </c>
      <c r="B102" s="11">
        <v>6638</v>
      </c>
      <c r="C102" s="11" t="s">
        <v>2</v>
      </c>
      <c r="D102" s="1"/>
      <c r="E102" s="1"/>
      <c r="G102" s="10">
        <v>39326</v>
      </c>
      <c r="H102" s="11">
        <v>34158</v>
      </c>
      <c r="I102" s="11" t="s">
        <v>16</v>
      </c>
      <c r="M102" s="3">
        <v>41275</v>
      </c>
      <c r="N102" s="5"/>
      <c r="O102" s="5">
        <v>14266</v>
      </c>
      <c r="P102" s="5">
        <v>9018</v>
      </c>
      <c r="Q102" s="5">
        <v>5623</v>
      </c>
      <c r="R102" s="5"/>
      <c r="S102" s="5">
        <v>28907</v>
      </c>
      <c r="W102" s="3">
        <v>41275</v>
      </c>
      <c r="X102" s="5">
        <v>13955</v>
      </c>
      <c r="Y102" s="5">
        <v>9018</v>
      </c>
      <c r="Z102" s="5">
        <v>5934</v>
      </c>
      <c r="AA102" s="5">
        <v>28907</v>
      </c>
      <c r="AE102" s="3"/>
    </row>
    <row r="103" spans="1:31" x14ac:dyDescent="0.25">
      <c r="A103" s="10">
        <v>39845</v>
      </c>
      <c r="B103" s="11">
        <v>2875</v>
      </c>
      <c r="C103" s="11" t="s">
        <v>3</v>
      </c>
      <c r="D103" s="1"/>
      <c r="E103" s="1"/>
      <c r="G103" s="10">
        <v>39326</v>
      </c>
      <c r="H103" s="11">
        <v>1349</v>
      </c>
      <c r="I103" s="11" t="s">
        <v>14</v>
      </c>
      <c r="M103" s="3">
        <v>41306</v>
      </c>
      <c r="N103" s="5"/>
      <c r="O103" s="5">
        <v>14429</v>
      </c>
      <c r="P103" s="5">
        <v>9650</v>
      </c>
      <c r="Q103" s="5">
        <v>6895</v>
      </c>
      <c r="R103" s="5"/>
      <c r="S103" s="5">
        <v>30974</v>
      </c>
      <c r="W103" s="3">
        <v>41306</v>
      </c>
      <c r="X103" s="5">
        <v>14118</v>
      </c>
      <c r="Y103" s="5">
        <v>9650</v>
      </c>
      <c r="Z103" s="5">
        <v>7206</v>
      </c>
      <c r="AA103" s="5">
        <v>30974</v>
      </c>
      <c r="AE103" s="3"/>
    </row>
    <row r="104" spans="1:31" x14ac:dyDescent="0.25">
      <c r="A104" s="10">
        <v>39845</v>
      </c>
      <c r="B104" s="11">
        <v>8795</v>
      </c>
      <c r="C104" s="11" t="s">
        <v>2</v>
      </c>
      <c r="D104" s="1"/>
      <c r="E104" s="1"/>
      <c r="G104" s="10">
        <v>39356</v>
      </c>
      <c r="H104" s="11">
        <v>6229</v>
      </c>
      <c r="I104" s="11" t="s">
        <v>15</v>
      </c>
      <c r="M104" s="3">
        <v>41334</v>
      </c>
      <c r="N104" s="5"/>
      <c r="O104" s="5">
        <v>15534</v>
      </c>
      <c r="P104" s="5">
        <v>8479</v>
      </c>
      <c r="Q104" s="5">
        <v>7264</v>
      </c>
      <c r="R104" s="5"/>
      <c r="S104" s="5">
        <v>31277</v>
      </c>
      <c r="W104" s="3">
        <v>41334</v>
      </c>
      <c r="X104" s="5">
        <v>15173</v>
      </c>
      <c r="Y104" s="5">
        <v>8478</v>
      </c>
      <c r="Z104" s="5">
        <v>7626</v>
      </c>
      <c r="AA104" s="5">
        <v>31277</v>
      </c>
      <c r="AE104" s="3"/>
    </row>
    <row r="105" spans="1:31" x14ac:dyDescent="0.25">
      <c r="A105" s="10">
        <v>39873</v>
      </c>
      <c r="B105" s="11">
        <v>6757</v>
      </c>
      <c r="C105" s="11" t="s">
        <v>3</v>
      </c>
      <c r="D105" s="1"/>
      <c r="E105" s="1"/>
      <c r="G105" s="10">
        <v>39356</v>
      </c>
      <c r="H105" s="11">
        <v>35897</v>
      </c>
      <c r="I105" s="11" t="s">
        <v>16</v>
      </c>
      <c r="M105" s="3">
        <v>41365</v>
      </c>
      <c r="N105" s="5"/>
      <c r="O105" s="5">
        <v>15566</v>
      </c>
      <c r="P105" s="5">
        <v>10146</v>
      </c>
      <c r="Q105" s="5">
        <v>6110</v>
      </c>
      <c r="R105" s="5"/>
      <c r="S105" s="5">
        <v>31822</v>
      </c>
      <c r="W105" s="3">
        <v>41365</v>
      </c>
      <c r="X105" s="5">
        <v>15258</v>
      </c>
      <c r="Y105" s="5">
        <v>10146</v>
      </c>
      <c r="Z105" s="5">
        <v>6418</v>
      </c>
      <c r="AA105" s="5">
        <v>31822</v>
      </c>
      <c r="AE105" s="3"/>
    </row>
    <row r="106" spans="1:31" x14ac:dyDescent="0.25">
      <c r="A106" s="10">
        <v>39873</v>
      </c>
      <c r="B106" s="11">
        <v>5491</v>
      </c>
      <c r="C106" s="11" t="s">
        <v>2</v>
      </c>
      <c r="D106" s="1"/>
      <c r="E106" s="1"/>
      <c r="G106" s="10">
        <v>39356</v>
      </c>
      <c r="H106" s="11">
        <v>1311</v>
      </c>
      <c r="I106" s="11" t="s">
        <v>14</v>
      </c>
      <c r="M106" s="3">
        <v>41395</v>
      </c>
      <c r="N106" s="5"/>
      <c r="O106" s="5">
        <v>15856</v>
      </c>
      <c r="P106" s="5">
        <v>11269</v>
      </c>
      <c r="Q106" s="5">
        <v>5217</v>
      </c>
      <c r="R106" s="5"/>
      <c r="S106" s="5">
        <v>32342</v>
      </c>
      <c r="W106" s="3">
        <v>41395</v>
      </c>
      <c r="X106" s="5">
        <v>15539</v>
      </c>
      <c r="Y106" s="5">
        <v>11269</v>
      </c>
      <c r="Z106" s="5">
        <v>5534</v>
      </c>
      <c r="AA106" s="5">
        <v>32342</v>
      </c>
      <c r="AE106" s="3"/>
    </row>
    <row r="107" spans="1:31" x14ac:dyDescent="0.25">
      <c r="A107" s="10">
        <v>39904</v>
      </c>
      <c r="B107" s="11">
        <v>7889</v>
      </c>
      <c r="C107" s="11" t="s">
        <v>3</v>
      </c>
      <c r="D107" s="1"/>
      <c r="E107" s="1"/>
      <c r="G107" s="10">
        <v>39387</v>
      </c>
      <c r="H107" s="11">
        <v>7907</v>
      </c>
      <c r="I107" s="11" t="s">
        <v>15</v>
      </c>
      <c r="M107" s="3">
        <v>41426</v>
      </c>
      <c r="N107" s="5"/>
      <c r="O107" s="5">
        <v>14917</v>
      </c>
      <c r="P107" s="5">
        <v>12429</v>
      </c>
      <c r="Q107" s="5">
        <v>5029</v>
      </c>
      <c r="R107" s="5"/>
      <c r="S107" s="5">
        <v>32375</v>
      </c>
      <c r="W107" s="3">
        <v>41426</v>
      </c>
      <c r="X107" s="5">
        <v>14591</v>
      </c>
      <c r="Y107" s="5">
        <v>12428</v>
      </c>
      <c r="Z107" s="5">
        <v>5356</v>
      </c>
      <c r="AA107" s="5">
        <v>32375</v>
      </c>
      <c r="AE107" s="3"/>
    </row>
    <row r="108" spans="1:31" x14ac:dyDescent="0.25">
      <c r="A108" s="10">
        <v>39904</v>
      </c>
      <c r="B108" s="11">
        <v>6205</v>
      </c>
      <c r="C108" s="11" t="s">
        <v>2</v>
      </c>
      <c r="D108" s="1"/>
      <c r="E108" s="1"/>
      <c r="G108" s="10">
        <v>39387</v>
      </c>
      <c r="H108" s="11">
        <v>32190</v>
      </c>
      <c r="I108" s="11" t="s">
        <v>16</v>
      </c>
      <c r="M108" s="3">
        <v>41456</v>
      </c>
      <c r="N108" s="5"/>
      <c r="O108" s="5">
        <v>13693</v>
      </c>
      <c r="P108" s="5">
        <v>16843</v>
      </c>
      <c r="Q108" s="5">
        <v>5406</v>
      </c>
      <c r="R108" s="5"/>
      <c r="S108" s="5">
        <v>35942</v>
      </c>
      <c r="W108" s="3">
        <v>41456</v>
      </c>
      <c r="X108" s="5">
        <v>13308</v>
      </c>
      <c r="Y108" s="5">
        <v>16843</v>
      </c>
      <c r="Z108" s="5">
        <v>5791</v>
      </c>
      <c r="AA108" s="5">
        <v>35942</v>
      </c>
      <c r="AE108" s="3"/>
    </row>
    <row r="109" spans="1:31" x14ac:dyDescent="0.25">
      <c r="A109" s="10">
        <v>39934</v>
      </c>
      <c r="B109" s="11">
        <v>7801</v>
      </c>
      <c r="C109" s="11" t="s">
        <v>3</v>
      </c>
      <c r="D109" s="1"/>
      <c r="E109" s="1"/>
      <c r="G109" s="10">
        <v>39387</v>
      </c>
      <c r="H109" s="11">
        <v>1433</v>
      </c>
      <c r="I109" s="11" t="s">
        <v>14</v>
      </c>
      <c r="M109" s="3">
        <v>41487</v>
      </c>
      <c r="N109" s="5"/>
      <c r="O109" s="5">
        <v>11861</v>
      </c>
      <c r="P109" s="5">
        <v>16724</v>
      </c>
      <c r="Q109" s="5">
        <v>4256</v>
      </c>
      <c r="R109" s="5"/>
      <c r="S109" s="5">
        <v>32841</v>
      </c>
      <c r="W109" s="3">
        <v>41487</v>
      </c>
      <c r="X109" s="5">
        <v>11511</v>
      </c>
      <c r="Y109" s="5">
        <v>16724</v>
      </c>
      <c r="Z109" s="5">
        <v>4606</v>
      </c>
      <c r="AA109" s="5">
        <v>32841</v>
      </c>
      <c r="AE109" s="3"/>
    </row>
    <row r="110" spans="1:31" x14ac:dyDescent="0.25">
      <c r="A110" s="10">
        <v>39934</v>
      </c>
      <c r="B110" s="11">
        <v>8110</v>
      </c>
      <c r="C110" s="11" t="s">
        <v>2</v>
      </c>
      <c r="D110" s="1"/>
      <c r="E110" s="1"/>
      <c r="G110" s="10">
        <v>39417</v>
      </c>
      <c r="H110" s="11">
        <v>9803</v>
      </c>
      <c r="I110" s="11" t="s">
        <v>15</v>
      </c>
      <c r="M110" s="3">
        <v>41518</v>
      </c>
      <c r="N110" s="5"/>
      <c r="O110" s="5">
        <v>10905</v>
      </c>
      <c r="P110" s="5">
        <v>16145</v>
      </c>
      <c r="Q110" s="5">
        <v>3337</v>
      </c>
      <c r="R110" s="5"/>
      <c r="S110" s="5">
        <v>30387</v>
      </c>
      <c r="W110" s="3">
        <v>41518</v>
      </c>
      <c r="X110" s="5">
        <v>10589</v>
      </c>
      <c r="Y110" s="5">
        <v>16144</v>
      </c>
      <c r="Z110" s="5">
        <v>3654</v>
      </c>
      <c r="AA110" s="5">
        <v>30387</v>
      </c>
      <c r="AE110" s="3"/>
    </row>
    <row r="111" spans="1:31" x14ac:dyDescent="0.25">
      <c r="A111" s="10">
        <v>39965</v>
      </c>
      <c r="B111" s="11">
        <v>5386</v>
      </c>
      <c r="C111" s="11" t="s">
        <v>4</v>
      </c>
      <c r="D111" s="1"/>
      <c r="E111" s="1"/>
      <c r="G111" s="10">
        <v>39417</v>
      </c>
      <c r="H111" s="11">
        <v>30756</v>
      </c>
      <c r="I111" s="11" t="s">
        <v>16</v>
      </c>
      <c r="M111" s="3">
        <v>41548</v>
      </c>
      <c r="N111" s="5"/>
      <c r="O111" s="5">
        <v>8808</v>
      </c>
      <c r="P111" s="5">
        <v>14864</v>
      </c>
      <c r="Q111" s="5">
        <v>1914</v>
      </c>
      <c r="R111" s="5"/>
      <c r="S111" s="5">
        <v>25586</v>
      </c>
      <c r="W111" s="3">
        <v>41548</v>
      </c>
      <c r="X111" s="5">
        <v>8489</v>
      </c>
      <c r="Y111" s="5">
        <v>14862</v>
      </c>
      <c r="Z111" s="5">
        <v>2235</v>
      </c>
      <c r="AA111" s="5">
        <v>25586</v>
      </c>
      <c r="AE111" s="3"/>
    </row>
    <row r="112" spans="1:31" x14ac:dyDescent="0.25">
      <c r="A112" s="10">
        <v>39965</v>
      </c>
      <c r="B112" s="11">
        <v>3673</v>
      </c>
      <c r="C112" s="11" t="s">
        <v>5</v>
      </c>
      <c r="D112" s="1"/>
      <c r="E112" s="1"/>
      <c r="G112" s="10">
        <v>39417</v>
      </c>
      <c r="H112" s="11">
        <v>1529</v>
      </c>
      <c r="I112" s="11" t="s">
        <v>14</v>
      </c>
      <c r="M112" s="3">
        <v>41579</v>
      </c>
      <c r="N112" s="5"/>
      <c r="O112" s="5">
        <v>6521</v>
      </c>
      <c r="P112" s="5">
        <v>12990</v>
      </c>
      <c r="Q112" s="5">
        <v>1306</v>
      </c>
      <c r="R112" s="5"/>
      <c r="S112" s="5">
        <v>20817</v>
      </c>
      <c r="W112" s="3">
        <v>41579</v>
      </c>
      <c r="X112" s="5">
        <v>6264</v>
      </c>
      <c r="Y112" s="5">
        <v>12990</v>
      </c>
      <c r="Z112" s="5">
        <v>1563</v>
      </c>
      <c r="AA112" s="5">
        <v>20817</v>
      </c>
      <c r="AE112" s="3"/>
    </row>
    <row r="113" spans="1:31" x14ac:dyDescent="0.25">
      <c r="A113" s="10">
        <v>39965</v>
      </c>
      <c r="B113" s="11">
        <v>7390</v>
      </c>
      <c r="C113" s="11" t="s">
        <v>2</v>
      </c>
      <c r="D113" s="1"/>
      <c r="E113" s="1"/>
      <c r="G113" s="10">
        <v>39448</v>
      </c>
      <c r="H113" s="11">
        <v>8381</v>
      </c>
      <c r="I113" s="11" t="s">
        <v>15</v>
      </c>
      <c r="M113" s="3">
        <v>41609</v>
      </c>
      <c r="N113" s="5"/>
      <c r="O113" s="5">
        <v>5615</v>
      </c>
      <c r="P113" s="5">
        <v>13820</v>
      </c>
      <c r="Q113" s="5">
        <v>1361</v>
      </c>
      <c r="R113" s="5"/>
      <c r="S113" s="5">
        <v>20796</v>
      </c>
      <c r="W113" s="3">
        <v>41609</v>
      </c>
      <c r="X113" s="5">
        <v>5421</v>
      </c>
      <c r="Y113" s="5">
        <v>13820</v>
      </c>
      <c r="Z113" s="5">
        <v>1555</v>
      </c>
      <c r="AA113" s="5">
        <v>20796</v>
      </c>
      <c r="AE113" s="3"/>
    </row>
    <row r="114" spans="1:31" x14ac:dyDescent="0.25">
      <c r="A114" s="10">
        <v>39995</v>
      </c>
      <c r="B114" s="11">
        <v>9247</v>
      </c>
      <c r="C114" s="11" t="s">
        <v>5</v>
      </c>
      <c r="D114" s="1"/>
      <c r="E114" s="1"/>
      <c r="G114" s="10">
        <v>39448</v>
      </c>
      <c r="H114" s="11">
        <v>27756</v>
      </c>
      <c r="I114" s="11" t="s">
        <v>16</v>
      </c>
      <c r="M114" s="3">
        <v>41640</v>
      </c>
      <c r="N114" s="5"/>
      <c r="O114" s="5">
        <v>4989</v>
      </c>
      <c r="P114" s="5">
        <v>13950</v>
      </c>
      <c r="Q114" s="5">
        <v>1759</v>
      </c>
      <c r="R114" s="5"/>
      <c r="S114" s="5">
        <v>20698</v>
      </c>
      <c r="W114" s="3">
        <v>41640</v>
      </c>
      <c r="X114" s="5">
        <v>4753</v>
      </c>
      <c r="Y114" s="5">
        <v>13950</v>
      </c>
      <c r="Z114" s="5">
        <v>1995</v>
      </c>
      <c r="AA114" s="5">
        <v>20698</v>
      </c>
      <c r="AE114" s="3"/>
    </row>
    <row r="115" spans="1:31" x14ac:dyDescent="0.25">
      <c r="A115" s="10">
        <v>39995</v>
      </c>
      <c r="B115" s="11">
        <v>7562</v>
      </c>
      <c r="C115" s="11" t="s">
        <v>2</v>
      </c>
      <c r="D115" s="1"/>
      <c r="E115" s="1"/>
      <c r="G115" s="10">
        <v>39448</v>
      </c>
      <c r="H115" s="11">
        <v>1162</v>
      </c>
      <c r="I115" s="11" t="s">
        <v>14</v>
      </c>
      <c r="M115" s="3">
        <v>41671</v>
      </c>
      <c r="N115" s="5"/>
      <c r="O115" s="5">
        <v>4958</v>
      </c>
      <c r="P115" s="5">
        <v>14928</v>
      </c>
      <c r="Q115" s="5">
        <v>1860</v>
      </c>
      <c r="R115" s="5"/>
      <c r="S115" s="5">
        <v>21746</v>
      </c>
      <c r="W115" s="3">
        <v>41671</v>
      </c>
      <c r="X115" s="5">
        <v>4811</v>
      </c>
      <c r="Y115" s="5">
        <v>14928</v>
      </c>
      <c r="Z115" s="5">
        <v>2007</v>
      </c>
      <c r="AA115" s="5">
        <v>21746</v>
      </c>
      <c r="AE115" s="3"/>
    </row>
    <row r="116" spans="1:31" x14ac:dyDescent="0.25">
      <c r="A116" s="10">
        <v>39995</v>
      </c>
      <c r="B116" s="11">
        <v>4679</v>
      </c>
      <c r="C116" s="11" t="s">
        <v>4</v>
      </c>
      <c r="D116" s="1"/>
      <c r="E116" s="1"/>
      <c r="G116" s="10">
        <v>39479</v>
      </c>
      <c r="H116" s="11">
        <v>10423</v>
      </c>
      <c r="I116" s="11" t="s">
        <v>15</v>
      </c>
      <c r="M116" s="3">
        <v>41699</v>
      </c>
      <c r="N116" s="5"/>
      <c r="O116" s="5">
        <v>4086</v>
      </c>
      <c r="P116" s="5">
        <v>9742</v>
      </c>
      <c r="Q116" s="5">
        <v>1160</v>
      </c>
      <c r="R116" s="5"/>
      <c r="S116" s="5">
        <v>14988</v>
      </c>
      <c r="W116" s="3">
        <v>41699</v>
      </c>
      <c r="X116" s="5">
        <v>3966</v>
      </c>
      <c r="Y116" s="5">
        <v>9741</v>
      </c>
      <c r="Z116" s="5">
        <v>1281</v>
      </c>
      <c r="AA116" s="5">
        <v>14988</v>
      </c>
      <c r="AE116" s="3"/>
    </row>
    <row r="117" spans="1:31" x14ac:dyDescent="0.25">
      <c r="A117" s="10">
        <v>40026</v>
      </c>
      <c r="B117" s="11">
        <v>8903</v>
      </c>
      <c r="C117" s="11" t="s">
        <v>2</v>
      </c>
      <c r="D117" s="1"/>
      <c r="E117" s="1"/>
      <c r="G117" s="10">
        <v>39479</v>
      </c>
      <c r="H117" s="11">
        <v>26108</v>
      </c>
      <c r="I117" s="11" t="s">
        <v>16</v>
      </c>
      <c r="M117" s="3">
        <v>41730</v>
      </c>
      <c r="N117" s="5"/>
      <c r="O117" s="5"/>
      <c r="P117" s="5">
        <v>11240</v>
      </c>
      <c r="Q117" s="5"/>
      <c r="R117" s="5">
        <v>4556</v>
      </c>
      <c r="S117" s="5">
        <v>15796</v>
      </c>
      <c r="W117" s="3">
        <v>41730</v>
      </c>
      <c r="X117" s="5">
        <v>3315</v>
      </c>
      <c r="Y117" s="5">
        <v>11238</v>
      </c>
      <c r="Z117" s="5">
        <v>1243</v>
      </c>
      <c r="AA117" s="5">
        <v>15796</v>
      </c>
      <c r="AE117" s="3"/>
    </row>
    <row r="118" spans="1:31" x14ac:dyDescent="0.25">
      <c r="A118" s="10">
        <v>40026</v>
      </c>
      <c r="B118" s="11">
        <v>15370</v>
      </c>
      <c r="C118" s="11" t="s">
        <v>5</v>
      </c>
      <c r="D118" s="1"/>
      <c r="E118" s="1"/>
      <c r="G118" s="10">
        <v>39479</v>
      </c>
      <c r="H118" s="11">
        <v>1383</v>
      </c>
      <c r="I118" s="11" t="s">
        <v>14</v>
      </c>
      <c r="M118" s="3">
        <v>41760</v>
      </c>
      <c r="N118" s="5"/>
      <c r="O118" s="5"/>
      <c r="P118" s="5">
        <v>15803</v>
      </c>
      <c r="Q118" s="5"/>
      <c r="R118" s="5">
        <v>5179</v>
      </c>
      <c r="S118" s="5">
        <v>20982</v>
      </c>
      <c r="W118" s="3">
        <v>41760</v>
      </c>
      <c r="X118" s="5">
        <v>3393</v>
      </c>
      <c r="Y118" s="5">
        <v>15797</v>
      </c>
      <c r="Z118" s="5">
        <v>1792</v>
      </c>
      <c r="AA118" s="5">
        <v>20982</v>
      </c>
      <c r="AE118" s="3"/>
    </row>
    <row r="119" spans="1:31" x14ac:dyDescent="0.25">
      <c r="A119" s="10">
        <v>40026</v>
      </c>
      <c r="B119" s="11">
        <v>4362</v>
      </c>
      <c r="C119" s="11" t="s">
        <v>4</v>
      </c>
      <c r="D119" s="1"/>
      <c r="E119" s="1"/>
      <c r="G119" s="10">
        <v>39508</v>
      </c>
      <c r="H119" s="11">
        <v>9972</v>
      </c>
      <c r="I119" s="11" t="s">
        <v>15</v>
      </c>
      <c r="M119" s="3">
        <v>41791</v>
      </c>
      <c r="N119" s="5"/>
      <c r="O119" s="5"/>
      <c r="P119" s="5">
        <v>17744</v>
      </c>
      <c r="Q119" s="5"/>
      <c r="R119" s="5">
        <v>4876</v>
      </c>
      <c r="S119" s="5">
        <v>22620</v>
      </c>
      <c r="W119" s="3">
        <v>41791</v>
      </c>
      <c r="X119" s="5">
        <v>3249</v>
      </c>
      <c r="Y119" s="5">
        <v>17736</v>
      </c>
      <c r="Z119" s="5">
        <v>1635</v>
      </c>
      <c r="AA119" s="5">
        <v>22620</v>
      </c>
      <c r="AE119" s="3"/>
    </row>
    <row r="120" spans="1:31" x14ac:dyDescent="0.25">
      <c r="A120" s="10">
        <v>40057</v>
      </c>
      <c r="B120" s="11">
        <v>2911</v>
      </c>
      <c r="C120" s="11" t="s">
        <v>4</v>
      </c>
      <c r="D120" s="1"/>
      <c r="E120" s="1"/>
      <c r="G120" s="10">
        <v>39508</v>
      </c>
      <c r="H120" s="11">
        <v>19872</v>
      </c>
      <c r="I120" s="11" t="s">
        <v>16</v>
      </c>
      <c r="M120" s="3">
        <v>41821</v>
      </c>
      <c r="N120" s="5"/>
      <c r="O120" s="5"/>
      <c r="P120" s="5">
        <v>20546</v>
      </c>
      <c r="Q120" s="5"/>
      <c r="R120" s="5">
        <v>4405</v>
      </c>
      <c r="S120" s="5">
        <v>24951</v>
      </c>
      <c r="W120" s="3">
        <v>41821</v>
      </c>
      <c r="X120" s="5">
        <v>2784</v>
      </c>
      <c r="Y120" s="5">
        <v>20538</v>
      </c>
      <c r="Z120" s="5">
        <v>1629</v>
      </c>
      <c r="AA120" s="5">
        <v>24951</v>
      </c>
      <c r="AE120" s="3"/>
    </row>
    <row r="121" spans="1:31" x14ac:dyDescent="0.25">
      <c r="A121" s="10">
        <v>40057</v>
      </c>
      <c r="B121" s="11">
        <v>9675</v>
      </c>
      <c r="C121" s="11" t="s">
        <v>2</v>
      </c>
      <c r="D121" s="1"/>
      <c r="E121" s="1"/>
      <c r="G121" s="10">
        <v>39508</v>
      </c>
      <c r="H121" s="11">
        <v>1156</v>
      </c>
      <c r="I121" s="11" t="s">
        <v>14</v>
      </c>
      <c r="M121" s="3">
        <v>41852</v>
      </c>
      <c r="N121" s="5"/>
      <c r="O121" s="5"/>
      <c r="P121" s="5">
        <v>24796</v>
      </c>
      <c r="Q121" s="5"/>
      <c r="R121" s="5">
        <v>4762</v>
      </c>
      <c r="S121" s="5">
        <v>29558</v>
      </c>
      <c r="W121" s="3">
        <v>41852</v>
      </c>
      <c r="X121" s="5">
        <v>2417</v>
      </c>
      <c r="Y121" s="5">
        <v>24775</v>
      </c>
      <c r="Z121" s="5">
        <v>2366</v>
      </c>
      <c r="AA121" s="5">
        <v>29558</v>
      </c>
      <c r="AE121" s="3"/>
    </row>
    <row r="122" spans="1:31" x14ac:dyDescent="0.25">
      <c r="A122" s="10">
        <v>40057</v>
      </c>
      <c r="B122" s="11">
        <v>14029</v>
      </c>
      <c r="C122" s="11" t="s">
        <v>5</v>
      </c>
      <c r="D122" s="1"/>
      <c r="E122" s="1"/>
      <c r="G122" s="10">
        <v>39539</v>
      </c>
      <c r="H122" s="11">
        <v>14626</v>
      </c>
      <c r="I122" s="11" t="s">
        <v>15</v>
      </c>
      <c r="M122" s="3">
        <v>41883</v>
      </c>
      <c r="N122" s="5"/>
      <c r="O122" s="5"/>
      <c r="P122" s="5">
        <v>24555</v>
      </c>
      <c r="Q122" s="5"/>
      <c r="R122" s="5">
        <v>4636</v>
      </c>
      <c r="S122" s="5">
        <v>29191</v>
      </c>
      <c r="W122" s="3">
        <v>41883</v>
      </c>
      <c r="X122" s="5">
        <v>2312</v>
      </c>
      <c r="Y122" s="5">
        <v>24541</v>
      </c>
      <c r="Z122" s="5">
        <v>2338</v>
      </c>
      <c r="AA122" s="5">
        <v>29191</v>
      </c>
      <c r="AE122" s="3"/>
    </row>
    <row r="123" spans="1:31" x14ac:dyDescent="0.25">
      <c r="A123" s="10">
        <v>40087</v>
      </c>
      <c r="B123" s="11">
        <v>7833</v>
      </c>
      <c r="C123" s="11" t="s">
        <v>2</v>
      </c>
      <c r="D123" s="1"/>
      <c r="E123" s="1"/>
      <c r="G123" s="10">
        <v>39539</v>
      </c>
      <c r="H123" s="11">
        <v>20971</v>
      </c>
      <c r="I123" s="11" t="s">
        <v>16</v>
      </c>
      <c r="M123" s="3">
        <v>41913</v>
      </c>
      <c r="N123" s="5"/>
      <c r="O123" s="5"/>
      <c r="P123" s="5">
        <v>22824</v>
      </c>
      <c r="Q123" s="5"/>
      <c r="R123" s="5">
        <v>4896</v>
      </c>
      <c r="S123" s="5">
        <v>27720</v>
      </c>
      <c r="W123" s="3">
        <v>41913</v>
      </c>
      <c r="X123" s="5">
        <v>2380</v>
      </c>
      <c r="Y123" s="5">
        <v>22811</v>
      </c>
      <c r="Z123" s="5">
        <v>2529</v>
      </c>
      <c r="AA123" s="5">
        <v>27720</v>
      </c>
      <c r="AE123" s="3"/>
    </row>
    <row r="124" spans="1:31" x14ac:dyDescent="0.25">
      <c r="A124" s="10">
        <v>40087</v>
      </c>
      <c r="B124" s="11">
        <v>9135</v>
      </c>
      <c r="C124" s="11" t="s">
        <v>5</v>
      </c>
      <c r="D124" s="1"/>
      <c r="E124" s="1"/>
      <c r="G124" s="10">
        <v>39539</v>
      </c>
      <c r="H124" s="11">
        <v>1528</v>
      </c>
      <c r="I124" s="11" t="s">
        <v>14</v>
      </c>
      <c r="M124" s="3">
        <v>41944</v>
      </c>
      <c r="N124" s="5"/>
      <c r="O124" s="5"/>
      <c r="P124" s="5">
        <v>20843</v>
      </c>
      <c r="Q124" s="5"/>
      <c r="R124" s="5">
        <v>5167</v>
      </c>
      <c r="S124" s="5">
        <v>26010</v>
      </c>
      <c r="W124" s="3">
        <v>41944</v>
      </c>
      <c r="X124" s="5">
        <v>2381</v>
      </c>
      <c r="Y124" s="5">
        <v>20827</v>
      </c>
      <c r="Z124" s="5">
        <v>2802</v>
      </c>
      <c r="AA124" s="5">
        <v>26010</v>
      </c>
      <c r="AE124" s="3"/>
    </row>
    <row r="125" spans="1:31" x14ac:dyDescent="0.25">
      <c r="A125" s="10">
        <v>40087</v>
      </c>
      <c r="B125" s="11">
        <v>1784</v>
      </c>
      <c r="C125" s="11" t="s">
        <v>4</v>
      </c>
      <c r="D125" s="1"/>
      <c r="E125" s="1"/>
      <c r="G125" s="10">
        <v>39569</v>
      </c>
      <c r="H125" s="11">
        <v>11177</v>
      </c>
      <c r="I125" s="11" t="s">
        <v>15</v>
      </c>
      <c r="M125" s="3">
        <v>41974</v>
      </c>
      <c r="N125" s="5"/>
      <c r="O125" s="5"/>
      <c r="P125" s="5">
        <v>18453</v>
      </c>
      <c r="Q125" s="5"/>
      <c r="R125" s="5">
        <v>5510</v>
      </c>
      <c r="S125" s="5">
        <v>23963</v>
      </c>
      <c r="W125" s="3">
        <v>41974</v>
      </c>
      <c r="X125" s="5">
        <v>2277</v>
      </c>
      <c r="Y125" s="5">
        <v>18426</v>
      </c>
      <c r="Z125" s="5">
        <v>3260</v>
      </c>
      <c r="AA125" s="5">
        <v>23963</v>
      </c>
      <c r="AE125" s="3"/>
    </row>
    <row r="126" spans="1:31" x14ac:dyDescent="0.25">
      <c r="A126" s="10">
        <v>40118</v>
      </c>
      <c r="B126" s="11">
        <v>6784</v>
      </c>
      <c r="C126" s="11" t="s">
        <v>5</v>
      </c>
      <c r="D126" s="1"/>
      <c r="E126" s="1"/>
      <c r="G126" s="10">
        <v>39569</v>
      </c>
      <c r="H126" s="11">
        <v>22979</v>
      </c>
      <c r="I126" s="11" t="s">
        <v>16</v>
      </c>
      <c r="M126" s="3">
        <v>42005</v>
      </c>
      <c r="N126" s="5"/>
      <c r="O126" s="5"/>
      <c r="P126" s="5">
        <v>15691</v>
      </c>
      <c r="Q126" s="5"/>
      <c r="R126" s="5">
        <v>6131</v>
      </c>
      <c r="S126" s="5">
        <v>21822</v>
      </c>
      <c r="W126" s="3">
        <v>42005</v>
      </c>
      <c r="X126" s="5">
        <v>1976</v>
      </c>
      <c r="Y126" s="5">
        <v>15661</v>
      </c>
      <c r="Z126" s="5">
        <v>4185</v>
      </c>
      <c r="AA126" s="5">
        <v>21822</v>
      </c>
      <c r="AE126" s="3"/>
    </row>
    <row r="127" spans="1:31" x14ac:dyDescent="0.25">
      <c r="A127" s="10">
        <v>40118</v>
      </c>
      <c r="B127" s="11">
        <v>1392</v>
      </c>
      <c r="C127" s="11" t="s">
        <v>4</v>
      </c>
      <c r="D127" s="1"/>
      <c r="E127" s="1"/>
      <c r="G127" s="10">
        <v>39569</v>
      </c>
      <c r="H127" s="11">
        <v>1326</v>
      </c>
      <c r="I127" s="11" t="s">
        <v>14</v>
      </c>
      <c r="M127" s="3">
        <v>42036</v>
      </c>
      <c r="N127" s="5"/>
      <c r="O127" s="5"/>
      <c r="P127" s="5">
        <v>16560</v>
      </c>
      <c r="Q127" s="5"/>
      <c r="R127" s="5">
        <v>5534</v>
      </c>
      <c r="S127" s="5">
        <v>22094</v>
      </c>
      <c r="W127" s="3">
        <v>42036</v>
      </c>
      <c r="X127" s="5">
        <v>2128</v>
      </c>
      <c r="Y127" s="5">
        <v>16499</v>
      </c>
      <c r="Z127" s="5">
        <v>3467</v>
      </c>
      <c r="AA127" s="5">
        <v>22094</v>
      </c>
      <c r="AE127" s="3"/>
    </row>
    <row r="128" spans="1:31" x14ac:dyDescent="0.25">
      <c r="A128" s="10">
        <v>40118</v>
      </c>
      <c r="B128" s="11">
        <v>7262</v>
      </c>
      <c r="C128" s="11" t="s">
        <v>2</v>
      </c>
      <c r="D128" s="1"/>
      <c r="E128" s="1"/>
      <c r="G128" s="10">
        <v>39600</v>
      </c>
      <c r="H128" s="11">
        <v>8565</v>
      </c>
      <c r="I128" s="11" t="s">
        <v>15</v>
      </c>
      <c r="M128" s="3">
        <v>42064</v>
      </c>
      <c r="N128" s="5"/>
      <c r="O128" s="5"/>
      <c r="P128" s="5">
        <v>12222</v>
      </c>
      <c r="Q128" s="5"/>
      <c r="R128" s="5">
        <v>6525</v>
      </c>
      <c r="S128" s="5">
        <v>18747</v>
      </c>
      <c r="W128" s="3">
        <v>42064</v>
      </c>
      <c r="X128" s="5">
        <v>1852</v>
      </c>
      <c r="Y128" s="5">
        <v>12178</v>
      </c>
      <c r="Z128" s="5">
        <v>4717</v>
      </c>
      <c r="AA128" s="5">
        <v>18747</v>
      </c>
      <c r="AE128" s="3"/>
    </row>
    <row r="129" spans="1:31" x14ac:dyDescent="0.25">
      <c r="A129" s="10">
        <v>40148</v>
      </c>
      <c r="B129" s="11">
        <v>8893</v>
      </c>
      <c r="C129" s="11" t="s">
        <v>5</v>
      </c>
      <c r="D129" s="1"/>
      <c r="E129" s="1"/>
      <c r="G129" s="10">
        <v>39600</v>
      </c>
      <c r="H129" s="11">
        <v>19421</v>
      </c>
      <c r="I129" s="11" t="s">
        <v>16</v>
      </c>
      <c r="M129" s="3">
        <v>42095</v>
      </c>
      <c r="N129" s="5"/>
      <c r="O129" s="5"/>
      <c r="P129" s="5">
        <v>13587</v>
      </c>
      <c r="Q129" s="5"/>
      <c r="R129" s="5">
        <v>8494</v>
      </c>
      <c r="S129" s="5">
        <v>22081</v>
      </c>
      <c r="W129" s="3">
        <v>42095</v>
      </c>
      <c r="X129" s="5">
        <v>1910</v>
      </c>
      <c r="Y129" s="5">
        <v>13532</v>
      </c>
      <c r="Z129" s="5">
        <v>6639</v>
      </c>
      <c r="AA129" s="5">
        <v>22081</v>
      </c>
      <c r="AE129" s="3"/>
    </row>
    <row r="130" spans="1:31" x14ac:dyDescent="0.25">
      <c r="A130" s="10">
        <v>40148</v>
      </c>
      <c r="B130" s="11">
        <v>1726</v>
      </c>
      <c r="C130" s="11" t="s">
        <v>4</v>
      </c>
      <c r="D130" s="1"/>
      <c r="E130" s="1"/>
      <c r="G130" s="10">
        <v>39600</v>
      </c>
      <c r="H130" s="11">
        <v>1116</v>
      </c>
      <c r="I130" s="11" t="s">
        <v>14</v>
      </c>
      <c r="M130" s="3">
        <v>42125</v>
      </c>
      <c r="N130" s="5"/>
      <c r="O130" s="5"/>
      <c r="P130" s="5">
        <v>19832</v>
      </c>
      <c r="Q130" s="5"/>
      <c r="R130" s="5">
        <v>10156</v>
      </c>
      <c r="S130" s="5">
        <v>29988</v>
      </c>
      <c r="W130" s="3">
        <v>42125</v>
      </c>
      <c r="X130" s="5">
        <v>2171</v>
      </c>
      <c r="Y130" s="5">
        <v>19773</v>
      </c>
      <c r="Z130" s="5">
        <v>8044</v>
      </c>
      <c r="AA130" s="5">
        <v>29988</v>
      </c>
      <c r="AE130" s="3"/>
    </row>
    <row r="131" spans="1:31" x14ac:dyDescent="0.25">
      <c r="A131" s="10">
        <v>40148</v>
      </c>
      <c r="B131" s="11">
        <v>7497</v>
      </c>
      <c r="C131" s="11" t="s">
        <v>2</v>
      </c>
      <c r="D131" s="1"/>
      <c r="E131" s="1"/>
      <c r="G131" s="10">
        <v>39630</v>
      </c>
      <c r="H131" s="11">
        <v>5138</v>
      </c>
      <c r="I131" s="11" t="s">
        <v>15</v>
      </c>
      <c r="M131" s="3">
        <v>42156</v>
      </c>
      <c r="N131" s="5"/>
      <c r="O131" s="5"/>
      <c r="P131" s="5">
        <v>21996</v>
      </c>
      <c r="Q131" s="5"/>
      <c r="R131" s="5">
        <v>7438</v>
      </c>
      <c r="S131" s="5">
        <v>29434</v>
      </c>
      <c r="W131" s="3">
        <v>42156</v>
      </c>
      <c r="X131" s="5">
        <v>2004</v>
      </c>
      <c r="Y131" s="5">
        <v>21942</v>
      </c>
      <c r="Z131" s="5">
        <v>5488</v>
      </c>
      <c r="AA131" s="5">
        <v>29434</v>
      </c>
      <c r="AE131" s="3"/>
    </row>
    <row r="132" spans="1:31" x14ac:dyDescent="0.25">
      <c r="A132" s="10">
        <v>40179</v>
      </c>
      <c r="B132" s="11">
        <v>7168</v>
      </c>
      <c r="C132" s="11" t="s">
        <v>2</v>
      </c>
      <c r="D132" s="1"/>
      <c r="E132" s="1"/>
      <c r="G132" s="10">
        <v>39630</v>
      </c>
      <c r="H132" s="11">
        <v>17820</v>
      </c>
      <c r="I132" s="11" t="s">
        <v>16</v>
      </c>
      <c r="M132" s="3">
        <v>42186</v>
      </c>
      <c r="N132" s="5"/>
      <c r="O132" s="5"/>
      <c r="P132" s="5">
        <v>24508</v>
      </c>
      <c r="Q132" s="5"/>
      <c r="R132" s="5">
        <v>6336</v>
      </c>
      <c r="S132" s="5">
        <v>30844</v>
      </c>
      <c r="W132" s="3">
        <v>42186</v>
      </c>
      <c r="X132" s="5">
        <v>1721</v>
      </c>
      <c r="Y132" s="5">
        <v>24432</v>
      </c>
      <c r="Z132" s="5">
        <v>4691</v>
      </c>
      <c r="AA132" s="5">
        <v>30844</v>
      </c>
      <c r="AE132" s="3"/>
    </row>
    <row r="133" spans="1:31" x14ac:dyDescent="0.25">
      <c r="A133" s="10">
        <v>40179</v>
      </c>
      <c r="B133" s="11">
        <v>11371</v>
      </c>
      <c r="C133" s="11" t="s">
        <v>5</v>
      </c>
      <c r="D133" s="1"/>
      <c r="E133" s="1"/>
      <c r="G133" s="10">
        <v>39630</v>
      </c>
      <c r="H133" s="11">
        <v>697</v>
      </c>
      <c r="I133" s="11" t="s">
        <v>14</v>
      </c>
      <c r="M133" s="3">
        <v>42217</v>
      </c>
      <c r="N133" s="5"/>
      <c r="O133" s="5"/>
      <c r="P133" s="5">
        <v>26291</v>
      </c>
      <c r="Q133" s="5"/>
      <c r="R133" s="5">
        <v>5471</v>
      </c>
      <c r="S133" s="5">
        <v>31762</v>
      </c>
      <c r="W133" s="3">
        <v>42217</v>
      </c>
      <c r="X133" s="5">
        <v>1641</v>
      </c>
      <c r="Y133" s="5">
        <v>26221</v>
      </c>
      <c r="Z133" s="5">
        <v>3900</v>
      </c>
      <c r="AA133" s="5">
        <v>31762</v>
      </c>
      <c r="AE133" s="3"/>
    </row>
    <row r="134" spans="1:31" x14ac:dyDescent="0.25">
      <c r="A134" s="10">
        <v>40179</v>
      </c>
      <c r="B134" s="11">
        <v>1977</v>
      </c>
      <c r="C134" s="11" t="s">
        <v>4</v>
      </c>
      <c r="D134" s="1"/>
      <c r="E134" s="1"/>
      <c r="G134" s="10">
        <v>39661</v>
      </c>
      <c r="H134" s="11">
        <v>3974</v>
      </c>
      <c r="I134" s="11" t="s">
        <v>15</v>
      </c>
      <c r="M134" s="3">
        <v>42248</v>
      </c>
      <c r="N134" s="5"/>
      <c r="O134" s="5"/>
      <c r="P134" s="5">
        <v>25913</v>
      </c>
      <c r="Q134" s="5"/>
      <c r="R134" s="5">
        <v>4271</v>
      </c>
      <c r="S134" s="5">
        <v>30184</v>
      </c>
      <c r="W134" s="3">
        <v>42248</v>
      </c>
      <c r="X134" s="5">
        <v>1471</v>
      </c>
      <c r="Y134" s="5">
        <v>25851</v>
      </c>
      <c r="Z134" s="5">
        <v>2862</v>
      </c>
      <c r="AA134" s="5">
        <v>30184</v>
      </c>
      <c r="AE134" s="3"/>
    </row>
    <row r="135" spans="1:31" x14ac:dyDescent="0.25">
      <c r="A135" s="10">
        <v>40210</v>
      </c>
      <c r="B135" s="11">
        <v>4904</v>
      </c>
      <c r="C135" s="11" t="s">
        <v>2</v>
      </c>
      <c r="D135" s="1"/>
      <c r="E135" s="1"/>
      <c r="G135" s="10">
        <v>39661</v>
      </c>
      <c r="H135" s="11">
        <v>18820</v>
      </c>
      <c r="I135" s="11" t="s">
        <v>16</v>
      </c>
      <c r="M135" s="3">
        <v>42278</v>
      </c>
      <c r="N135" s="5"/>
      <c r="O135" s="5"/>
      <c r="P135" s="5">
        <v>25040</v>
      </c>
      <c r="Q135" s="5"/>
      <c r="R135" s="5">
        <v>4490</v>
      </c>
      <c r="S135" s="5">
        <v>29530</v>
      </c>
      <c r="W135" s="3">
        <v>42278</v>
      </c>
      <c r="X135" s="5">
        <v>1498</v>
      </c>
      <c r="Y135" s="5">
        <v>24951</v>
      </c>
      <c r="Z135" s="5">
        <v>3081</v>
      </c>
      <c r="AA135" s="5">
        <v>29530</v>
      </c>
      <c r="AE135" s="3"/>
    </row>
    <row r="136" spans="1:31" x14ac:dyDescent="0.25">
      <c r="A136" s="10">
        <v>40210</v>
      </c>
      <c r="B136" s="11">
        <v>13463</v>
      </c>
      <c r="C136" s="11" t="s">
        <v>5</v>
      </c>
      <c r="D136" s="1"/>
      <c r="E136" s="1"/>
      <c r="G136" s="10">
        <v>39661</v>
      </c>
      <c r="H136" s="11">
        <v>535</v>
      </c>
      <c r="I136" s="11" t="s">
        <v>14</v>
      </c>
      <c r="M136" s="3">
        <v>42309</v>
      </c>
      <c r="N136" s="5"/>
      <c r="O136" s="5"/>
      <c r="P136" s="5">
        <v>22900</v>
      </c>
      <c r="Q136" s="5"/>
      <c r="R136" s="5">
        <v>4669</v>
      </c>
      <c r="S136" s="5">
        <v>27569</v>
      </c>
      <c r="W136" s="3">
        <v>42309</v>
      </c>
      <c r="X136" s="5">
        <v>1459</v>
      </c>
      <c r="Y136" s="5">
        <v>22821</v>
      </c>
      <c r="Z136" s="5">
        <v>3289</v>
      </c>
      <c r="AA136" s="5">
        <v>27569</v>
      </c>
      <c r="AE136" s="3"/>
    </row>
    <row r="137" spans="1:31" x14ac:dyDescent="0.25">
      <c r="A137" s="10">
        <v>40210</v>
      </c>
      <c r="B137" s="11">
        <v>2012</v>
      </c>
      <c r="C137" s="11" t="s">
        <v>4</v>
      </c>
      <c r="D137" s="1"/>
      <c r="E137" s="1"/>
      <c r="G137" s="10">
        <v>39692</v>
      </c>
      <c r="H137" s="11">
        <v>2381</v>
      </c>
      <c r="I137" s="11" t="s">
        <v>15</v>
      </c>
      <c r="M137" s="3">
        <v>42339</v>
      </c>
      <c r="N137" s="5"/>
      <c r="O137" s="5"/>
      <c r="P137" s="5">
        <v>21217</v>
      </c>
      <c r="Q137" s="5"/>
      <c r="R137" s="5">
        <v>5078</v>
      </c>
      <c r="S137" s="5">
        <v>26295</v>
      </c>
      <c r="W137" s="3">
        <v>42339</v>
      </c>
      <c r="X137" s="5">
        <v>1372</v>
      </c>
      <c r="Y137" s="5">
        <v>21108</v>
      </c>
      <c r="Z137" s="5">
        <v>3815</v>
      </c>
      <c r="AA137" s="5">
        <v>26295</v>
      </c>
      <c r="AE137" s="3"/>
    </row>
    <row r="138" spans="1:31" x14ac:dyDescent="0.25">
      <c r="A138" s="10">
        <v>40238</v>
      </c>
      <c r="B138" s="11">
        <v>3313</v>
      </c>
      <c r="C138" s="11" t="s">
        <v>2</v>
      </c>
      <c r="D138" s="1"/>
      <c r="E138" s="1"/>
      <c r="G138" s="10">
        <v>39692</v>
      </c>
      <c r="H138" s="11">
        <v>15153</v>
      </c>
      <c r="I138" s="11" t="s">
        <v>16</v>
      </c>
      <c r="M138" s="3">
        <v>42370</v>
      </c>
      <c r="N138" s="5"/>
      <c r="O138" s="5"/>
      <c r="P138" s="5">
        <v>15768</v>
      </c>
      <c r="Q138" s="5"/>
      <c r="R138" s="5">
        <v>4413</v>
      </c>
      <c r="S138" s="5">
        <v>20181</v>
      </c>
      <c r="W138" s="3">
        <v>42370</v>
      </c>
      <c r="X138" s="5">
        <v>1041</v>
      </c>
      <c r="Y138" s="5">
        <v>15688</v>
      </c>
      <c r="Z138" s="5">
        <v>3452</v>
      </c>
      <c r="AA138" s="5">
        <v>20181</v>
      </c>
      <c r="AE138" s="3"/>
    </row>
    <row r="139" spans="1:31" x14ac:dyDescent="0.25">
      <c r="A139" s="10">
        <v>40238</v>
      </c>
      <c r="B139" s="11">
        <v>12639</v>
      </c>
      <c r="C139" s="11" t="s">
        <v>5</v>
      </c>
      <c r="D139" s="1"/>
      <c r="E139" s="1"/>
      <c r="G139" s="10">
        <v>39692</v>
      </c>
      <c r="H139" s="11">
        <v>333</v>
      </c>
      <c r="I139" s="11" t="s">
        <v>14</v>
      </c>
      <c r="M139" s="3">
        <v>42401</v>
      </c>
      <c r="N139" s="5"/>
      <c r="O139" s="5"/>
      <c r="P139" s="5">
        <v>10510</v>
      </c>
      <c r="Q139" s="5"/>
      <c r="R139" s="5">
        <v>2702</v>
      </c>
      <c r="S139" s="5">
        <v>13212</v>
      </c>
      <c r="W139" s="3">
        <v>42401</v>
      </c>
      <c r="X139" s="5">
        <v>780</v>
      </c>
      <c r="Y139" s="5">
        <v>10453</v>
      </c>
      <c r="Z139" s="5">
        <v>1979</v>
      </c>
      <c r="AA139" s="5">
        <v>13212</v>
      </c>
      <c r="AE139" s="3"/>
    </row>
    <row r="140" spans="1:31" x14ac:dyDescent="0.25">
      <c r="A140" s="10">
        <v>40238</v>
      </c>
      <c r="B140" s="11">
        <v>1756</v>
      </c>
      <c r="C140" s="11" t="s">
        <v>4</v>
      </c>
      <c r="D140" s="1"/>
      <c r="E140" s="1"/>
      <c r="G140" s="10">
        <v>39722</v>
      </c>
      <c r="H140" s="11">
        <v>1448</v>
      </c>
      <c r="I140" s="11" t="s">
        <v>15</v>
      </c>
      <c r="M140" s="3">
        <v>42430</v>
      </c>
      <c r="N140" s="5"/>
      <c r="O140" s="5"/>
      <c r="P140" s="5">
        <v>422</v>
      </c>
      <c r="Q140" s="5"/>
      <c r="R140" s="5">
        <v>191</v>
      </c>
      <c r="S140" s="5">
        <v>613</v>
      </c>
      <c r="W140" s="3">
        <v>42430</v>
      </c>
      <c r="X140" s="5">
        <v>77</v>
      </c>
      <c r="Y140" s="5">
        <v>422</v>
      </c>
      <c r="Z140" s="5">
        <v>114</v>
      </c>
      <c r="AA140" s="5">
        <v>613</v>
      </c>
      <c r="AE140" s="3"/>
    </row>
    <row r="141" spans="1:31" x14ac:dyDescent="0.25">
      <c r="A141" s="10">
        <v>40269</v>
      </c>
      <c r="B141" s="11">
        <v>1256</v>
      </c>
      <c r="C141" s="11" t="s">
        <v>4</v>
      </c>
      <c r="D141" s="1"/>
      <c r="E141" s="1"/>
      <c r="G141" s="10">
        <v>39722</v>
      </c>
      <c r="H141" s="11">
        <v>10285</v>
      </c>
      <c r="I141" s="11" t="s">
        <v>16</v>
      </c>
      <c r="M141" s="3" t="s">
        <v>9</v>
      </c>
      <c r="N141" s="5">
        <v>156963</v>
      </c>
      <c r="O141" s="5">
        <v>650389</v>
      </c>
      <c r="P141" s="5">
        <v>1787565</v>
      </c>
      <c r="Q141" s="5">
        <v>161482</v>
      </c>
      <c r="R141" s="5">
        <v>125886</v>
      </c>
      <c r="S141" s="5">
        <v>2882285</v>
      </c>
      <c r="W141" s="3" t="s">
        <v>9</v>
      </c>
      <c r="X141" s="5">
        <v>742202</v>
      </c>
      <c r="Y141" s="5">
        <v>1663568</v>
      </c>
      <c r="Z141" s="5">
        <v>476515</v>
      </c>
      <c r="AA141" s="5">
        <v>2882285</v>
      </c>
    </row>
    <row r="142" spans="1:31" x14ac:dyDescent="0.25">
      <c r="A142" s="10">
        <v>40269</v>
      </c>
      <c r="B142" s="11">
        <v>9607</v>
      </c>
      <c r="C142" s="11" t="s">
        <v>5</v>
      </c>
      <c r="D142" s="1"/>
      <c r="E142" s="1"/>
      <c r="G142" s="10">
        <v>39722</v>
      </c>
      <c r="H142" s="11">
        <v>226</v>
      </c>
      <c r="I142" s="11" t="s">
        <v>14</v>
      </c>
    </row>
    <row r="143" spans="1:31" x14ac:dyDescent="0.25">
      <c r="A143" s="10">
        <v>40269</v>
      </c>
      <c r="B143" s="11">
        <v>3693</v>
      </c>
      <c r="C143" s="11" t="s">
        <v>2</v>
      </c>
      <c r="D143" s="1"/>
      <c r="E143" s="1"/>
      <c r="G143" s="10">
        <v>39753</v>
      </c>
      <c r="H143" s="11">
        <v>278</v>
      </c>
      <c r="I143" s="11" t="s">
        <v>14</v>
      </c>
    </row>
    <row r="144" spans="1:31" x14ac:dyDescent="0.25">
      <c r="A144" s="10">
        <v>40299</v>
      </c>
      <c r="B144" s="11">
        <v>1320</v>
      </c>
      <c r="C144" s="11" t="s">
        <v>4</v>
      </c>
      <c r="D144" s="1"/>
      <c r="E144" s="1"/>
      <c r="G144" s="10">
        <v>39753</v>
      </c>
      <c r="H144" s="11">
        <v>10453</v>
      </c>
      <c r="I144" s="11" t="s">
        <v>16</v>
      </c>
    </row>
    <row r="145" spans="1:9" x14ac:dyDescent="0.25">
      <c r="A145" s="10">
        <v>40299</v>
      </c>
      <c r="B145" s="11">
        <v>11233</v>
      </c>
      <c r="C145" s="11" t="s">
        <v>5</v>
      </c>
      <c r="D145" s="1"/>
      <c r="E145" s="1"/>
      <c r="G145" s="10">
        <v>39753</v>
      </c>
      <c r="H145" s="11">
        <v>1548</v>
      </c>
      <c r="I145" s="11" t="s">
        <v>15</v>
      </c>
    </row>
    <row r="146" spans="1:9" x14ac:dyDescent="0.25">
      <c r="A146" s="10">
        <v>40299</v>
      </c>
      <c r="B146" s="11">
        <v>5123</v>
      </c>
      <c r="C146" s="11" t="s">
        <v>2</v>
      </c>
      <c r="D146" s="1"/>
      <c r="E146" s="1"/>
      <c r="G146" s="10">
        <v>39783</v>
      </c>
      <c r="H146" s="11">
        <v>438</v>
      </c>
      <c r="I146" s="11" t="s">
        <v>14</v>
      </c>
    </row>
    <row r="147" spans="1:9" x14ac:dyDescent="0.25">
      <c r="A147" s="10">
        <v>40330</v>
      </c>
      <c r="B147" s="11">
        <v>1219</v>
      </c>
      <c r="C147" s="11" t="s">
        <v>4</v>
      </c>
      <c r="D147" s="1"/>
      <c r="E147" s="1"/>
      <c r="G147" s="10">
        <v>39783</v>
      </c>
      <c r="H147" s="11">
        <v>9552</v>
      </c>
      <c r="I147" s="11" t="s">
        <v>16</v>
      </c>
    </row>
    <row r="148" spans="1:9" x14ac:dyDescent="0.25">
      <c r="A148" s="10">
        <v>40330</v>
      </c>
      <c r="B148" s="11">
        <v>10354</v>
      </c>
      <c r="C148" s="11" t="s">
        <v>5</v>
      </c>
      <c r="D148" s="1"/>
      <c r="E148" s="1"/>
      <c r="G148" s="10">
        <v>39783</v>
      </c>
      <c r="H148" s="11">
        <v>1899</v>
      </c>
      <c r="I148" s="11" t="s">
        <v>15</v>
      </c>
    </row>
    <row r="149" spans="1:9" x14ac:dyDescent="0.25">
      <c r="A149" s="10">
        <v>40330</v>
      </c>
      <c r="B149" s="11">
        <v>6269</v>
      </c>
      <c r="C149" s="11" t="s">
        <v>2</v>
      </c>
      <c r="D149" s="1"/>
      <c r="E149" s="1"/>
      <c r="G149" s="10">
        <v>39814</v>
      </c>
      <c r="H149" s="11">
        <v>1028</v>
      </c>
      <c r="I149" s="11" t="s">
        <v>15</v>
      </c>
    </row>
    <row r="150" spans="1:9" x14ac:dyDescent="0.25">
      <c r="A150" s="10">
        <v>40360</v>
      </c>
      <c r="B150" s="11">
        <v>949</v>
      </c>
      <c r="C150" s="11" t="s">
        <v>4</v>
      </c>
      <c r="D150" s="1"/>
      <c r="E150" s="1"/>
      <c r="G150" s="10">
        <v>39814</v>
      </c>
      <c r="H150" s="11">
        <v>194</v>
      </c>
      <c r="I150" s="11" t="s">
        <v>14</v>
      </c>
    </row>
    <row r="151" spans="1:9" x14ac:dyDescent="0.25">
      <c r="A151" s="10">
        <v>40360</v>
      </c>
      <c r="B151" s="11">
        <v>7969</v>
      </c>
      <c r="C151" s="11" t="s">
        <v>5</v>
      </c>
      <c r="D151" s="1"/>
      <c r="E151" s="1"/>
      <c r="G151" s="10">
        <v>39814</v>
      </c>
      <c r="H151" s="11">
        <v>6437</v>
      </c>
      <c r="I151" s="11" t="s">
        <v>16</v>
      </c>
    </row>
    <row r="152" spans="1:9" x14ac:dyDescent="0.25">
      <c r="A152" s="10">
        <v>40360</v>
      </c>
      <c r="B152" s="11">
        <v>7063</v>
      </c>
      <c r="C152" s="11" t="s">
        <v>2</v>
      </c>
      <c r="D152" s="1"/>
      <c r="E152" s="1"/>
      <c r="G152" s="10">
        <v>39845</v>
      </c>
      <c r="H152" s="11">
        <v>8464</v>
      </c>
      <c r="I152" s="11" t="s">
        <v>16</v>
      </c>
    </row>
    <row r="153" spans="1:9" x14ac:dyDescent="0.25">
      <c r="A153" s="10">
        <v>40391</v>
      </c>
      <c r="B153" s="11">
        <v>1437</v>
      </c>
      <c r="C153" s="11" t="s">
        <v>4</v>
      </c>
      <c r="D153" s="1"/>
      <c r="E153" s="1"/>
      <c r="G153" s="10">
        <v>39845</v>
      </c>
      <c r="H153" s="11">
        <v>2486</v>
      </c>
      <c r="I153" s="11" t="s">
        <v>15</v>
      </c>
    </row>
    <row r="154" spans="1:9" x14ac:dyDescent="0.25">
      <c r="A154" s="10">
        <v>40391</v>
      </c>
      <c r="B154" s="11">
        <v>10240</v>
      </c>
      <c r="C154" s="11" t="s">
        <v>5</v>
      </c>
      <c r="D154" s="1"/>
      <c r="E154" s="1"/>
      <c r="G154" s="10">
        <v>39845</v>
      </c>
      <c r="H154" s="11">
        <v>720</v>
      </c>
      <c r="I154" s="11" t="s">
        <v>14</v>
      </c>
    </row>
    <row r="155" spans="1:9" x14ac:dyDescent="0.25">
      <c r="A155" s="10">
        <v>40391</v>
      </c>
      <c r="B155" s="11">
        <v>7491</v>
      </c>
      <c r="C155" s="11" t="s">
        <v>2</v>
      </c>
      <c r="D155" s="1"/>
      <c r="E155" s="1"/>
      <c r="G155" s="10">
        <v>39873</v>
      </c>
      <c r="H155" s="11">
        <v>4994</v>
      </c>
      <c r="I155" s="11" t="s">
        <v>16</v>
      </c>
    </row>
    <row r="156" spans="1:9" x14ac:dyDescent="0.25">
      <c r="A156" s="10">
        <v>40422</v>
      </c>
      <c r="B156" s="11">
        <v>2008</v>
      </c>
      <c r="C156" s="11" t="s">
        <v>4</v>
      </c>
      <c r="D156" s="1"/>
      <c r="E156" s="1"/>
      <c r="G156" s="10">
        <v>39873</v>
      </c>
      <c r="H156" s="11">
        <v>5487</v>
      </c>
      <c r="I156" s="11" t="s">
        <v>15</v>
      </c>
    </row>
    <row r="157" spans="1:9" x14ac:dyDescent="0.25">
      <c r="A157" s="10">
        <v>40422</v>
      </c>
      <c r="B157" s="11">
        <v>12706</v>
      </c>
      <c r="C157" s="11" t="s">
        <v>5</v>
      </c>
      <c r="D157" s="1"/>
      <c r="E157" s="1"/>
      <c r="G157" s="10">
        <v>39873</v>
      </c>
      <c r="H157" s="11">
        <v>1767</v>
      </c>
      <c r="I157" s="11" t="s">
        <v>14</v>
      </c>
    </row>
    <row r="158" spans="1:9" x14ac:dyDescent="0.25">
      <c r="A158" s="10">
        <v>40422</v>
      </c>
      <c r="B158" s="11">
        <v>4257</v>
      </c>
      <c r="C158" s="11" t="s">
        <v>2</v>
      </c>
      <c r="D158" s="1"/>
      <c r="E158" s="1"/>
      <c r="G158" s="10">
        <v>39904</v>
      </c>
      <c r="H158" s="11">
        <v>1958</v>
      </c>
      <c r="I158" s="11" t="s">
        <v>14</v>
      </c>
    </row>
    <row r="159" spans="1:9" x14ac:dyDescent="0.25">
      <c r="A159" s="10">
        <v>40452</v>
      </c>
      <c r="B159" s="11">
        <v>2663</v>
      </c>
      <c r="C159" s="11" t="s">
        <v>4</v>
      </c>
      <c r="D159" s="1"/>
      <c r="E159" s="1"/>
      <c r="G159" s="10">
        <v>39904</v>
      </c>
      <c r="H159" s="11">
        <v>5617</v>
      </c>
      <c r="I159" s="11" t="s">
        <v>16</v>
      </c>
    </row>
    <row r="160" spans="1:9" x14ac:dyDescent="0.25">
      <c r="A160" s="10">
        <v>40452</v>
      </c>
      <c r="B160" s="11">
        <v>14514</v>
      </c>
      <c r="C160" s="11" t="s">
        <v>5</v>
      </c>
      <c r="D160" s="1"/>
      <c r="E160" s="1"/>
      <c r="G160" s="10">
        <v>39904</v>
      </c>
      <c r="H160" s="11">
        <v>6519</v>
      </c>
      <c r="I160" s="11" t="s">
        <v>15</v>
      </c>
    </row>
    <row r="161" spans="1:9" x14ac:dyDescent="0.25">
      <c r="A161" s="10">
        <v>40452</v>
      </c>
      <c r="B161" s="11">
        <v>4110</v>
      </c>
      <c r="C161" s="11" t="s">
        <v>2</v>
      </c>
      <c r="D161" s="1"/>
      <c r="E161" s="1"/>
      <c r="G161" s="10">
        <v>39934</v>
      </c>
      <c r="H161" s="11">
        <v>1844</v>
      </c>
      <c r="I161" s="11" t="s">
        <v>14</v>
      </c>
    </row>
    <row r="162" spans="1:9" x14ac:dyDescent="0.25">
      <c r="A162" s="10">
        <v>40483</v>
      </c>
      <c r="B162" s="11">
        <v>3000</v>
      </c>
      <c r="C162" s="11" t="s">
        <v>4</v>
      </c>
      <c r="D162" s="1"/>
      <c r="E162" s="1"/>
      <c r="G162" s="10">
        <v>39934</v>
      </c>
      <c r="H162" s="11">
        <v>7665</v>
      </c>
      <c r="I162" s="11" t="s">
        <v>16</v>
      </c>
    </row>
    <row r="163" spans="1:9" x14ac:dyDescent="0.25">
      <c r="A163" s="10">
        <v>40483</v>
      </c>
      <c r="B163" s="11">
        <v>15385</v>
      </c>
      <c r="C163" s="11" t="s">
        <v>5</v>
      </c>
      <c r="D163" s="1"/>
      <c r="E163" s="1"/>
      <c r="G163" s="10">
        <v>39934</v>
      </c>
      <c r="H163" s="11">
        <v>6402</v>
      </c>
      <c r="I163" s="11" t="s">
        <v>15</v>
      </c>
    </row>
    <row r="164" spans="1:9" x14ac:dyDescent="0.25">
      <c r="A164" s="10">
        <v>40483</v>
      </c>
      <c r="B164" s="11">
        <v>3892</v>
      </c>
      <c r="C164" s="11" t="s">
        <v>2</v>
      </c>
      <c r="D164" s="1"/>
      <c r="E164" s="1"/>
      <c r="G164" s="10">
        <v>39965</v>
      </c>
      <c r="H164" s="11">
        <v>4272</v>
      </c>
      <c r="I164" s="11" t="s">
        <v>14</v>
      </c>
    </row>
    <row r="165" spans="1:9" x14ac:dyDescent="0.25">
      <c r="A165" s="10">
        <v>40513</v>
      </c>
      <c r="B165" s="11">
        <v>3447</v>
      </c>
      <c r="C165" s="11" t="s">
        <v>4</v>
      </c>
      <c r="D165" s="1"/>
      <c r="E165" s="1"/>
      <c r="G165" s="10">
        <v>39965</v>
      </c>
      <c r="H165" s="11">
        <v>7108</v>
      </c>
      <c r="I165" s="11" t="s">
        <v>16</v>
      </c>
    </row>
    <row r="166" spans="1:9" x14ac:dyDescent="0.25">
      <c r="A166" s="10">
        <v>40513</v>
      </c>
      <c r="B166" s="11">
        <v>17435</v>
      </c>
      <c r="C166" s="11" t="s">
        <v>5</v>
      </c>
      <c r="D166" s="1"/>
      <c r="E166" s="1"/>
      <c r="G166" s="10">
        <v>39965</v>
      </c>
      <c r="H166" s="11">
        <v>5069</v>
      </c>
      <c r="I166" s="11" t="s">
        <v>15</v>
      </c>
    </row>
    <row r="167" spans="1:9" x14ac:dyDescent="0.25">
      <c r="A167" s="10">
        <v>40513</v>
      </c>
      <c r="B167" s="11">
        <v>4036</v>
      </c>
      <c r="C167" s="11" t="s">
        <v>2</v>
      </c>
      <c r="D167" s="1"/>
      <c r="E167" s="1"/>
      <c r="G167" s="10">
        <v>39995</v>
      </c>
      <c r="H167" s="11">
        <v>4602</v>
      </c>
      <c r="I167" s="11" t="s">
        <v>15</v>
      </c>
    </row>
    <row r="168" spans="1:9" x14ac:dyDescent="0.25">
      <c r="A168" s="10">
        <v>40544</v>
      </c>
      <c r="B168" s="11">
        <v>3193</v>
      </c>
      <c r="C168" s="11" t="s">
        <v>4</v>
      </c>
      <c r="D168" s="1"/>
      <c r="E168" s="1"/>
      <c r="G168" s="10">
        <v>39995</v>
      </c>
      <c r="H168" s="11">
        <v>7329</v>
      </c>
      <c r="I168" s="11" t="s">
        <v>16</v>
      </c>
    </row>
    <row r="169" spans="1:9" x14ac:dyDescent="0.25">
      <c r="A169" s="10">
        <v>40544</v>
      </c>
      <c r="B169" s="11">
        <v>18832</v>
      </c>
      <c r="C169" s="11" t="s">
        <v>5</v>
      </c>
      <c r="D169" s="1"/>
      <c r="E169" s="1"/>
      <c r="G169" s="10">
        <v>39995</v>
      </c>
      <c r="H169" s="11">
        <v>9557</v>
      </c>
      <c r="I169" s="11" t="s">
        <v>14</v>
      </c>
    </row>
    <row r="170" spans="1:9" x14ac:dyDescent="0.25">
      <c r="A170" s="10">
        <v>40544</v>
      </c>
      <c r="B170" s="11">
        <v>4009</v>
      </c>
      <c r="C170" s="11" t="s">
        <v>2</v>
      </c>
      <c r="D170" s="1"/>
      <c r="E170" s="1"/>
      <c r="G170" s="10">
        <v>40026</v>
      </c>
      <c r="H170" s="11">
        <v>4060</v>
      </c>
      <c r="I170" s="11" t="s">
        <v>15</v>
      </c>
    </row>
    <row r="171" spans="1:9" x14ac:dyDescent="0.25">
      <c r="A171" s="10">
        <v>40575</v>
      </c>
      <c r="B171" s="11">
        <v>3402</v>
      </c>
      <c r="C171" s="11" t="s">
        <v>4</v>
      </c>
      <c r="D171" s="1"/>
      <c r="E171" s="1"/>
      <c r="G171" s="10">
        <v>40026</v>
      </c>
      <c r="H171" s="11">
        <v>8765</v>
      </c>
      <c r="I171" s="11" t="s">
        <v>16</v>
      </c>
    </row>
    <row r="172" spans="1:9" x14ac:dyDescent="0.25">
      <c r="A172" s="10">
        <v>40575</v>
      </c>
      <c r="B172" s="11">
        <v>17593</v>
      </c>
      <c r="C172" s="11" t="s">
        <v>5</v>
      </c>
      <c r="D172" s="1"/>
      <c r="E172" s="1"/>
      <c r="G172" s="10">
        <v>40026</v>
      </c>
      <c r="H172" s="11">
        <v>15810</v>
      </c>
      <c r="I172" s="11" t="s">
        <v>14</v>
      </c>
    </row>
    <row r="173" spans="1:9" x14ac:dyDescent="0.25">
      <c r="A173" s="10">
        <v>40575</v>
      </c>
      <c r="B173" s="11">
        <v>4613</v>
      </c>
      <c r="C173" s="11" t="s">
        <v>2</v>
      </c>
      <c r="D173" s="1"/>
      <c r="E173" s="1"/>
      <c r="G173" s="10">
        <v>40057</v>
      </c>
      <c r="H173" s="11">
        <v>2574</v>
      </c>
      <c r="I173" s="11" t="s">
        <v>15</v>
      </c>
    </row>
    <row r="174" spans="1:9" x14ac:dyDescent="0.25">
      <c r="A174" s="10">
        <v>40603</v>
      </c>
      <c r="B174" s="11">
        <v>2240</v>
      </c>
      <c r="C174" s="11" t="s">
        <v>4</v>
      </c>
      <c r="D174" s="1"/>
      <c r="E174" s="1"/>
      <c r="G174" s="10">
        <v>40057</v>
      </c>
      <c r="H174" s="11">
        <v>9547</v>
      </c>
      <c r="I174" s="11" t="s">
        <v>16</v>
      </c>
    </row>
    <row r="175" spans="1:9" x14ac:dyDescent="0.25">
      <c r="A175" s="10">
        <v>40603</v>
      </c>
      <c r="B175" s="11">
        <v>15376</v>
      </c>
      <c r="C175" s="11" t="s">
        <v>5</v>
      </c>
      <c r="D175" s="1"/>
      <c r="E175" s="1"/>
      <c r="G175" s="10">
        <v>40057</v>
      </c>
      <c r="H175" s="11">
        <v>14494</v>
      </c>
      <c r="I175" s="11" t="s">
        <v>14</v>
      </c>
    </row>
    <row r="176" spans="1:9" x14ac:dyDescent="0.25">
      <c r="A176" s="10">
        <v>40603</v>
      </c>
      <c r="B176" s="11">
        <v>3036</v>
      </c>
      <c r="C176" s="11" t="s">
        <v>2</v>
      </c>
      <c r="D176" s="1"/>
      <c r="E176" s="1"/>
      <c r="G176" s="10">
        <v>40087</v>
      </c>
      <c r="H176" s="11">
        <v>1603</v>
      </c>
      <c r="I176" s="11" t="s">
        <v>15</v>
      </c>
    </row>
    <row r="177" spans="1:9" x14ac:dyDescent="0.25">
      <c r="A177" s="10">
        <v>40634</v>
      </c>
      <c r="B177" s="11">
        <v>999</v>
      </c>
      <c r="C177" s="11" t="s">
        <v>4</v>
      </c>
      <c r="D177" s="1"/>
      <c r="E177" s="1"/>
      <c r="G177" s="10">
        <v>40087</v>
      </c>
      <c r="H177" s="11">
        <v>7753</v>
      </c>
      <c r="I177" s="11" t="s">
        <v>16</v>
      </c>
    </row>
    <row r="178" spans="1:9" x14ac:dyDescent="0.25">
      <c r="A178" s="10">
        <v>40634</v>
      </c>
      <c r="B178" s="11">
        <v>10725</v>
      </c>
      <c r="C178" s="11" t="s">
        <v>5</v>
      </c>
      <c r="D178" s="1"/>
      <c r="E178" s="1"/>
      <c r="G178" s="10">
        <v>40087</v>
      </c>
      <c r="H178" s="11">
        <v>9396</v>
      </c>
      <c r="I178" s="11" t="s">
        <v>14</v>
      </c>
    </row>
    <row r="179" spans="1:9" x14ac:dyDescent="0.25">
      <c r="A179" s="10">
        <v>40634</v>
      </c>
      <c r="B179" s="11">
        <v>2082</v>
      </c>
      <c r="C179" s="11" t="s">
        <v>2</v>
      </c>
      <c r="D179" s="1"/>
      <c r="E179" s="1"/>
      <c r="G179" s="10">
        <v>40118</v>
      </c>
      <c r="H179" s="11">
        <v>1209</v>
      </c>
      <c r="I179" s="11" t="s">
        <v>15</v>
      </c>
    </row>
    <row r="180" spans="1:9" x14ac:dyDescent="0.25">
      <c r="A180" s="10">
        <v>40664</v>
      </c>
      <c r="B180" s="11">
        <v>1071</v>
      </c>
      <c r="C180" s="11" t="s">
        <v>4</v>
      </c>
      <c r="D180" s="1"/>
      <c r="E180" s="1"/>
      <c r="G180" s="10">
        <v>40118</v>
      </c>
      <c r="H180" s="11">
        <v>7215</v>
      </c>
      <c r="I180" s="11" t="s">
        <v>16</v>
      </c>
    </row>
    <row r="181" spans="1:9" x14ac:dyDescent="0.25">
      <c r="A181" s="10">
        <v>40664</v>
      </c>
      <c r="B181" s="11">
        <v>7425</v>
      </c>
      <c r="C181" s="11" t="s">
        <v>5</v>
      </c>
      <c r="D181" s="1"/>
      <c r="E181" s="1"/>
      <c r="G181" s="10">
        <v>40118</v>
      </c>
      <c r="H181" s="11">
        <v>7014</v>
      </c>
      <c r="I181" s="11" t="s">
        <v>14</v>
      </c>
    </row>
    <row r="182" spans="1:9" x14ac:dyDescent="0.25">
      <c r="A182" s="10">
        <v>40664</v>
      </c>
      <c r="B182" s="11">
        <v>3594</v>
      </c>
      <c r="C182" s="11" t="s">
        <v>2</v>
      </c>
      <c r="D182" s="1"/>
      <c r="E182" s="1"/>
      <c r="G182" s="10">
        <v>40148</v>
      </c>
      <c r="H182" s="11">
        <v>1474</v>
      </c>
      <c r="I182" s="11" t="s">
        <v>15</v>
      </c>
    </row>
    <row r="183" spans="1:9" x14ac:dyDescent="0.25">
      <c r="A183" s="10">
        <v>40695</v>
      </c>
      <c r="B183" s="11">
        <v>906</v>
      </c>
      <c r="C183" s="11" t="s">
        <v>4</v>
      </c>
      <c r="D183" s="1"/>
      <c r="E183" s="1"/>
      <c r="G183" s="10">
        <v>40148</v>
      </c>
      <c r="H183" s="11">
        <v>7453</v>
      </c>
      <c r="I183" s="11" t="s">
        <v>16</v>
      </c>
    </row>
    <row r="184" spans="1:9" x14ac:dyDescent="0.25">
      <c r="A184" s="10">
        <v>40695</v>
      </c>
      <c r="B184" s="11">
        <v>6431</v>
      </c>
      <c r="C184" s="11" t="s">
        <v>5</v>
      </c>
      <c r="D184" s="1"/>
      <c r="E184" s="1"/>
      <c r="G184" s="10">
        <v>40148</v>
      </c>
      <c r="H184" s="11">
        <v>9189</v>
      </c>
      <c r="I184" s="11" t="s">
        <v>14</v>
      </c>
    </row>
    <row r="185" spans="1:9" x14ac:dyDescent="0.25">
      <c r="A185" s="10">
        <v>40695</v>
      </c>
      <c r="B185" s="11">
        <v>4503</v>
      </c>
      <c r="C185" s="11" t="s">
        <v>2</v>
      </c>
      <c r="D185" s="1"/>
      <c r="E185" s="1"/>
      <c r="G185" s="10">
        <v>40179</v>
      </c>
      <c r="H185" s="11">
        <v>1689</v>
      </c>
      <c r="I185" s="11" t="s">
        <v>15</v>
      </c>
    </row>
    <row r="186" spans="1:9" x14ac:dyDescent="0.25">
      <c r="A186" s="10">
        <v>40725</v>
      </c>
      <c r="B186" s="11">
        <v>877</v>
      </c>
      <c r="C186" s="11" t="s">
        <v>4</v>
      </c>
      <c r="D186" s="1"/>
      <c r="E186" s="1"/>
      <c r="G186" s="10">
        <v>40179</v>
      </c>
      <c r="H186" s="11">
        <v>7105</v>
      </c>
      <c r="I186" s="11" t="s">
        <v>16</v>
      </c>
    </row>
    <row r="187" spans="1:9" x14ac:dyDescent="0.25">
      <c r="A187" s="10">
        <v>40725</v>
      </c>
      <c r="B187" s="11">
        <v>5596</v>
      </c>
      <c r="C187" s="11" t="s">
        <v>5</v>
      </c>
      <c r="D187" s="1"/>
      <c r="E187" s="1"/>
      <c r="G187" s="10">
        <v>40179</v>
      </c>
      <c r="H187" s="11">
        <v>11722</v>
      </c>
      <c r="I187" s="11" t="s">
        <v>14</v>
      </c>
    </row>
    <row r="188" spans="1:9" x14ac:dyDescent="0.25">
      <c r="A188" s="10">
        <v>40725</v>
      </c>
      <c r="B188" s="11">
        <v>5638</v>
      </c>
      <c r="C188" s="11" t="s">
        <v>2</v>
      </c>
      <c r="D188" s="1"/>
      <c r="E188" s="1"/>
      <c r="G188" s="10">
        <v>40210</v>
      </c>
      <c r="H188" s="11">
        <v>1788</v>
      </c>
      <c r="I188" s="11" t="s">
        <v>15</v>
      </c>
    </row>
    <row r="189" spans="1:9" x14ac:dyDescent="0.25">
      <c r="A189" s="10">
        <v>40756</v>
      </c>
      <c r="B189" s="11">
        <v>1094</v>
      </c>
      <c r="C189" s="11" t="s">
        <v>4</v>
      </c>
      <c r="D189" s="1"/>
      <c r="E189" s="1"/>
      <c r="G189" s="10">
        <v>40210</v>
      </c>
      <c r="H189" s="11">
        <v>4854</v>
      </c>
      <c r="I189" s="11" t="s">
        <v>16</v>
      </c>
    </row>
    <row r="190" spans="1:9" x14ac:dyDescent="0.25">
      <c r="A190" s="10">
        <v>40756</v>
      </c>
      <c r="B190" s="11">
        <v>6287</v>
      </c>
      <c r="C190" s="11" t="s">
        <v>5</v>
      </c>
      <c r="D190" s="1"/>
      <c r="E190" s="1"/>
      <c r="G190" s="10">
        <v>40210</v>
      </c>
      <c r="H190" s="11">
        <v>13737</v>
      </c>
      <c r="I190" s="11" t="s">
        <v>14</v>
      </c>
    </row>
    <row r="191" spans="1:9" x14ac:dyDescent="0.25">
      <c r="A191" s="10">
        <v>40756</v>
      </c>
      <c r="B191" s="11">
        <v>7760</v>
      </c>
      <c r="C191" s="11" t="s">
        <v>2</v>
      </c>
      <c r="D191" s="1"/>
      <c r="E191" s="1"/>
      <c r="G191" s="10">
        <v>40238</v>
      </c>
      <c r="H191" s="11">
        <v>1743</v>
      </c>
      <c r="I191" s="11" t="s">
        <v>15</v>
      </c>
    </row>
    <row r="192" spans="1:9" x14ac:dyDescent="0.25">
      <c r="A192" s="10">
        <v>40787</v>
      </c>
      <c r="B192" s="11">
        <v>1234</v>
      </c>
      <c r="C192" s="11" t="s">
        <v>4</v>
      </c>
      <c r="D192" s="1"/>
      <c r="E192" s="1"/>
      <c r="G192" s="10">
        <v>40238</v>
      </c>
      <c r="H192" s="11">
        <v>3289</v>
      </c>
      <c r="I192" s="11" t="s">
        <v>16</v>
      </c>
    </row>
    <row r="193" spans="1:9" x14ac:dyDescent="0.25">
      <c r="A193" s="10">
        <v>40787</v>
      </c>
      <c r="B193" s="11">
        <v>6722</v>
      </c>
      <c r="C193" s="11" t="s">
        <v>5</v>
      </c>
      <c r="D193" s="1"/>
      <c r="E193" s="1"/>
      <c r="G193" s="10">
        <v>40238</v>
      </c>
      <c r="H193" s="11">
        <v>12676</v>
      </c>
      <c r="I193" s="11" t="s">
        <v>14</v>
      </c>
    </row>
    <row r="194" spans="1:9" x14ac:dyDescent="0.25">
      <c r="A194" s="10">
        <v>40787</v>
      </c>
      <c r="B194" s="11">
        <v>7102</v>
      </c>
      <c r="C194" s="11" t="s">
        <v>2</v>
      </c>
      <c r="D194" s="1"/>
      <c r="E194" s="1"/>
      <c r="G194" s="10">
        <v>40269</v>
      </c>
      <c r="H194" s="11">
        <v>9563</v>
      </c>
      <c r="I194" s="11" t="s">
        <v>14</v>
      </c>
    </row>
    <row r="195" spans="1:9" x14ac:dyDescent="0.25">
      <c r="A195" s="10">
        <v>40817</v>
      </c>
      <c r="B195" s="11">
        <v>1403</v>
      </c>
      <c r="C195" s="11" t="s">
        <v>4</v>
      </c>
      <c r="D195" s="1"/>
      <c r="E195" s="1"/>
      <c r="G195" s="10">
        <v>40269</v>
      </c>
      <c r="H195" s="11">
        <v>1306</v>
      </c>
      <c r="I195" s="11" t="s">
        <v>15</v>
      </c>
    </row>
    <row r="196" spans="1:9" x14ac:dyDescent="0.25">
      <c r="A196" s="10">
        <v>40817</v>
      </c>
      <c r="B196" s="11">
        <v>6917</v>
      </c>
      <c r="C196" s="11" t="s">
        <v>5</v>
      </c>
      <c r="D196" s="1"/>
      <c r="E196" s="1"/>
      <c r="G196" s="10">
        <v>40269</v>
      </c>
      <c r="H196" s="11">
        <v>3687</v>
      </c>
      <c r="I196" s="11" t="s">
        <v>16</v>
      </c>
    </row>
    <row r="197" spans="1:9" x14ac:dyDescent="0.25">
      <c r="A197" s="10">
        <v>40817</v>
      </c>
      <c r="B197" s="11">
        <v>7201</v>
      </c>
      <c r="C197" s="11" t="s">
        <v>2</v>
      </c>
      <c r="D197" s="1"/>
      <c r="E197" s="1"/>
      <c r="G197" s="10">
        <v>40299</v>
      </c>
      <c r="H197" s="11">
        <v>1316</v>
      </c>
      <c r="I197" s="11" t="s">
        <v>15</v>
      </c>
    </row>
    <row r="198" spans="1:9" x14ac:dyDescent="0.25">
      <c r="A198" s="10">
        <v>40848</v>
      </c>
      <c r="B198" s="11">
        <v>2060</v>
      </c>
      <c r="C198" s="11" t="s">
        <v>4</v>
      </c>
      <c r="D198" s="1"/>
      <c r="E198" s="1"/>
      <c r="G198" s="10">
        <v>40299</v>
      </c>
      <c r="H198" s="11">
        <v>5116</v>
      </c>
      <c r="I198" s="11" t="s">
        <v>16</v>
      </c>
    </row>
    <row r="199" spans="1:9" x14ac:dyDescent="0.25">
      <c r="A199" s="10">
        <v>40848</v>
      </c>
      <c r="B199" s="11">
        <v>8052</v>
      </c>
      <c r="C199" s="11" t="s">
        <v>5</v>
      </c>
      <c r="D199" s="1"/>
      <c r="E199" s="1"/>
      <c r="G199" s="10">
        <v>40299</v>
      </c>
      <c r="H199" s="11">
        <v>11244</v>
      </c>
      <c r="I199" s="11" t="s">
        <v>14</v>
      </c>
    </row>
    <row r="200" spans="1:9" x14ac:dyDescent="0.25">
      <c r="A200" s="10">
        <v>40848</v>
      </c>
      <c r="B200" s="11">
        <v>6033</v>
      </c>
      <c r="C200" s="11" t="s">
        <v>2</v>
      </c>
      <c r="D200" s="1"/>
      <c r="E200" s="1"/>
      <c r="G200" s="10">
        <v>40330</v>
      </c>
      <c r="H200" s="11">
        <v>1218</v>
      </c>
      <c r="I200" s="11" t="s">
        <v>15</v>
      </c>
    </row>
    <row r="201" spans="1:9" x14ac:dyDescent="0.25">
      <c r="A201" s="10">
        <v>40878</v>
      </c>
      <c r="B201" s="11">
        <v>2144</v>
      </c>
      <c r="C201" s="11" t="s">
        <v>4</v>
      </c>
      <c r="D201" s="1"/>
      <c r="E201" s="1"/>
      <c r="G201" s="10">
        <v>40330</v>
      </c>
      <c r="H201" s="11">
        <v>6264</v>
      </c>
      <c r="I201" s="11" t="s">
        <v>16</v>
      </c>
    </row>
    <row r="202" spans="1:9" x14ac:dyDescent="0.25">
      <c r="A202" s="10">
        <v>40878</v>
      </c>
      <c r="B202" s="11">
        <v>9402</v>
      </c>
      <c r="C202" s="11" t="s">
        <v>5</v>
      </c>
      <c r="D202" s="1"/>
      <c r="E202" s="1"/>
      <c r="G202" s="10">
        <v>40330</v>
      </c>
      <c r="H202" s="11">
        <v>10360</v>
      </c>
      <c r="I202" s="11" t="s">
        <v>14</v>
      </c>
    </row>
    <row r="203" spans="1:9" x14ac:dyDescent="0.25">
      <c r="A203" s="10">
        <v>40878</v>
      </c>
      <c r="B203" s="11">
        <v>4254</v>
      </c>
      <c r="C203" s="11" t="s">
        <v>2</v>
      </c>
      <c r="D203" s="1"/>
      <c r="E203" s="1"/>
      <c r="G203" s="10">
        <v>40360</v>
      </c>
      <c r="H203" s="11">
        <v>979</v>
      </c>
      <c r="I203" s="11" t="s">
        <v>15</v>
      </c>
    </row>
    <row r="204" spans="1:9" x14ac:dyDescent="0.25">
      <c r="A204" s="10">
        <v>40909</v>
      </c>
      <c r="B204" s="11">
        <v>2387</v>
      </c>
      <c r="C204" s="11" t="s">
        <v>4</v>
      </c>
      <c r="D204" s="1"/>
      <c r="E204" s="1"/>
      <c r="G204" s="10">
        <v>40360</v>
      </c>
      <c r="H204" s="11">
        <v>7058</v>
      </c>
      <c r="I204" s="11" t="s">
        <v>16</v>
      </c>
    </row>
    <row r="205" spans="1:9" x14ac:dyDescent="0.25">
      <c r="A205" s="10">
        <v>40909</v>
      </c>
      <c r="B205" s="11">
        <v>9964</v>
      </c>
      <c r="C205" s="11" t="s">
        <v>5</v>
      </c>
      <c r="D205" s="1"/>
      <c r="E205" s="1"/>
      <c r="G205" s="10">
        <v>40360</v>
      </c>
      <c r="H205" s="11">
        <v>7944</v>
      </c>
      <c r="I205" s="11" t="s">
        <v>14</v>
      </c>
    </row>
    <row r="206" spans="1:9" x14ac:dyDescent="0.25">
      <c r="A206" s="10">
        <v>40909</v>
      </c>
      <c r="B206" s="11">
        <v>4698</v>
      </c>
      <c r="C206" s="11" t="s">
        <v>2</v>
      </c>
      <c r="D206" s="1"/>
      <c r="E206" s="1"/>
      <c r="G206" s="10">
        <v>40391</v>
      </c>
      <c r="H206" s="11">
        <v>1511</v>
      </c>
      <c r="I206" s="11" t="s">
        <v>15</v>
      </c>
    </row>
    <row r="207" spans="1:9" x14ac:dyDescent="0.25">
      <c r="A207" s="10">
        <v>40940</v>
      </c>
      <c r="B207" s="11">
        <v>2593</v>
      </c>
      <c r="C207" s="11" t="s">
        <v>4</v>
      </c>
      <c r="D207" s="1"/>
      <c r="E207" s="1"/>
      <c r="G207" s="10">
        <v>40391</v>
      </c>
      <c r="H207" s="11">
        <v>7486</v>
      </c>
      <c r="I207" s="11" t="s">
        <v>16</v>
      </c>
    </row>
    <row r="208" spans="1:9" x14ac:dyDescent="0.25">
      <c r="A208" s="10">
        <v>40940</v>
      </c>
      <c r="B208" s="11">
        <v>9237</v>
      </c>
      <c r="C208" s="11" t="s">
        <v>5</v>
      </c>
      <c r="D208" s="1"/>
      <c r="E208" s="1"/>
      <c r="G208" s="10">
        <v>40391</v>
      </c>
      <c r="H208" s="11">
        <v>10171</v>
      </c>
      <c r="I208" s="11" t="s">
        <v>14</v>
      </c>
    </row>
    <row r="209" spans="1:9" x14ac:dyDescent="0.25">
      <c r="A209" s="10">
        <v>40940</v>
      </c>
      <c r="B209" s="11">
        <v>5414</v>
      </c>
      <c r="C209" s="11" t="s">
        <v>2</v>
      </c>
      <c r="D209" s="1"/>
      <c r="E209" s="1"/>
      <c r="G209" s="10">
        <v>40422</v>
      </c>
      <c r="H209" s="11">
        <v>2107</v>
      </c>
      <c r="I209" s="11" t="s">
        <v>15</v>
      </c>
    </row>
    <row r="210" spans="1:9" x14ac:dyDescent="0.25">
      <c r="A210" s="10">
        <v>40969</v>
      </c>
      <c r="B210" s="11">
        <v>11247</v>
      </c>
      <c r="C210" s="11" t="s">
        <v>5</v>
      </c>
      <c r="D210" s="1"/>
      <c r="E210" s="1"/>
      <c r="G210" s="10">
        <v>40422</v>
      </c>
      <c r="H210" s="11">
        <v>4256</v>
      </c>
      <c r="I210" s="11" t="s">
        <v>16</v>
      </c>
    </row>
    <row r="211" spans="1:9" x14ac:dyDescent="0.25">
      <c r="A211" s="10">
        <v>40969</v>
      </c>
      <c r="B211" s="11">
        <v>2164</v>
      </c>
      <c r="C211" s="11" t="s">
        <v>4</v>
      </c>
      <c r="D211" s="1"/>
      <c r="E211" s="1"/>
      <c r="G211" s="10">
        <v>40422</v>
      </c>
      <c r="H211" s="11">
        <v>12608</v>
      </c>
      <c r="I211" s="11" t="s">
        <v>14</v>
      </c>
    </row>
    <row r="212" spans="1:9" x14ac:dyDescent="0.25">
      <c r="A212" s="10">
        <v>40969</v>
      </c>
      <c r="B212" s="11">
        <v>3241</v>
      </c>
      <c r="C212" s="11" t="s">
        <v>2</v>
      </c>
      <c r="D212" s="1"/>
      <c r="E212" s="1"/>
      <c r="G212" s="10">
        <v>40452</v>
      </c>
      <c r="H212" s="11">
        <v>2974</v>
      </c>
      <c r="I212" s="11" t="s">
        <v>15</v>
      </c>
    </row>
    <row r="213" spans="1:9" x14ac:dyDescent="0.25">
      <c r="A213" s="10">
        <v>41000</v>
      </c>
      <c r="B213" s="11">
        <v>3375</v>
      </c>
      <c r="C213" s="11" t="s">
        <v>2</v>
      </c>
      <c r="D213" s="1"/>
      <c r="E213" s="1"/>
      <c r="G213" s="10">
        <v>40452</v>
      </c>
      <c r="H213" s="11">
        <v>4108</v>
      </c>
      <c r="I213" s="11" t="s">
        <v>16</v>
      </c>
    </row>
    <row r="214" spans="1:9" x14ac:dyDescent="0.25">
      <c r="A214" s="10">
        <v>41000</v>
      </c>
      <c r="B214" s="11">
        <v>14409</v>
      </c>
      <c r="C214" s="11" t="s">
        <v>5</v>
      </c>
      <c r="D214" s="1"/>
      <c r="E214" s="1"/>
      <c r="G214" s="10">
        <v>40452</v>
      </c>
      <c r="H214" s="11">
        <v>14205</v>
      </c>
      <c r="I214" s="11" t="s">
        <v>14</v>
      </c>
    </row>
    <row r="215" spans="1:9" x14ac:dyDescent="0.25">
      <c r="A215" s="10">
        <v>41000</v>
      </c>
      <c r="B215" s="11">
        <v>2253</v>
      </c>
      <c r="C215" s="11" t="s">
        <v>4</v>
      </c>
      <c r="D215" s="1"/>
      <c r="E215" s="1"/>
      <c r="G215" s="10">
        <v>40483</v>
      </c>
      <c r="H215" s="11">
        <v>3341</v>
      </c>
      <c r="I215" s="11" t="s">
        <v>15</v>
      </c>
    </row>
    <row r="216" spans="1:9" x14ac:dyDescent="0.25">
      <c r="A216" s="10">
        <v>41030</v>
      </c>
      <c r="B216" s="11">
        <v>4588</v>
      </c>
      <c r="C216" s="11" t="s">
        <v>2</v>
      </c>
      <c r="D216" s="1"/>
      <c r="E216" s="1"/>
      <c r="G216" s="10">
        <v>40483</v>
      </c>
      <c r="H216" s="11">
        <v>3891</v>
      </c>
      <c r="I216" s="11" t="s">
        <v>16</v>
      </c>
    </row>
    <row r="217" spans="1:9" x14ac:dyDescent="0.25">
      <c r="A217" s="10">
        <v>41030</v>
      </c>
      <c r="B217" s="11">
        <v>13389</v>
      </c>
      <c r="C217" s="11" t="s">
        <v>5</v>
      </c>
      <c r="D217" s="1"/>
      <c r="E217" s="1"/>
      <c r="G217" s="10">
        <v>40483</v>
      </c>
      <c r="H217" s="11">
        <v>15045</v>
      </c>
      <c r="I217" s="11" t="s">
        <v>14</v>
      </c>
    </row>
    <row r="218" spans="1:9" x14ac:dyDescent="0.25">
      <c r="A218" s="10">
        <v>41030</v>
      </c>
      <c r="B218" s="11">
        <v>2438</v>
      </c>
      <c r="C218" s="11" t="s">
        <v>4</v>
      </c>
      <c r="D218" s="1"/>
      <c r="E218" s="1"/>
      <c r="G218" s="10">
        <v>40513</v>
      </c>
      <c r="H218" s="11">
        <v>17054</v>
      </c>
      <c r="I218" s="11" t="s">
        <v>14</v>
      </c>
    </row>
    <row r="219" spans="1:9" x14ac:dyDescent="0.25">
      <c r="A219" s="10">
        <v>41061</v>
      </c>
      <c r="B219" s="11">
        <v>7595</v>
      </c>
      <c r="C219" s="11" t="s">
        <v>2</v>
      </c>
      <c r="D219" s="1"/>
      <c r="E219" s="1"/>
      <c r="G219" s="10">
        <v>40513</v>
      </c>
      <c r="H219" s="11">
        <v>3829</v>
      </c>
      <c r="I219" s="11" t="s">
        <v>15</v>
      </c>
    </row>
    <row r="220" spans="1:9" x14ac:dyDescent="0.25">
      <c r="A220" s="10">
        <v>41061</v>
      </c>
      <c r="B220" s="11">
        <v>12542</v>
      </c>
      <c r="C220" s="11" t="s">
        <v>5</v>
      </c>
      <c r="D220" s="1"/>
      <c r="E220" s="1"/>
      <c r="G220" s="10">
        <v>40513</v>
      </c>
      <c r="H220" s="11">
        <v>4035</v>
      </c>
      <c r="I220" s="11" t="s">
        <v>16</v>
      </c>
    </row>
    <row r="221" spans="1:9" x14ac:dyDescent="0.25">
      <c r="A221" s="10">
        <v>41061</v>
      </c>
      <c r="B221" s="11">
        <v>2289</v>
      </c>
      <c r="C221" s="11" t="s">
        <v>4</v>
      </c>
      <c r="D221" s="1"/>
      <c r="E221" s="1"/>
      <c r="G221" s="10">
        <v>40544</v>
      </c>
      <c r="H221" s="11">
        <v>3529</v>
      </c>
      <c r="I221" s="11" t="s">
        <v>15</v>
      </c>
    </row>
    <row r="222" spans="1:9" x14ac:dyDescent="0.25">
      <c r="A222" s="10">
        <v>41091</v>
      </c>
      <c r="B222" s="11">
        <v>1944</v>
      </c>
      <c r="C222" s="11" t="s">
        <v>4</v>
      </c>
      <c r="D222" s="1"/>
      <c r="E222" s="1"/>
      <c r="G222" s="10">
        <v>40544</v>
      </c>
      <c r="H222" s="11">
        <v>4003</v>
      </c>
      <c r="I222" s="11" t="s">
        <v>16</v>
      </c>
    </row>
    <row r="223" spans="1:9" x14ac:dyDescent="0.25">
      <c r="A223" s="10">
        <v>41091</v>
      </c>
      <c r="B223" s="11">
        <v>9142</v>
      </c>
      <c r="C223" s="11" t="s">
        <v>2</v>
      </c>
      <c r="D223" s="1"/>
      <c r="E223" s="1"/>
      <c r="G223" s="10">
        <v>40544</v>
      </c>
      <c r="H223" s="11">
        <v>18502</v>
      </c>
      <c r="I223" s="11" t="s">
        <v>14</v>
      </c>
    </row>
    <row r="224" spans="1:9" x14ac:dyDescent="0.25">
      <c r="A224" s="10">
        <v>41091</v>
      </c>
      <c r="B224" s="11">
        <v>13383</v>
      </c>
      <c r="C224" s="11" t="s">
        <v>5</v>
      </c>
      <c r="D224" s="1"/>
      <c r="E224" s="1"/>
      <c r="G224" s="10">
        <v>40575</v>
      </c>
      <c r="H224" s="11">
        <v>3603</v>
      </c>
      <c r="I224" s="11" t="s">
        <v>15</v>
      </c>
    </row>
    <row r="225" spans="1:9" x14ac:dyDescent="0.25">
      <c r="A225" s="10">
        <v>41122</v>
      </c>
      <c r="B225" s="11">
        <v>13357</v>
      </c>
      <c r="C225" s="11" t="s">
        <v>5</v>
      </c>
      <c r="D225" s="1"/>
      <c r="E225" s="1"/>
      <c r="G225" s="10">
        <v>40575</v>
      </c>
      <c r="H225" s="11">
        <v>4609</v>
      </c>
      <c r="I225" s="11" t="s">
        <v>16</v>
      </c>
    </row>
    <row r="226" spans="1:9" x14ac:dyDescent="0.25">
      <c r="A226" s="10">
        <v>41122</v>
      </c>
      <c r="B226" s="11">
        <v>2105</v>
      </c>
      <c r="C226" s="11" t="s">
        <v>4</v>
      </c>
      <c r="D226" s="1"/>
      <c r="E226" s="1"/>
      <c r="G226" s="10">
        <v>40575</v>
      </c>
      <c r="H226" s="11">
        <v>17396</v>
      </c>
      <c r="I226" s="11" t="s">
        <v>14</v>
      </c>
    </row>
    <row r="227" spans="1:9" x14ac:dyDescent="0.25">
      <c r="A227" s="10">
        <v>41122</v>
      </c>
      <c r="B227" s="11">
        <v>10878</v>
      </c>
      <c r="C227" s="11" t="s">
        <v>2</v>
      </c>
      <c r="D227" s="1"/>
      <c r="E227" s="1"/>
      <c r="G227" s="10">
        <v>40603</v>
      </c>
      <c r="H227" s="11">
        <v>2404</v>
      </c>
      <c r="I227" s="11" t="s">
        <v>15</v>
      </c>
    </row>
    <row r="228" spans="1:9" x14ac:dyDescent="0.25">
      <c r="A228" s="10">
        <v>41153</v>
      </c>
      <c r="B228" s="11">
        <v>13492</v>
      </c>
      <c r="C228" s="11" t="s">
        <v>5</v>
      </c>
      <c r="D228" s="1"/>
      <c r="E228" s="1"/>
      <c r="G228" s="10">
        <v>40603</v>
      </c>
      <c r="H228" s="11">
        <v>3035</v>
      </c>
      <c r="I228" s="11" t="s">
        <v>16</v>
      </c>
    </row>
    <row r="229" spans="1:9" x14ac:dyDescent="0.25">
      <c r="A229" s="10">
        <v>41153</v>
      </c>
      <c r="B229" s="11">
        <v>3217</v>
      </c>
      <c r="C229" s="11" t="s">
        <v>4</v>
      </c>
      <c r="D229" s="1"/>
      <c r="E229" s="1"/>
      <c r="G229" s="10">
        <v>40603</v>
      </c>
      <c r="H229" s="11">
        <v>15213</v>
      </c>
      <c r="I229" s="11" t="s">
        <v>14</v>
      </c>
    </row>
    <row r="230" spans="1:9" x14ac:dyDescent="0.25">
      <c r="A230" s="10">
        <v>41153</v>
      </c>
      <c r="B230" s="11">
        <v>11393</v>
      </c>
      <c r="C230" s="11" t="s">
        <v>2</v>
      </c>
      <c r="D230" s="1"/>
      <c r="E230" s="1"/>
      <c r="G230" s="10">
        <v>40634</v>
      </c>
      <c r="H230" s="11">
        <v>1132</v>
      </c>
      <c r="I230" s="11" t="s">
        <v>15</v>
      </c>
    </row>
    <row r="231" spans="1:9" x14ac:dyDescent="0.25">
      <c r="A231" s="10">
        <v>41183</v>
      </c>
      <c r="B231" s="11">
        <v>11163</v>
      </c>
      <c r="C231" s="11" t="s">
        <v>2</v>
      </c>
      <c r="D231" s="1"/>
      <c r="E231" s="1"/>
      <c r="G231" s="10">
        <v>40634</v>
      </c>
      <c r="H231" s="11">
        <v>2081</v>
      </c>
      <c r="I231" s="11" t="s">
        <v>16</v>
      </c>
    </row>
    <row r="232" spans="1:9" x14ac:dyDescent="0.25">
      <c r="A232" s="10">
        <v>41183</v>
      </c>
      <c r="B232" s="11">
        <v>14252</v>
      </c>
      <c r="C232" s="11" t="s">
        <v>5</v>
      </c>
      <c r="D232" s="1"/>
      <c r="E232" s="1"/>
      <c r="G232" s="10">
        <v>40634</v>
      </c>
      <c r="H232" s="11">
        <v>10593</v>
      </c>
      <c r="I232" s="11" t="s">
        <v>14</v>
      </c>
    </row>
    <row r="233" spans="1:9" x14ac:dyDescent="0.25">
      <c r="A233" s="10">
        <v>41183</v>
      </c>
      <c r="B233" s="11">
        <v>4594</v>
      </c>
      <c r="C233" s="11" t="s">
        <v>4</v>
      </c>
      <c r="D233" s="1"/>
      <c r="E233" s="1"/>
      <c r="G233" s="10">
        <v>40664</v>
      </c>
      <c r="H233" s="11">
        <v>1076</v>
      </c>
      <c r="I233" s="11" t="s">
        <v>15</v>
      </c>
    </row>
    <row r="234" spans="1:9" x14ac:dyDescent="0.25">
      <c r="A234" s="10">
        <v>41214</v>
      </c>
      <c r="B234" s="11">
        <v>10851</v>
      </c>
      <c r="C234" s="11" t="s">
        <v>2</v>
      </c>
      <c r="D234" s="1"/>
      <c r="E234" s="1"/>
      <c r="G234" s="10">
        <v>40664</v>
      </c>
      <c r="H234" s="11">
        <v>3594</v>
      </c>
      <c r="I234" s="11" t="s">
        <v>16</v>
      </c>
    </row>
    <row r="235" spans="1:9" x14ac:dyDescent="0.25">
      <c r="A235" s="10">
        <v>41214</v>
      </c>
      <c r="B235" s="11">
        <v>13492</v>
      </c>
      <c r="C235" s="11" t="s">
        <v>5</v>
      </c>
      <c r="D235" s="1"/>
      <c r="E235" s="1"/>
      <c r="G235" s="10">
        <v>40664</v>
      </c>
      <c r="H235" s="11">
        <v>7420</v>
      </c>
      <c r="I235" s="11" t="s">
        <v>14</v>
      </c>
    </row>
    <row r="236" spans="1:9" x14ac:dyDescent="0.25">
      <c r="A236" s="10">
        <v>41214</v>
      </c>
      <c r="B236" s="11">
        <v>5406</v>
      </c>
      <c r="C236" s="11" t="s">
        <v>4</v>
      </c>
      <c r="D236" s="1"/>
      <c r="E236" s="1"/>
      <c r="G236" s="10">
        <v>40695</v>
      </c>
      <c r="H236" s="11">
        <v>962</v>
      </c>
      <c r="I236" s="11" t="s">
        <v>15</v>
      </c>
    </row>
    <row r="237" spans="1:9" x14ac:dyDescent="0.25">
      <c r="A237" s="10">
        <v>41244</v>
      </c>
      <c r="B237" s="11">
        <v>10880</v>
      </c>
      <c r="C237" s="11" t="s">
        <v>2</v>
      </c>
      <c r="D237" s="1"/>
      <c r="E237" s="1"/>
      <c r="G237" s="10">
        <v>40695</v>
      </c>
      <c r="H237" s="11">
        <v>4502</v>
      </c>
      <c r="I237" s="11" t="s">
        <v>16</v>
      </c>
    </row>
    <row r="238" spans="1:9" x14ac:dyDescent="0.25">
      <c r="A238" s="10">
        <v>41244</v>
      </c>
      <c r="B238" s="11">
        <v>16216</v>
      </c>
      <c r="C238" s="11" t="s">
        <v>5</v>
      </c>
      <c r="D238" s="1"/>
      <c r="E238" s="1"/>
      <c r="G238" s="10">
        <v>40695</v>
      </c>
      <c r="H238" s="11">
        <v>6376</v>
      </c>
      <c r="I238" s="11" t="s">
        <v>14</v>
      </c>
    </row>
    <row r="239" spans="1:9" x14ac:dyDescent="0.25">
      <c r="A239" s="10">
        <v>41244</v>
      </c>
      <c r="B239" s="11">
        <v>5688</v>
      </c>
      <c r="C239" s="11" t="s">
        <v>4</v>
      </c>
      <c r="D239" s="1"/>
      <c r="E239" s="1"/>
      <c r="G239" s="10">
        <v>40725</v>
      </c>
      <c r="H239" s="11">
        <v>949</v>
      </c>
      <c r="I239" s="11" t="s">
        <v>15</v>
      </c>
    </row>
    <row r="240" spans="1:9" x14ac:dyDescent="0.25">
      <c r="A240" s="10">
        <v>41275</v>
      </c>
      <c r="B240" s="11">
        <v>14266</v>
      </c>
      <c r="C240" s="11" t="s">
        <v>5</v>
      </c>
      <c r="D240" s="1"/>
      <c r="E240" s="1"/>
      <c r="G240" s="10">
        <v>40725</v>
      </c>
      <c r="H240" s="11">
        <v>5638</v>
      </c>
      <c r="I240" s="11" t="s">
        <v>16</v>
      </c>
    </row>
    <row r="241" spans="1:9" x14ac:dyDescent="0.25">
      <c r="A241" s="10">
        <v>41275</v>
      </c>
      <c r="B241" s="11">
        <v>5623</v>
      </c>
      <c r="C241" s="11" t="s">
        <v>4</v>
      </c>
      <c r="D241" s="1"/>
      <c r="E241" s="1"/>
      <c r="G241" s="10">
        <v>40725</v>
      </c>
      <c r="H241" s="11">
        <v>5524</v>
      </c>
      <c r="I241" s="11" t="s">
        <v>14</v>
      </c>
    </row>
    <row r="242" spans="1:9" x14ac:dyDescent="0.25">
      <c r="A242" s="10">
        <v>41275</v>
      </c>
      <c r="B242" s="11">
        <v>9018</v>
      </c>
      <c r="C242" s="11" t="s">
        <v>2</v>
      </c>
      <c r="D242" s="1"/>
      <c r="E242" s="1"/>
      <c r="G242" s="10">
        <v>40756</v>
      </c>
      <c r="H242" s="11">
        <v>1218</v>
      </c>
      <c r="I242" s="11" t="s">
        <v>15</v>
      </c>
    </row>
    <row r="243" spans="1:9" x14ac:dyDescent="0.25">
      <c r="A243" s="10">
        <v>41306</v>
      </c>
      <c r="B243" s="11">
        <v>6895</v>
      </c>
      <c r="C243" s="11" t="s">
        <v>4</v>
      </c>
      <c r="D243" s="1"/>
      <c r="E243" s="1"/>
      <c r="G243" s="10">
        <v>40756</v>
      </c>
      <c r="H243" s="11">
        <v>7760</v>
      </c>
      <c r="I243" s="11" t="s">
        <v>16</v>
      </c>
    </row>
    <row r="244" spans="1:9" x14ac:dyDescent="0.25">
      <c r="A244" s="10">
        <v>41306</v>
      </c>
      <c r="B244" s="11">
        <v>14429</v>
      </c>
      <c r="C244" s="11" t="s">
        <v>5</v>
      </c>
      <c r="D244" s="1"/>
      <c r="E244" s="1"/>
      <c r="G244" s="10">
        <v>40756</v>
      </c>
      <c r="H244" s="11">
        <v>6163</v>
      </c>
      <c r="I244" s="11" t="s">
        <v>14</v>
      </c>
    </row>
    <row r="245" spans="1:9" x14ac:dyDescent="0.25">
      <c r="A245" s="10">
        <v>41306</v>
      </c>
      <c r="B245" s="11">
        <v>9650</v>
      </c>
      <c r="C245" s="11" t="s">
        <v>2</v>
      </c>
      <c r="D245" s="1"/>
      <c r="E245" s="1"/>
      <c r="G245" s="10">
        <v>40787</v>
      </c>
      <c r="H245" s="11">
        <v>1351</v>
      </c>
      <c r="I245" s="11" t="s">
        <v>15</v>
      </c>
    </row>
    <row r="246" spans="1:9" x14ac:dyDescent="0.25">
      <c r="A246" s="10">
        <v>41334</v>
      </c>
      <c r="B246" s="11">
        <v>7264</v>
      </c>
      <c r="C246" s="11" t="s">
        <v>4</v>
      </c>
      <c r="D246" s="1"/>
      <c r="E246" s="1"/>
      <c r="G246" s="10">
        <v>40787</v>
      </c>
      <c r="H246" s="11">
        <v>7099</v>
      </c>
      <c r="I246" s="11" t="s">
        <v>16</v>
      </c>
    </row>
    <row r="247" spans="1:9" x14ac:dyDescent="0.25">
      <c r="A247" s="10">
        <v>41334</v>
      </c>
      <c r="B247" s="11">
        <v>15534</v>
      </c>
      <c r="C247" s="11" t="s">
        <v>5</v>
      </c>
      <c r="D247" s="1"/>
      <c r="E247" s="1"/>
      <c r="G247" s="10">
        <v>40787</v>
      </c>
      <c r="H247" s="11">
        <v>6608</v>
      </c>
      <c r="I247" s="11" t="s">
        <v>14</v>
      </c>
    </row>
    <row r="248" spans="1:9" x14ac:dyDescent="0.25">
      <c r="A248" s="10">
        <v>41334</v>
      </c>
      <c r="B248" s="11">
        <v>8479</v>
      </c>
      <c r="C248" s="11" t="s">
        <v>2</v>
      </c>
      <c r="D248" s="1"/>
      <c r="E248" s="1"/>
      <c r="G248" s="10">
        <v>40817</v>
      </c>
      <c r="H248" s="11">
        <v>1507</v>
      </c>
      <c r="I248" s="11" t="s">
        <v>15</v>
      </c>
    </row>
    <row r="249" spans="1:9" x14ac:dyDescent="0.25">
      <c r="A249" s="10">
        <v>41365</v>
      </c>
      <c r="B249" s="11">
        <v>6110</v>
      </c>
      <c r="C249" s="11" t="s">
        <v>4</v>
      </c>
      <c r="D249" s="1"/>
      <c r="E249" s="1"/>
      <c r="G249" s="10">
        <v>40817</v>
      </c>
      <c r="H249" s="11">
        <v>7200</v>
      </c>
      <c r="I249" s="11" t="s">
        <v>16</v>
      </c>
    </row>
    <row r="250" spans="1:9" x14ac:dyDescent="0.25">
      <c r="A250" s="10">
        <v>41365</v>
      </c>
      <c r="B250" s="11">
        <v>15566</v>
      </c>
      <c r="C250" s="11" t="s">
        <v>5</v>
      </c>
      <c r="D250" s="1"/>
      <c r="E250" s="1"/>
      <c r="G250" s="10">
        <v>40817</v>
      </c>
      <c r="H250" s="11">
        <v>6814</v>
      </c>
      <c r="I250" s="11" t="s">
        <v>14</v>
      </c>
    </row>
    <row r="251" spans="1:9" x14ac:dyDescent="0.25">
      <c r="A251" s="10">
        <v>41365</v>
      </c>
      <c r="B251" s="11">
        <v>10146</v>
      </c>
      <c r="C251" s="11" t="s">
        <v>2</v>
      </c>
      <c r="D251" s="1"/>
      <c r="E251" s="1"/>
      <c r="G251" s="10">
        <v>40848</v>
      </c>
      <c r="H251" s="11">
        <v>2221</v>
      </c>
      <c r="I251" s="11" t="s">
        <v>15</v>
      </c>
    </row>
    <row r="252" spans="1:9" x14ac:dyDescent="0.25">
      <c r="A252" s="10">
        <v>41395</v>
      </c>
      <c r="B252" s="11">
        <v>5217</v>
      </c>
      <c r="C252" s="11" t="s">
        <v>4</v>
      </c>
      <c r="D252" s="1"/>
      <c r="E252" s="1"/>
      <c r="G252" s="10">
        <v>40848</v>
      </c>
      <c r="H252" s="11">
        <v>6027</v>
      </c>
      <c r="I252" s="11" t="s">
        <v>16</v>
      </c>
    </row>
    <row r="253" spans="1:9" x14ac:dyDescent="0.25">
      <c r="A253" s="10">
        <v>41395</v>
      </c>
      <c r="B253" s="11">
        <v>15856</v>
      </c>
      <c r="C253" s="11" t="s">
        <v>5</v>
      </c>
      <c r="D253" s="1"/>
      <c r="E253" s="1"/>
      <c r="G253" s="10">
        <v>40848</v>
      </c>
      <c r="H253" s="11">
        <v>7897</v>
      </c>
      <c r="I253" s="11" t="s">
        <v>14</v>
      </c>
    </row>
    <row r="254" spans="1:9" x14ac:dyDescent="0.25">
      <c r="A254" s="10">
        <v>41395</v>
      </c>
      <c r="B254" s="11">
        <v>11269</v>
      </c>
      <c r="C254" s="11" t="s">
        <v>2</v>
      </c>
      <c r="D254" s="1"/>
      <c r="E254" s="1"/>
      <c r="G254" s="10">
        <v>40878</v>
      </c>
      <c r="H254" s="11">
        <v>2309</v>
      </c>
      <c r="I254" s="11" t="s">
        <v>15</v>
      </c>
    </row>
    <row r="255" spans="1:9" x14ac:dyDescent="0.25">
      <c r="A255" s="10">
        <v>41426</v>
      </c>
      <c r="B255" s="11">
        <v>5029</v>
      </c>
      <c r="C255" s="11" t="s">
        <v>4</v>
      </c>
      <c r="D255" s="1"/>
      <c r="E255" s="1"/>
      <c r="G255" s="10">
        <v>40878</v>
      </c>
      <c r="H255" s="11">
        <v>4246</v>
      </c>
      <c r="I255" s="11" t="s">
        <v>16</v>
      </c>
    </row>
    <row r="256" spans="1:9" x14ac:dyDescent="0.25">
      <c r="A256" s="10">
        <v>41426</v>
      </c>
      <c r="B256" s="11">
        <v>14917</v>
      </c>
      <c r="C256" s="11" t="s">
        <v>5</v>
      </c>
      <c r="D256" s="1"/>
      <c r="E256" s="1"/>
      <c r="G256" s="10">
        <v>40878</v>
      </c>
      <c r="H256" s="11">
        <v>9245</v>
      </c>
      <c r="I256" s="11" t="s">
        <v>14</v>
      </c>
    </row>
    <row r="257" spans="1:9" x14ac:dyDescent="0.25">
      <c r="A257" s="10">
        <v>41426</v>
      </c>
      <c r="B257" s="11">
        <v>12429</v>
      </c>
      <c r="C257" s="11" t="s">
        <v>2</v>
      </c>
      <c r="D257" s="1"/>
      <c r="E257" s="1"/>
      <c r="G257" s="10">
        <v>40909</v>
      </c>
      <c r="H257" s="11">
        <v>2524</v>
      </c>
      <c r="I257" s="11" t="s">
        <v>15</v>
      </c>
    </row>
    <row r="258" spans="1:9" x14ac:dyDescent="0.25">
      <c r="A258" s="10">
        <v>41456</v>
      </c>
      <c r="B258" s="11">
        <v>5406</v>
      </c>
      <c r="C258" s="11" t="s">
        <v>4</v>
      </c>
      <c r="D258" s="1"/>
      <c r="E258" s="1"/>
      <c r="G258" s="10">
        <v>40909</v>
      </c>
      <c r="H258" s="11">
        <v>4694</v>
      </c>
      <c r="I258" s="11" t="s">
        <v>16</v>
      </c>
    </row>
    <row r="259" spans="1:9" x14ac:dyDescent="0.25">
      <c r="A259" s="10">
        <v>41456</v>
      </c>
      <c r="B259" s="11">
        <v>13693</v>
      </c>
      <c r="C259" s="11" t="s">
        <v>5</v>
      </c>
      <c r="D259" s="1"/>
      <c r="E259" s="1"/>
      <c r="G259" s="10">
        <v>40909</v>
      </c>
      <c r="H259" s="11">
        <v>9831</v>
      </c>
      <c r="I259" s="11" t="s">
        <v>14</v>
      </c>
    </row>
    <row r="260" spans="1:9" x14ac:dyDescent="0.25">
      <c r="A260" s="10">
        <v>41456</v>
      </c>
      <c r="B260" s="11">
        <v>16843</v>
      </c>
      <c r="C260" s="11" t="s">
        <v>2</v>
      </c>
      <c r="D260" s="1"/>
      <c r="E260" s="1"/>
      <c r="G260" s="10">
        <v>40940</v>
      </c>
      <c r="H260" s="11">
        <v>2754</v>
      </c>
      <c r="I260" s="11" t="s">
        <v>15</v>
      </c>
    </row>
    <row r="261" spans="1:9" x14ac:dyDescent="0.25">
      <c r="A261" s="10">
        <v>41487</v>
      </c>
      <c r="B261" s="11">
        <v>11861</v>
      </c>
      <c r="C261" s="11" t="s">
        <v>5</v>
      </c>
      <c r="D261" s="1"/>
      <c r="E261" s="1"/>
      <c r="G261" s="10">
        <v>40940</v>
      </c>
      <c r="H261" s="11">
        <v>5408</v>
      </c>
      <c r="I261" s="11" t="s">
        <v>16</v>
      </c>
    </row>
    <row r="262" spans="1:9" x14ac:dyDescent="0.25">
      <c r="A262" s="10">
        <v>41487</v>
      </c>
      <c r="B262" s="11">
        <v>4256</v>
      </c>
      <c r="C262" s="11" t="s">
        <v>4</v>
      </c>
      <c r="D262" s="1"/>
      <c r="E262" s="1"/>
      <c r="G262" s="10">
        <v>40940</v>
      </c>
      <c r="H262" s="11">
        <v>9082</v>
      </c>
      <c r="I262" s="11" t="s">
        <v>14</v>
      </c>
    </row>
    <row r="263" spans="1:9" x14ac:dyDescent="0.25">
      <c r="A263" s="10">
        <v>41487</v>
      </c>
      <c r="B263" s="11">
        <v>16724</v>
      </c>
      <c r="C263" s="11" t="s">
        <v>2</v>
      </c>
      <c r="D263" s="1"/>
      <c r="E263" s="1"/>
      <c r="G263" s="10">
        <v>40969</v>
      </c>
      <c r="H263" s="11">
        <v>2417</v>
      </c>
      <c r="I263" s="11" t="s">
        <v>15</v>
      </c>
    </row>
    <row r="264" spans="1:9" x14ac:dyDescent="0.25">
      <c r="A264" s="10">
        <v>41518</v>
      </c>
      <c r="B264" s="11">
        <v>16145</v>
      </c>
      <c r="C264" s="11" t="s">
        <v>2</v>
      </c>
      <c r="D264" s="1"/>
      <c r="E264" s="1"/>
      <c r="G264" s="10">
        <v>40969</v>
      </c>
      <c r="H264" s="11">
        <v>3234</v>
      </c>
      <c r="I264" s="11" t="s">
        <v>16</v>
      </c>
    </row>
    <row r="265" spans="1:9" x14ac:dyDescent="0.25">
      <c r="A265" s="10">
        <v>41518</v>
      </c>
      <c r="B265" s="11">
        <v>10905</v>
      </c>
      <c r="C265" s="11" t="s">
        <v>5</v>
      </c>
      <c r="D265" s="1"/>
      <c r="E265" s="1"/>
      <c r="G265" s="10">
        <v>40969</v>
      </c>
      <c r="H265" s="11">
        <v>11001</v>
      </c>
      <c r="I265" s="11" t="s">
        <v>14</v>
      </c>
    </row>
    <row r="266" spans="1:9" x14ac:dyDescent="0.25">
      <c r="A266" s="10">
        <v>41518</v>
      </c>
      <c r="B266" s="11">
        <v>3337</v>
      </c>
      <c r="C266" s="11" t="s">
        <v>4</v>
      </c>
      <c r="D266" s="1"/>
      <c r="E266" s="1"/>
      <c r="G266" s="10">
        <v>41000</v>
      </c>
      <c r="H266" s="11">
        <v>2589</v>
      </c>
      <c r="I266" s="11" t="s">
        <v>15</v>
      </c>
    </row>
    <row r="267" spans="1:9" x14ac:dyDescent="0.25">
      <c r="A267" s="10">
        <v>41548</v>
      </c>
      <c r="B267" s="11">
        <v>8808</v>
      </c>
      <c r="C267" s="11" t="s">
        <v>5</v>
      </c>
      <c r="D267" s="1"/>
      <c r="E267" s="1"/>
      <c r="G267" s="10">
        <v>41000</v>
      </c>
      <c r="H267" s="11">
        <v>3368</v>
      </c>
      <c r="I267" s="11" t="s">
        <v>16</v>
      </c>
    </row>
    <row r="268" spans="1:9" x14ac:dyDescent="0.25">
      <c r="A268" s="10">
        <v>41548</v>
      </c>
      <c r="B268" s="11">
        <v>14864</v>
      </c>
      <c r="C268" s="11" t="s">
        <v>2</v>
      </c>
      <c r="D268" s="1"/>
      <c r="E268" s="1"/>
      <c r="G268" s="10">
        <v>41000</v>
      </c>
      <c r="H268" s="11">
        <v>14080</v>
      </c>
      <c r="I268" s="11" t="s">
        <v>14</v>
      </c>
    </row>
    <row r="269" spans="1:9" x14ac:dyDescent="0.25">
      <c r="A269" s="10">
        <v>41548</v>
      </c>
      <c r="B269" s="11">
        <v>1914</v>
      </c>
      <c r="C269" s="11" t="s">
        <v>4</v>
      </c>
      <c r="D269" s="1"/>
      <c r="E269" s="1"/>
      <c r="G269" s="10">
        <v>41030</v>
      </c>
      <c r="H269" s="11">
        <v>2638</v>
      </c>
      <c r="I269" s="11" t="s">
        <v>15</v>
      </c>
    </row>
    <row r="270" spans="1:9" x14ac:dyDescent="0.25">
      <c r="A270" s="10">
        <v>41579</v>
      </c>
      <c r="B270" s="11">
        <v>12990</v>
      </c>
      <c r="C270" s="11" t="s">
        <v>2</v>
      </c>
      <c r="D270" s="1"/>
      <c r="E270" s="1"/>
      <c r="G270" s="10">
        <v>41030</v>
      </c>
      <c r="H270" s="11">
        <v>4588</v>
      </c>
      <c r="I270" s="11" t="s">
        <v>16</v>
      </c>
    </row>
    <row r="271" spans="1:9" x14ac:dyDescent="0.25">
      <c r="A271" s="10">
        <v>41579</v>
      </c>
      <c r="B271" s="11">
        <v>6521</v>
      </c>
      <c r="C271" s="11" t="s">
        <v>5</v>
      </c>
      <c r="D271" s="1"/>
      <c r="E271" s="1"/>
      <c r="G271" s="10">
        <v>41030</v>
      </c>
      <c r="H271" s="11">
        <v>13189</v>
      </c>
      <c r="I271" s="11" t="s">
        <v>14</v>
      </c>
    </row>
    <row r="272" spans="1:9" x14ac:dyDescent="0.25">
      <c r="A272" s="10">
        <v>41579</v>
      </c>
      <c r="B272" s="11">
        <v>1306</v>
      </c>
      <c r="C272" s="11" t="s">
        <v>4</v>
      </c>
      <c r="D272" s="1"/>
      <c r="E272" s="1"/>
      <c r="G272" s="10">
        <v>41061</v>
      </c>
      <c r="H272" s="11">
        <v>2459</v>
      </c>
      <c r="I272" s="11" t="s">
        <v>15</v>
      </c>
    </row>
    <row r="273" spans="1:9" x14ac:dyDescent="0.25">
      <c r="A273" s="10">
        <v>41609</v>
      </c>
      <c r="B273" s="11">
        <v>1361</v>
      </c>
      <c r="C273" s="11" t="s">
        <v>4</v>
      </c>
      <c r="D273" s="1"/>
      <c r="E273" s="1"/>
      <c r="G273" s="10">
        <v>41061</v>
      </c>
      <c r="H273" s="11">
        <v>7585</v>
      </c>
      <c r="I273" s="11" t="s">
        <v>16</v>
      </c>
    </row>
    <row r="274" spans="1:9" x14ac:dyDescent="0.25">
      <c r="A274" s="10">
        <v>41609</v>
      </c>
      <c r="B274" s="11">
        <v>13820</v>
      </c>
      <c r="C274" s="11" t="s">
        <v>2</v>
      </c>
      <c r="D274" s="1"/>
      <c r="E274" s="1"/>
      <c r="G274" s="10">
        <v>41061</v>
      </c>
      <c r="H274" s="11">
        <v>12382</v>
      </c>
      <c r="I274" s="11" t="s">
        <v>14</v>
      </c>
    </row>
    <row r="275" spans="1:9" x14ac:dyDescent="0.25">
      <c r="A275" s="10">
        <v>41609</v>
      </c>
      <c r="B275" s="11">
        <v>5615</v>
      </c>
      <c r="C275" s="11" t="s">
        <v>5</v>
      </c>
      <c r="D275" s="1"/>
      <c r="E275" s="1"/>
      <c r="G275" s="10">
        <v>41091</v>
      </c>
      <c r="H275" s="11">
        <v>2154</v>
      </c>
      <c r="I275" s="11" t="s">
        <v>15</v>
      </c>
    </row>
    <row r="276" spans="1:9" x14ac:dyDescent="0.25">
      <c r="A276" s="10">
        <v>41640</v>
      </c>
      <c r="B276" s="11">
        <v>13950</v>
      </c>
      <c r="C276" s="11" t="s">
        <v>2</v>
      </c>
      <c r="D276" s="1"/>
      <c r="E276" s="1"/>
      <c r="G276" s="10">
        <v>41091</v>
      </c>
      <c r="H276" s="11">
        <v>9137</v>
      </c>
      <c r="I276" s="11" t="s">
        <v>16</v>
      </c>
    </row>
    <row r="277" spans="1:9" x14ac:dyDescent="0.25">
      <c r="A277" s="10">
        <v>41640</v>
      </c>
      <c r="B277" s="11">
        <v>4989</v>
      </c>
      <c r="C277" s="11" t="s">
        <v>5</v>
      </c>
      <c r="D277" s="1"/>
      <c r="E277" s="1"/>
      <c r="G277" s="10">
        <v>41091</v>
      </c>
      <c r="H277" s="11">
        <v>13178</v>
      </c>
      <c r="I277" s="11" t="s">
        <v>14</v>
      </c>
    </row>
    <row r="278" spans="1:9" x14ac:dyDescent="0.25">
      <c r="A278" s="10">
        <v>41640</v>
      </c>
      <c r="B278" s="11">
        <v>1759</v>
      </c>
      <c r="C278" s="11" t="s">
        <v>4</v>
      </c>
      <c r="D278" s="1"/>
      <c r="E278" s="1"/>
      <c r="G278" s="10">
        <v>41122</v>
      </c>
      <c r="H278" s="11">
        <v>2384</v>
      </c>
      <c r="I278" s="11" t="s">
        <v>15</v>
      </c>
    </row>
    <row r="279" spans="1:9" x14ac:dyDescent="0.25">
      <c r="A279" s="10">
        <v>41671</v>
      </c>
      <c r="B279" s="11">
        <v>4958</v>
      </c>
      <c r="C279" s="11" t="s">
        <v>5</v>
      </c>
      <c r="D279" s="1"/>
      <c r="E279" s="1"/>
      <c r="G279" s="10">
        <v>41122</v>
      </c>
      <c r="H279" s="11">
        <v>10864</v>
      </c>
      <c r="I279" s="11" t="s">
        <v>16</v>
      </c>
    </row>
    <row r="280" spans="1:9" x14ac:dyDescent="0.25">
      <c r="A280" s="10">
        <v>41671</v>
      </c>
      <c r="B280" s="11">
        <v>1860</v>
      </c>
      <c r="C280" s="11" t="s">
        <v>4</v>
      </c>
      <c r="D280" s="1"/>
      <c r="E280" s="1"/>
      <c r="G280" s="10">
        <v>41122</v>
      </c>
      <c r="H280" s="11">
        <v>13092</v>
      </c>
      <c r="I280" s="11" t="s">
        <v>14</v>
      </c>
    </row>
    <row r="281" spans="1:9" x14ac:dyDescent="0.25">
      <c r="A281" s="10">
        <v>41671</v>
      </c>
      <c r="B281" s="11">
        <v>14928</v>
      </c>
      <c r="C281" s="11" t="s">
        <v>2</v>
      </c>
      <c r="D281" s="1"/>
      <c r="E281" s="1"/>
      <c r="G281" s="10">
        <v>41153</v>
      </c>
      <c r="H281" s="11">
        <v>3481</v>
      </c>
      <c r="I281" s="11" t="s">
        <v>15</v>
      </c>
    </row>
    <row r="282" spans="1:9" x14ac:dyDescent="0.25">
      <c r="A282" s="10">
        <v>41699</v>
      </c>
      <c r="B282" s="11">
        <v>1160</v>
      </c>
      <c r="C282" s="11" t="s">
        <v>4</v>
      </c>
      <c r="D282" s="1"/>
      <c r="E282" s="1"/>
      <c r="G282" s="10">
        <v>41153</v>
      </c>
      <c r="H282" s="11">
        <v>11375</v>
      </c>
      <c r="I282" s="11" t="s">
        <v>16</v>
      </c>
    </row>
    <row r="283" spans="1:9" x14ac:dyDescent="0.25">
      <c r="A283" s="10">
        <v>41699</v>
      </c>
      <c r="B283" s="11">
        <v>4086</v>
      </c>
      <c r="C283" s="11" t="s">
        <v>5</v>
      </c>
      <c r="D283" s="1"/>
      <c r="E283" s="1"/>
      <c r="G283" s="10">
        <v>41153</v>
      </c>
      <c r="H283" s="11">
        <v>13246</v>
      </c>
      <c r="I283" s="11" t="s">
        <v>14</v>
      </c>
    </row>
    <row r="284" spans="1:9" x14ac:dyDescent="0.25">
      <c r="A284" s="10">
        <v>41699</v>
      </c>
      <c r="B284" s="11">
        <v>9742</v>
      </c>
      <c r="C284" s="11" t="s">
        <v>2</v>
      </c>
      <c r="D284" s="1"/>
      <c r="E284" s="1"/>
      <c r="G284" s="10">
        <v>41183</v>
      </c>
      <c r="H284" s="11">
        <v>4791</v>
      </c>
      <c r="I284" s="11" t="s">
        <v>15</v>
      </c>
    </row>
    <row r="285" spans="1:9" x14ac:dyDescent="0.25">
      <c r="A285" s="10">
        <v>41730</v>
      </c>
      <c r="B285" s="11">
        <v>11240</v>
      </c>
      <c r="C285" s="11" t="s">
        <v>2</v>
      </c>
      <c r="D285" s="1"/>
      <c r="E285" s="1"/>
      <c r="G285" s="10">
        <v>41183</v>
      </c>
      <c r="H285" s="11">
        <v>11150</v>
      </c>
      <c r="I285" s="11" t="s">
        <v>16</v>
      </c>
    </row>
    <row r="286" spans="1:9" x14ac:dyDescent="0.25">
      <c r="A286" s="10">
        <v>41730</v>
      </c>
      <c r="B286" s="11">
        <v>4556</v>
      </c>
      <c r="C286" s="11" t="s">
        <v>6</v>
      </c>
      <c r="D286" s="1"/>
      <c r="E286" s="1"/>
      <c r="G286" s="10">
        <v>41183</v>
      </c>
      <c r="H286" s="11">
        <v>14068</v>
      </c>
      <c r="I286" s="11" t="s">
        <v>14</v>
      </c>
    </row>
    <row r="287" spans="1:9" x14ac:dyDescent="0.25">
      <c r="A287" s="10">
        <v>41760</v>
      </c>
      <c r="B287" s="11">
        <v>5179</v>
      </c>
      <c r="C287" s="11" t="s">
        <v>6</v>
      </c>
      <c r="D287" s="1"/>
      <c r="E287" s="1"/>
      <c r="G287" s="10">
        <v>41214</v>
      </c>
      <c r="H287" s="11">
        <v>5586</v>
      </c>
      <c r="I287" s="11" t="s">
        <v>15</v>
      </c>
    </row>
    <row r="288" spans="1:9" x14ac:dyDescent="0.25">
      <c r="A288" s="10">
        <v>41760</v>
      </c>
      <c r="B288" s="11">
        <v>15803</v>
      </c>
      <c r="C288" s="11" t="s">
        <v>2</v>
      </c>
      <c r="D288" s="1"/>
      <c r="E288" s="1"/>
      <c r="G288" s="10">
        <v>41214</v>
      </c>
      <c r="H288" s="11">
        <v>10847</v>
      </c>
      <c r="I288" s="11" t="s">
        <v>16</v>
      </c>
    </row>
    <row r="289" spans="1:9" x14ac:dyDescent="0.25">
      <c r="A289" s="10">
        <v>41791</v>
      </c>
      <c r="B289" s="11">
        <v>4876</v>
      </c>
      <c r="C289" s="11" t="s">
        <v>6</v>
      </c>
      <c r="D289" s="1"/>
      <c r="E289" s="1"/>
      <c r="G289" s="10">
        <v>41214</v>
      </c>
      <c r="H289" s="11">
        <v>13316</v>
      </c>
      <c r="I289" s="11" t="s">
        <v>14</v>
      </c>
    </row>
    <row r="290" spans="1:9" x14ac:dyDescent="0.25">
      <c r="A290" s="10">
        <v>41791</v>
      </c>
      <c r="B290" s="11">
        <v>17744</v>
      </c>
      <c r="C290" s="11" t="s">
        <v>2</v>
      </c>
      <c r="D290" s="1"/>
      <c r="E290" s="1"/>
      <c r="G290" s="10">
        <v>41244</v>
      </c>
      <c r="H290" s="11">
        <v>5969</v>
      </c>
      <c r="I290" s="11" t="s">
        <v>15</v>
      </c>
    </row>
    <row r="291" spans="1:9" x14ac:dyDescent="0.25">
      <c r="A291" s="10">
        <v>41821</v>
      </c>
      <c r="B291" s="11">
        <v>4405</v>
      </c>
      <c r="C291" s="11" t="s">
        <v>6</v>
      </c>
      <c r="D291" s="1"/>
      <c r="E291" s="1"/>
      <c r="G291" s="10">
        <v>41244</v>
      </c>
      <c r="H291" s="11">
        <v>10879</v>
      </c>
      <c r="I291" s="11" t="s">
        <v>16</v>
      </c>
    </row>
    <row r="292" spans="1:9" x14ac:dyDescent="0.25">
      <c r="A292" s="10">
        <v>41821</v>
      </c>
      <c r="B292" s="11">
        <v>20546</v>
      </c>
      <c r="C292" s="11" t="s">
        <v>2</v>
      </c>
      <c r="D292" s="1"/>
      <c r="E292" s="1"/>
      <c r="G292" s="10">
        <v>41244</v>
      </c>
      <c r="H292" s="11">
        <v>15936</v>
      </c>
      <c r="I292" s="11" t="s">
        <v>14</v>
      </c>
    </row>
    <row r="293" spans="1:9" x14ac:dyDescent="0.25">
      <c r="A293" s="10">
        <v>41852</v>
      </c>
      <c r="B293" s="11">
        <v>24796</v>
      </c>
      <c r="C293" s="11" t="s">
        <v>2</v>
      </c>
      <c r="D293" s="1"/>
      <c r="E293" s="1"/>
      <c r="G293" s="10">
        <v>41275</v>
      </c>
      <c r="H293" s="11">
        <v>5934</v>
      </c>
      <c r="I293" s="11" t="s">
        <v>15</v>
      </c>
    </row>
    <row r="294" spans="1:9" x14ac:dyDescent="0.25">
      <c r="A294" s="10">
        <v>41852</v>
      </c>
      <c r="B294" s="11">
        <v>4762</v>
      </c>
      <c r="C294" s="11" t="s">
        <v>6</v>
      </c>
      <c r="D294" s="1"/>
      <c r="E294" s="1"/>
      <c r="G294" s="10">
        <v>41275</v>
      </c>
      <c r="H294" s="11">
        <v>9018</v>
      </c>
      <c r="I294" s="11" t="s">
        <v>16</v>
      </c>
    </row>
    <row r="295" spans="1:9" x14ac:dyDescent="0.25">
      <c r="A295" s="10">
        <v>41883</v>
      </c>
      <c r="B295" s="11">
        <v>4636</v>
      </c>
      <c r="C295" s="11" t="s">
        <v>6</v>
      </c>
      <c r="D295" s="1"/>
      <c r="E295" s="1"/>
      <c r="G295" s="10">
        <v>41275</v>
      </c>
      <c r="H295" s="11">
        <v>13955</v>
      </c>
      <c r="I295" s="11" t="s">
        <v>14</v>
      </c>
    </row>
    <row r="296" spans="1:9" x14ac:dyDescent="0.25">
      <c r="A296" s="10">
        <v>41883</v>
      </c>
      <c r="B296" s="11">
        <v>24555</v>
      </c>
      <c r="C296" s="11" t="s">
        <v>2</v>
      </c>
      <c r="D296" s="1"/>
      <c r="E296" s="1"/>
      <c r="G296" s="10">
        <v>41306</v>
      </c>
      <c r="H296" s="11">
        <v>7206</v>
      </c>
      <c r="I296" s="11" t="s">
        <v>15</v>
      </c>
    </row>
    <row r="297" spans="1:9" x14ac:dyDescent="0.25">
      <c r="A297" s="10">
        <v>41913</v>
      </c>
      <c r="B297" s="11">
        <v>22824</v>
      </c>
      <c r="C297" s="11" t="s">
        <v>2</v>
      </c>
      <c r="D297" s="1"/>
      <c r="E297" s="1"/>
      <c r="G297" s="10">
        <v>41306</v>
      </c>
      <c r="H297" s="11">
        <v>9650</v>
      </c>
      <c r="I297" s="11" t="s">
        <v>16</v>
      </c>
    </row>
    <row r="298" spans="1:9" x14ac:dyDescent="0.25">
      <c r="A298" s="10">
        <v>41913</v>
      </c>
      <c r="B298" s="11">
        <v>4896</v>
      </c>
      <c r="C298" s="11" t="s">
        <v>6</v>
      </c>
      <c r="D298" s="1"/>
      <c r="E298" s="1"/>
      <c r="G298" s="10">
        <v>41306</v>
      </c>
      <c r="H298" s="11">
        <v>14118</v>
      </c>
      <c r="I298" s="11" t="s">
        <v>14</v>
      </c>
    </row>
    <row r="299" spans="1:9" x14ac:dyDescent="0.25">
      <c r="A299" s="10">
        <v>41944</v>
      </c>
      <c r="B299" s="11">
        <v>20843</v>
      </c>
      <c r="C299" s="11" t="s">
        <v>2</v>
      </c>
      <c r="D299" s="1"/>
      <c r="E299" s="1"/>
      <c r="G299" s="10">
        <v>41334</v>
      </c>
      <c r="H299" s="11">
        <v>7626</v>
      </c>
      <c r="I299" s="11" t="s">
        <v>15</v>
      </c>
    </row>
    <row r="300" spans="1:9" x14ac:dyDescent="0.25">
      <c r="A300" s="10">
        <v>41944</v>
      </c>
      <c r="B300" s="11">
        <v>5167</v>
      </c>
      <c r="C300" s="11" t="s">
        <v>6</v>
      </c>
      <c r="D300" s="1"/>
      <c r="E300" s="1"/>
      <c r="G300" s="10">
        <v>41334</v>
      </c>
      <c r="H300" s="11">
        <v>8478</v>
      </c>
      <c r="I300" s="11" t="s">
        <v>16</v>
      </c>
    </row>
    <row r="301" spans="1:9" x14ac:dyDescent="0.25">
      <c r="A301" s="10">
        <v>41974</v>
      </c>
      <c r="B301" s="11">
        <v>5510</v>
      </c>
      <c r="C301" s="11" t="s">
        <v>6</v>
      </c>
      <c r="D301" s="1"/>
      <c r="E301" s="1"/>
      <c r="G301" s="10">
        <v>41334</v>
      </c>
      <c r="H301" s="11">
        <v>15173</v>
      </c>
      <c r="I301" s="11" t="s">
        <v>14</v>
      </c>
    </row>
    <row r="302" spans="1:9" x14ac:dyDescent="0.25">
      <c r="A302" s="10">
        <v>41974</v>
      </c>
      <c r="B302" s="11">
        <v>18453</v>
      </c>
      <c r="C302" s="11" t="s">
        <v>2</v>
      </c>
      <c r="D302" s="1"/>
      <c r="E302" s="1"/>
      <c r="G302" s="10">
        <v>41365</v>
      </c>
      <c r="H302" s="11">
        <v>6418</v>
      </c>
      <c r="I302" s="11" t="s">
        <v>15</v>
      </c>
    </row>
    <row r="303" spans="1:9" x14ac:dyDescent="0.25">
      <c r="A303" s="10">
        <v>42005</v>
      </c>
      <c r="B303" s="11">
        <v>15691</v>
      </c>
      <c r="C303" s="11" t="s">
        <v>2</v>
      </c>
      <c r="D303" s="1"/>
      <c r="E303" s="1"/>
      <c r="G303" s="10">
        <v>41365</v>
      </c>
      <c r="H303" s="11">
        <v>10146</v>
      </c>
      <c r="I303" s="11" t="s">
        <v>16</v>
      </c>
    </row>
    <row r="304" spans="1:9" x14ac:dyDescent="0.25">
      <c r="A304" s="10">
        <v>42005</v>
      </c>
      <c r="B304" s="11">
        <v>6131</v>
      </c>
      <c r="C304" s="11" t="s">
        <v>6</v>
      </c>
      <c r="D304" s="1"/>
      <c r="E304" s="1"/>
      <c r="G304" s="10">
        <v>41365</v>
      </c>
      <c r="H304" s="11">
        <v>15258</v>
      </c>
      <c r="I304" s="11" t="s">
        <v>14</v>
      </c>
    </row>
    <row r="305" spans="1:9" x14ac:dyDescent="0.25">
      <c r="A305" s="10">
        <v>42036</v>
      </c>
      <c r="B305" s="11">
        <v>16560</v>
      </c>
      <c r="C305" s="11" t="s">
        <v>2</v>
      </c>
      <c r="D305" s="1"/>
      <c r="E305" s="1"/>
      <c r="G305" s="10">
        <v>41395</v>
      </c>
      <c r="H305" s="11">
        <v>5534</v>
      </c>
      <c r="I305" s="11" t="s">
        <v>15</v>
      </c>
    </row>
    <row r="306" spans="1:9" x14ac:dyDescent="0.25">
      <c r="A306" s="10">
        <v>42036</v>
      </c>
      <c r="B306" s="11">
        <v>5534</v>
      </c>
      <c r="C306" s="11" t="s">
        <v>6</v>
      </c>
      <c r="D306" s="1"/>
      <c r="E306" s="1"/>
      <c r="G306" s="10">
        <v>41395</v>
      </c>
      <c r="H306" s="11">
        <v>11269</v>
      </c>
      <c r="I306" s="11" t="s">
        <v>16</v>
      </c>
    </row>
    <row r="307" spans="1:9" x14ac:dyDescent="0.25">
      <c r="A307" s="10">
        <v>42064</v>
      </c>
      <c r="B307" s="11">
        <v>6525</v>
      </c>
      <c r="C307" s="11" t="s">
        <v>6</v>
      </c>
      <c r="D307" s="1"/>
      <c r="E307" s="1"/>
      <c r="G307" s="10">
        <v>41395</v>
      </c>
      <c r="H307" s="11">
        <v>15539</v>
      </c>
      <c r="I307" s="11" t="s">
        <v>14</v>
      </c>
    </row>
    <row r="308" spans="1:9" x14ac:dyDescent="0.25">
      <c r="A308" s="10">
        <v>42064</v>
      </c>
      <c r="B308" s="11">
        <v>12222</v>
      </c>
      <c r="C308" s="11" t="s">
        <v>2</v>
      </c>
      <c r="D308" s="1"/>
      <c r="E308" s="1"/>
      <c r="G308" s="10">
        <v>41426</v>
      </c>
      <c r="H308" s="11">
        <v>5356</v>
      </c>
      <c r="I308" s="11" t="s">
        <v>15</v>
      </c>
    </row>
    <row r="309" spans="1:9" x14ac:dyDescent="0.25">
      <c r="A309" s="10">
        <v>42095</v>
      </c>
      <c r="B309" s="11">
        <v>13587</v>
      </c>
      <c r="C309" s="11" t="s">
        <v>2</v>
      </c>
      <c r="D309" s="1"/>
      <c r="E309" s="1"/>
      <c r="G309" s="10">
        <v>41426</v>
      </c>
      <c r="H309" s="11">
        <v>12428</v>
      </c>
      <c r="I309" s="11" t="s">
        <v>16</v>
      </c>
    </row>
    <row r="310" spans="1:9" x14ac:dyDescent="0.25">
      <c r="A310" s="10">
        <v>42095</v>
      </c>
      <c r="B310" s="11">
        <v>8494</v>
      </c>
      <c r="C310" s="11" t="s">
        <v>6</v>
      </c>
      <c r="D310" s="1"/>
      <c r="E310" s="1"/>
      <c r="G310" s="10">
        <v>41426</v>
      </c>
      <c r="H310" s="11">
        <v>14591</v>
      </c>
      <c r="I310" s="11" t="s">
        <v>14</v>
      </c>
    </row>
    <row r="311" spans="1:9" x14ac:dyDescent="0.25">
      <c r="A311" s="10">
        <v>42125</v>
      </c>
      <c r="B311" s="11">
        <v>19832</v>
      </c>
      <c r="C311" s="11" t="s">
        <v>2</v>
      </c>
      <c r="D311" s="1"/>
      <c r="E311" s="1"/>
      <c r="G311" s="10">
        <v>41456</v>
      </c>
      <c r="H311" s="11">
        <v>5791</v>
      </c>
      <c r="I311" s="11" t="s">
        <v>15</v>
      </c>
    </row>
    <row r="312" spans="1:9" x14ac:dyDescent="0.25">
      <c r="A312" s="10">
        <v>42125</v>
      </c>
      <c r="B312" s="11">
        <v>10156</v>
      </c>
      <c r="C312" s="11" t="s">
        <v>6</v>
      </c>
      <c r="D312" s="1"/>
      <c r="E312" s="1"/>
      <c r="G312" s="10">
        <v>41456</v>
      </c>
      <c r="H312" s="11">
        <v>16843</v>
      </c>
      <c r="I312" s="11" t="s">
        <v>16</v>
      </c>
    </row>
    <row r="313" spans="1:9" x14ac:dyDescent="0.25">
      <c r="A313" s="10">
        <v>42156</v>
      </c>
      <c r="B313" s="11">
        <v>7438</v>
      </c>
      <c r="C313" s="11" t="s">
        <v>6</v>
      </c>
      <c r="D313" s="1"/>
      <c r="E313" s="1"/>
      <c r="G313" s="10">
        <v>41456</v>
      </c>
      <c r="H313" s="11">
        <v>13308</v>
      </c>
      <c r="I313" s="11" t="s">
        <v>14</v>
      </c>
    </row>
    <row r="314" spans="1:9" x14ac:dyDescent="0.25">
      <c r="A314" s="10">
        <v>42156</v>
      </c>
      <c r="B314" s="11">
        <v>21996</v>
      </c>
      <c r="C314" s="11" t="s">
        <v>2</v>
      </c>
      <c r="D314" s="1"/>
      <c r="E314" s="1"/>
      <c r="G314" s="10">
        <v>41487</v>
      </c>
      <c r="H314" s="11">
        <v>4606</v>
      </c>
      <c r="I314" s="11" t="s">
        <v>15</v>
      </c>
    </row>
    <row r="315" spans="1:9" x14ac:dyDescent="0.25">
      <c r="A315" s="10">
        <v>42186</v>
      </c>
      <c r="B315" s="11">
        <v>24508</v>
      </c>
      <c r="C315" s="11" t="s">
        <v>2</v>
      </c>
      <c r="D315" s="1"/>
      <c r="E315" s="1"/>
      <c r="G315" s="10">
        <v>41487</v>
      </c>
      <c r="H315" s="11">
        <v>16724</v>
      </c>
      <c r="I315" s="11" t="s">
        <v>16</v>
      </c>
    </row>
    <row r="316" spans="1:9" x14ac:dyDescent="0.25">
      <c r="A316" s="10">
        <v>42186</v>
      </c>
      <c r="B316" s="11">
        <v>6336</v>
      </c>
      <c r="C316" s="11" t="s">
        <v>6</v>
      </c>
      <c r="D316" s="1"/>
      <c r="E316" s="1"/>
      <c r="G316" s="10">
        <v>41487</v>
      </c>
      <c r="H316" s="11">
        <v>11511</v>
      </c>
      <c r="I316" s="11" t="s">
        <v>14</v>
      </c>
    </row>
    <row r="317" spans="1:9" x14ac:dyDescent="0.25">
      <c r="A317" s="10">
        <v>42217</v>
      </c>
      <c r="B317" s="11">
        <v>26291</v>
      </c>
      <c r="C317" s="11" t="s">
        <v>2</v>
      </c>
      <c r="D317" s="1"/>
      <c r="E317" s="1"/>
      <c r="G317" s="10">
        <v>41518</v>
      </c>
      <c r="H317" s="11">
        <v>3654</v>
      </c>
      <c r="I317" s="11" t="s">
        <v>15</v>
      </c>
    </row>
    <row r="318" spans="1:9" x14ac:dyDescent="0.25">
      <c r="A318" s="10">
        <v>42217</v>
      </c>
      <c r="B318" s="11">
        <v>5471</v>
      </c>
      <c r="C318" s="11" t="s">
        <v>6</v>
      </c>
      <c r="D318" s="1"/>
      <c r="E318" s="1"/>
      <c r="G318" s="10">
        <v>41518</v>
      </c>
      <c r="H318" s="11">
        <v>16144</v>
      </c>
      <c r="I318" s="11" t="s">
        <v>16</v>
      </c>
    </row>
    <row r="319" spans="1:9" x14ac:dyDescent="0.25">
      <c r="A319" s="10">
        <v>42248</v>
      </c>
      <c r="B319" s="11">
        <v>25913</v>
      </c>
      <c r="C319" s="11" t="s">
        <v>2</v>
      </c>
      <c r="D319" s="1"/>
      <c r="E319" s="1"/>
      <c r="G319" s="10">
        <v>41518</v>
      </c>
      <c r="H319" s="11">
        <v>10589</v>
      </c>
      <c r="I319" s="11" t="s">
        <v>14</v>
      </c>
    </row>
    <row r="320" spans="1:9" x14ac:dyDescent="0.25">
      <c r="A320" s="10">
        <v>42248</v>
      </c>
      <c r="B320" s="11">
        <v>4271</v>
      </c>
      <c r="C320" s="11" t="s">
        <v>6</v>
      </c>
      <c r="D320" s="1"/>
      <c r="E320" s="1"/>
      <c r="G320" s="10">
        <v>41548</v>
      </c>
      <c r="H320" s="11">
        <v>2235</v>
      </c>
      <c r="I320" s="11" t="s">
        <v>15</v>
      </c>
    </row>
    <row r="321" spans="1:9" x14ac:dyDescent="0.25">
      <c r="A321" s="10">
        <v>42278</v>
      </c>
      <c r="B321" s="11">
        <v>4490</v>
      </c>
      <c r="C321" s="11" t="s">
        <v>6</v>
      </c>
      <c r="D321" s="1"/>
      <c r="E321" s="1"/>
      <c r="G321" s="10">
        <v>41548</v>
      </c>
      <c r="H321" s="11">
        <v>14862</v>
      </c>
      <c r="I321" s="11" t="s">
        <v>16</v>
      </c>
    </row>
    <row r="322" spans="1:9" x14ac:dyDescent="0.25">
      <c r="A322" s="10">
        <v>42278</v>
      </c>
      <c r="B322" s="11">
        <v>25040</v>
      </c>
      <c r="C322" s="11" t="s">
        <v>2</v>
      </c>
      <c r="D322" s="1"/>
      <c r="E322" s="1"/>
      <c r="G322" s="10">
        <v>41548</v>
      </c>
      <c r="H322" s="11">
        <v>8489</v>
      </c>
      <c r="I322" s="11" t="s">
        <v>14</v>
      </c>
    </row>
    <row r="323" spans="1:9" x14ac:dyDescent="0.25">
      <c r="A323" s="10">
        <v>42309</v>
      </c>
      <c r="B323" s="11">
        <v>22900</v>
      </c>
      <c r="C323" s="11" t="s">
        <v>2</v>
      </c>
      <c r="D323" s="1"/>
      <c r="E323" s="1"/>
      <c r="G323" s="10">
        <v>41579</v>
      </c>
      <c r="H323" s="11">
        <v>1563</v>
      </c>
      <c r="I323" s="11" t="s">
        <v>15</v>
      </c>
    </row>
    <row r="324" spans="1:9" x14ac:dyDescent="0.25">
      <c r="A324" s="10">
        <v>42309</v>
      </c>
      <c r="B324" s="11">
        <v>4669</v>
      </c>
      <c r="C324" s="11" t="s">
        <v>6</v>
      </c>
      <c r="D324" s="1"/>
      <c r="E324" s="1"/>
      <c r="G324" s="10">
        <v>41579</v>
      </c>
      <c r="H324" s="11">
        <v>12990</v>
      </c>
      <c r="I324" s="11" t="s">
        <v>16</v>
      </c>
    </row>
    <row r="325" spans="1:9" x14ac:dyDescent="0.25">
      <c r="A325" s="10">
        <v>42339</v>
      </c>
      <c r="B325" s="11">
        <v>5078</v>
      </c>
      <c r="C325" s="11" t="s">
        <v>6</v>
      </c>
      <c r="D325" s="1"/>
      <c r="E325" s="1"/>
      <c r="G325" s="10">
        <v>41579</v>
      </c>
      <c r="H325" s="11">
        <v>6264</v>
      </c>
      <c r="I325" s="11" t="s">
        <v>14</v>
      </c>
    </row>
    <row r="326" spans="1:9" x14ac:dyDescent="0.25">
      <c r="A326" s="10">
        <v>42339</v>
      </c>
      <c r="B326" s="11">
        <v>21217</v>
      </c>
      <c r="C326" s="11" t="s">
        <v>2</v>
      </c>
      <c r="D326" s="1"/>
      <c r="E326" s="1"/>
      <c r="G326" s="10">
        <v>41609</v>
      </c>
      <c r="H326" s="11">
        <v>1555</v>
      </c>
      <c r="I326" s="11" t="s">
        <v>15</v>
      </c>
    </row>
    <row r="327" spans="1:9" x14ac:dyDescent="0.25">
      <c r="A327" s="10">
        <v>42370</v>
      </c>
      <c r="B327" s="11">
        <v>15768</v>
      </c>
      <c r="C327" s="11" t="s">
        <v>2</v>
      </c>
      <c r="D327" s="1"/>
      <c r="E327" s="1"/>
      <c r="G327" s="10">
        <v>41609</v>
      </c>
      <c r="H327" s="11">
        <v>13820</v>
      </c>
      <c r="I327" s="11" t="s">
        <v>16</v>
      </c>
    </row>
    <row r="328" spans="1:9" x14ac:dyDescent="0.25">
      <c r="A328" s="10">
        <v>42370</v>
      </c>
      <c r="B328" s="11">
        <v>4413</v>
      </c>
      <c r="C328" s="11" t="s">
        <v>6</v>
      </c>
      <c r="D328" s="1"/>
      <c r="E328" s="1"/>
      <c r="G328" s="10">
        <v>41609</v>
      </c>
      <c r="H328" s="11">
        <v>5421</v>
      </c>
      <c r="I328" s="11" t="s">
        <v>14</v>
      </c>
    </row>
    <row r="329" spans="1:9" x14ac:dyDescent="0.25">
      <c r="A329" s="10">
        <v>42401</v>
      </c>
      <c r="B329" s="11">
        <v>2702</v>
      </c>
      <c r="C329" s="11" t="s">
        <v>6</v>
      </c>
      <c r="D329" s="1"/>
      <c r="E329" s="1"/>
      <c r="G329" s="10">
        <v>41640</v>
      </c>
      <c r="H329" s="11">
        <v>1995</v>
      </c>
      <c r="I329" s="11" t="s">
        <v>15</v>
      </c>
    </row>
    <row r="330" spans="1:9" x14ac:dyDescent="0.25">
      <c r="A330" s="10">
        <v>42401</v>
      </c>
      <c r="B330" s="11">
        <v>10510</v>
      </c>
      <c r="C330" s="11" t="s">
        <v>2</v>
      </c>
      <c r="D330" s="1"/>
      <c r="E330" s="1"/>
      <c r="G330" s="10">
        <v>41640</v>
      </c>
      <c r="H330" s="11">
        <v>13950</v>
      </c>
      <c r="I330" s="11" t="s">
        <v>16</v>
      </c>
    </row>
    <row r="331" spans="1:9" x14ac:dyDescent="0.25">
      <c r="A331" s="10">
        <v>42430</v>
      </c>
      <c r="B331" s="11">
        <v>191</v>
      </c>
      <c r="C331" s="11" t="s">
        <v>6</v>
      </c>
      <c r="D331" s="1"/>
      <c r="E331" s="1"/>
      <c r="G331" s="10">
        <v>41640</v>
      </c>
      <c r="H331" s="11">
        <v>4753</v>
      </c>
      <c r="I331" s="11" t="s">
        <v>14</v>
      </c>
    </row>
    <row r="332" spans="1:9" x14ac:dyDescent="0.25">
      <c r="A332" s="10">
        <v>42430</v>
      </c>
      <c r="B332" s="11">
        <v>422</v>
      </c>
      <c r="C332" s="11" t="s">
        <v>2</v>
      </c>
      <c r="D332" s="1"/>
      <c r="E332" s="1"/>
      <c r="G332" s="10">
        <v>41671</v>
      </c>
      <c r="H332" s="11">
        <v>2007</v>
      </c>
      <c r="I332" s="11" t="s">
        <v>15</v>
      </c>
    </row>
    <row r="333" spans="1:9" x14ac:dyDescent="0.25">
      <c r="D333" s="1"/>
      <c r="E333" s="1"/>
      <c r="G333" s="10">
        <v>41671</v>
      </c>
      <c r="H333" s="11">
        <v>14928</v>
      </c>
      <c r="I333" s="11" t="s">
        <v>16</v>
      </c>
    </row>
    <row r="334" spans="1:9" x14ac:dyDescent="0.25">
      <c r="D334" s="1"/>
      <c r="E334" s="1"/>
      <c r="G334" s="10">
        <v>41671</v>
      </c>
      <c r="H334" s="11">
        <v>4811</v>
      </c>
      <c r="I334" s="11" t="s">
        <v>14</v>
      </c>
    </row>
    <row r="335" spans="1:9" x14ac:dyDescent="0.25">
      <c r="D335" s="1"/>
      <c r="E335" s="1"/>
      <c r="G335" s="10">
        <v>41699</v>
      </c>
      <c r="H335" s="11">
        <v>1281</v>
      </c>
      <c r="I335" s="11" t="s">
        <v>15</v>
      </c>
    </row>
    <row r="336" spans="1:9" x14ac:dyDescent="0.25">
      <c r="D336" s="1"/>
      <c r="E336" s="1"/>
      <c r="G336" s="10">
        <v>41699</v>
      </c>
      <c r="H336" s="11">
        <v>9741</v>
      </c>
      <c r="I336" s="11" t="s">
        <v>16</v>
      </c>
    </row>
    <row r="337" spans="4:9" x14ac:dyDescent="0.25">
      <c r="D337" s="1"/>
      <c r="E337" s="1"/>
      <c r="G337" s="10">
        <v>41699</v>
      </c>
      <c r="H337" s="11">
        <v>3966</v>
      </c>
      <c r="I337" s="11" t="s">
        <v>14</v>
      </c>
    </row>
    <row r="338" spans="4:9" x14ac:dyDescent="0.25">
      <c r="D338" s="1"/>
      <c r="E338" s="1"/>
      <c r="G338" s="10">
        <v>41730</v>
      </c>
      <c r="H338" s="11">
        <v>1243</v>
      </c>
      <c r="I338" s="11" t="s">
        <v>15</v>
      </c>
    </row>
    <row r="339" spans="4:9" x14ac:dyDescent="0.25">
      <c r="D339" s="1"/>
      <c r="E339" s="1"/>
      <c r="G339" s="10">
        <v>41730</v>
      </c>
      <c r="H339" s="11">
        <v>11238</v>
      </c>
      <c r="I339" s="11" t="s">
        <v>16</v>
      </c>
    </row>
    <row r="340" spans="4:9" x14ac:dyDescent="0.25">
      <c r="D340" s="1"/>
      <c r="E340" s="1"/>
      <c r="G340" s="10">
        <v>41730</v>
      </c>
      <c r="H340" s="11">
        <v>3315</v>
      </c>
      <c r="I340" s="11" t="s">
        <v>14</v>
      </c>
    </row>
    <row r="341" spans="4:9" x14ac:dyDescent="0.25">
      <c r="D341" s="1"/>
      <c r="E341" s="1"/>
      <c r="G341" s="10">
        <v>41760</v>
      </c>
      <c r="H341" s="11">
        <v>1792</v>
      </c>
      <c r="I341" s="11" t="s">
        <v>15</v>
      </c>
    </row>
    <row r="342" spans="4:9" x14ac:dyDescent="0.25">
      <c r="D342" s="1"/>
      <c r="E342" s="1"/>
      <c r="G342" s="10">
        <v>41760</v>
      </c>
      <c r="H342" s="11">
        <v>15797</v>
      </c>
      <c r="I342" s="11" t="s">
        <v>16</v>
      </c>
    </row>
    <row r="343" spans="4:9" x14ac:dyDescent="0.25">
      <c r="D343" s="1"/>
      <c r="E343" s="1"/>
      <c r="G343" s="10">
        <v>41760</v>
      </c>
      <c r="H343" s="11">
        <v>3393</v>
      </c>
      <c r="I343" s="11" t="s">
        <v>14</v>
      </c>
    </row>
    <row r="344" spans="4:9" x14ac:dyDescent="0.25">
      <c r="D344" s="1"/>
      <c r="E344" s="1"/>
      <c r="G344" s="10">
        <v>41791</v>
      </c>
      <c r="H344" s="11">
        <v>1635</v>
      </c>
      <c r="I344" s="11" t="s">
        <v>15</v>
      </c>
    </row>
    <row r="345" spans="4:9" x14ac:dyDescent="0.25">
      <c r="D345" s="1"/>
      <c r="E345" s="1"/>
      <c r="G345" s="10">
        <v>41791</v>
      </c>
      <c r="H345" s="11">
        <v>3249</v>
      </c>
      <c r="I345" s="11" t="s">
        <v>14</v>
      </c>
    </row>
    <row r="346" spans="4:9" x14ac:dyDescent="0.25">
      <c r="D346" s="1"/>
      <c r="E346" s="1"/>
      <c r="G346" s="10">
        <v>41791</v>
      </c>
      <c r="H346" s="11">
        <v>17736</v>
      </c>
      <c r="I346" s="11" t="s">
        <v>16</v>
      </c>
    </row>
    <row r="347" spans="4:9" x14ac:dyDescent="0.25">
      <c r="D347" s="1"/>
      <c r="E347" s="1"/>
      <c r="G347" s="10">
        <v>41821</v>
      </c>
      <c r="H347" s="11">
        <v>2784</v>
      </c>
      <c r="I347" s="11" t="s">
        <v>14</v>
      </c>
    </row>
    <row r="348" spans="4:9" x14ac:dyDescent="0.25">
      <c r="D348" s="1"/>
      <c r="E348" s="1"/>
      <c r="G348" s="10">
        <v>41821</v>
      </c>
      <c r="H348" s="11">
        <v>20538</v>
      </c>
      <c r="I348" s="11" t="s">
        <v>16</v>
      </c>
    </row>
    <row r="349" spans="4:9" x14ac:dyDescent="0.25">
      <c r="D349" s="1"/>
      <c r="E349" s="1"/>
      <c r="G349" s="10">
        <v>41821</v>
      </c>
      <c r="H349" s="11">
        <v>1629</v>
      </c>
      <c r="I349" s="11" t="s">
        <v>15</v>
      </c>
    </row>
    <row r="350" spans="4:9" x14ac:dyDescent="0.25">
      <c r="D350" s="1"/>
      <c r="E350" s="1"/>
      <c r="G350" s="10">
        <v>41852</v>
      </c>
      <c r="H350" s="11">
        <v>2366</v>
      </c>
      <c r="I350" s="11" t="s">
        <v>15</v>
      </c>
    </row>
    <row r="351" spans="4:9" x14ac:dyDescent="0.25">
      <c r="D351" s="1"/>
      <c r="E351" s="1"/>
      <c r="G351" s="10">
        <v>41852</v>
      </c>
      <c r="H351" s="11">
        <v>24775</v>
      </c>
      <c r="I351" s="11" t="s">
        <v>16</v>
      </c>
    </row>
    <row r="352" spans="4:9" x14ac:dyDescent="0.25">
      <c r="D352" s="1"/>
      <c r="E352" s="1"/>
      <c r="G352" s="10">
        <v>41852</v>
      </c>
      <c r="H352" s="11">
        <v>2417</v>
      </c>
      <c r="I352" s="11" t="s">
        <v>14</v>
      </c>
    </row>
    <row r="353" spans="4:9" x14ac:dyDescent="0.25">
      <c r="D353" s="1"/>
      <c r="E353" s="1"/>
      <c r="G353" s="10">
        <v>41883</v>
      </c>
      <c r="H353" s="11">
        <v>2338</v>
      </c>
      <c r="I353" s="11" t="s">
        <v>15</v>
      </c>
    </row>
    <row r="354" spans="4:9" x14ac:dyDescent="0.25">
      <c r="D354" s="1"/>
      <c r="E354" s="1"/>
      <c r="G354" s="10">
        <v>41883</v>
      </c>
      <c r="H354" s="11">
        <v>24541</v>
      </c>
      <c r="I354" s="11" t="s">
        <v>16</v>
      </c>
    </row>
    <row r="355" spans="4:9" x14ac:dyDescent="0.25">
      <c r="D355" s="1"/>
      <c r="E355" s="1"/>
      <c r="G355" s="10">
        <v>41883</v>
      </c>
      <c r="H355" s="11">
        <v>2312</v>
      </c>
      <c r="I355" s="11" t="s">
        <v>14</v>
      </c>
    </row>
    <row r="356" spans="4:9" x14ac:dyDescent="0.25">
      <c r="D356" s="1"/>
      <c r="E356" s="1"/>
      <c r="G356" s="10">
        <v>41913</v>
      </c>
      <c r="H356" s="11">
        <v>2529</v>
      </c>
      <c r="I356" s="11" t="s">
        <v>15</v>
      </c>
    </row>
    <row r="357" spans="4:9" x14ac:dyDescent="0.25">
      <c r="D357" s="1"/>
      <c r="E357" s="1"/>
      <c r="G357" s="10">
        <v>41913</v>
      </c>
      <c r="H357" s="11">
        <v>22811</v>
      </c>
      <c r="I357" s="11" t="s">
        <v>16</v>
      </c>
    </row>
    <row r="358" spans="4:9" x14ac:dyDescent="0.25">
      <c r="D358" s="1"/>
      <c r="E358" s="1"/>
      <c r="G358" s="10">
        <v>41913</v>
      </c>
      <c r="H358" s="11">
        <v>2380</v>
      </c>
      <c r="I358" s="11" t="s">
        <v>14</v>
      </c>
    </row>
    <row r="359" spans="4:9" x14ac:dyDescent="0.25">
      <c r="D359" s="1"/>
      <c r="E359" s="1"/>
      <c r="G359" s="10">
        <v>41944</v>
      </c>
      <c r="H359" s="11">
        <v>2802</v>
      </c>
      <c r="I359" s="11" t="s">
        <v>15</v>
      </c>
    </row>
    <row r="360" spans="4:9" x14ac:dyDescent="0.25">
      <c r="D360" s="1"/>
      <c r="E360" s="1"/>
      <c r="G360" s="10">
        <v>41944</v>
      </c>
      <c r="H360" s="11">
        <v>20827</v>
      </c>
      <c r="I360" s="11" t="s">
        <v>16</v>
      </c>
    </row>
    <row r="361" spans="4:9" x14ac:dyDescent="0.25">
      <c r="D361" s="1"/>
      <c r="E361" s="1"/>
      <c r="G361" s="10">
        <v>41944</v>
      </c>
      <c r="H361" s="11">
        <v>2381</v>
      </c>
      <c r="I361" s="11" t="s">
        <v>14</v>
      </c>
    </row>
    <row r="362" spans="4:9" x14ac:dyDescent="0.25">
      <c r="D362" s="1"/>
      <c r="E362" s="1"/>
      <c r="G362" s="10">
        <v>41974</v>
      </c>
      <c r="H362" s="11">
        <v>3260</v>
      </c>
      <c r="I362" s="11" t="s">
        <v>15</v>
      </c>
    </row>
    <row r="363" spans="4:9" x14ac:dyDescent="0.25">
      <c r="D363" s="1"/>
      <c r="E363" s="1"/>
      <c r="G363" s="10">
        <v>41974</v>
      </c>
      <c r="H363" s="11">
        <v>18426</v>
      </c>
      <c r="I363" s="11" t="s">
        <v>16</v>
      </c>
    </row>
    <row r="364" spans="4:9" x14ac:dyDescent="0.25">
      <c r="D364" s="1"/>
      <c r="E364" s="1"/>
      <c r="G364" s="10">
        <v>41974</v>
      </c>
      <c r="H364" s="11">
        <v>2277</v>
      </c>
      <c r="I364" s="11" t="s">
        <v>14</v>
      </c>
    </row>
    <row r="365" spans="4:9" x14ac:dyDescent="0.25">
      <c r="D365" s="1"/>
      <c r="E365" s="1"/>
      <c r="G365" s="10">
        <v>42005</v>
      </c>
      <c r="H365" s="11">
        <v>4185</v>
      </c>
      <c r="I365" s="11" t="s">
        <v>15</v>
      </c>
    </row>
    <row r="366" spans="4:9" x14ac:dyDescent="0.25">
      <c r="D366" s="1"/>
      <c r="E366" s="1"/>
      <c r="G366" s="10">
        <v>42005</v>
      </c>
      <c r="H366" s="11">
        <v>15661</v>
      </c>
      <c r="I366" s="11" t="s">
        <v>16</v>
      </c>
    </row>
    <row r="367" spans="4:9" x14ac:dyDescent="0.25">
      <c r="D367" s="1"/>
      <c r="E367" s="1"/>
      <c r="G367" s="10">
        <v>42005</v>
      </c>
      <c r="H367" s="11">
        <v>1976</v>
      </c>
      <c r="I367" s="11" t="s">
        <v>14</v>
      </c>
    </row>
    <row r="368" spans="4:9" x14ac:dyDescent="0.25">
      <c r="D368" s="1"/>
      <c r="E368" s="1"/>
      <c r="G368" s="10">
        <v>42036</v>
      </c>
      <c r="H368" s="11">
        <v>3467</v>
      </c>
      <c r="I368" s="11" t="s">
        <v>15</v>
      </c>
    </row>
    <row r="369" spans="4:9" x14ac:dyDescent="0.25">
      <c r="D369" s="1"/>
      <c r="E369" s="1"/>
      <c r="G369" s="10">
        <v>42036</v>
      </c>
      <c r="H369" s="11">
        <v>16499</v>
      </c>
      <c r="I369" s="11" t="s">
        <v>16</v>
      </c>
    </row>
    <row r="370" spans="4:9" x14ac:dyDescent="0.25">
      <c r="D370" s="1"/>
      <c r="E370" s="1"/>
      <c r="G370" s="10">
        <v>42036</v>
      </c>
      <c r="H370" s="11">
        <v>2128</v>
      </c>
      <c r="I370" s="11" t="s">
        <v>14</v>
      </c>
    </row>
    <row r="371" spans="4:9" x14ac:dyDescent="0.25">
      <c r="D371" s="1"/>
      <c r="E371" s="1"/>
      <c r="G371" s="10">
        <v>42064</v>
      </c>
      <c r="H371" s="11">
        <v>4717</v>
      </c>
      <c r="I371" s="11" t="s">
        <v>15</v>
      </c>
    </row>
    <row r="372" spans="4:9" x14ac:dyDescent="0.25">
      <c r="D372" s="1"/>
      <c r="E372" s="1"/>
      <c r="G372" s="10">
        <v>42064</v>
      </c>
      <c r="H372" s="11">
        <v>12178</v>
      </c>
      <c r="I372" s="11" t="s">
        <v>16</v>
      </c>
    </row>
    <row r="373" spans="4:9" x14ac:dyDescent="0.25">
      <c r="D373" s="1"/>
      <c r="E373" s="1"/>
      <c r="G373" s="10">
        <v>42064</v>
      </c>
      <c r="H373" s="11">
        <v>1852</v>
      </c>
      <c r="I373" s="11" t="s">
        <v>14</v>
      </c>
    </row>
    <row r="374" spans="4:9" x14ac:dyDescent="0.25">
      <c r="D374" s="1"/>
      <c r="E374" s="1"/>
      <c r="G374" s="10">
        <v>42095</v>
      </c>
      <c r="H374" s="11">
        <v>6639</v>
      </c>
      <c r="I374" s="11" t="s">
        <v>15</v>
      </c>
    </row>
    <row r="375" spans="4:9" x14ac:dyDescent="0.25">
      <c r="D375" s="1"/>
      <c r="E375" s="1"/>
      <c r="G375" s="10">
        <v>42095</v>
      </c>
      <c r="H375" s="11">
        <v>13532</v>
      </c>
      <c r="I375" s="11" t="s">
        <v>16</v>
      </c>
    </row>
    <row r="376" spans="4:9" x14ac:dyDescent="0.25">
      <c r="D376" s="1"/>
      <c r="E376" s="1"/>
      <c r="G376" s="10">
        <v>42095</v>
      </c>
      <c r="H376" s="11">
        <v>1910</v>
      </c>
      <c r="I376" s="11" t="s">
        <v>14</v>
      </c>
    </row>
    <row r="377" spans="4:9" x14ac:dyDescent="0.25">
      <c r="D377" s="1"/>
      <c r="E377" s="1"/>
      <c r="G377" s="10">
        <v>42125</v>
      </c>
      <c r="H377" s="11">
        <v>8044</v>
      </c>
      <c r="I377" s="11" t="s">
        <v>15</v>
      </c>
    </row>
    <row r="378" spans="4:9" x14ac:dyDescent="0.25">
      <c r="D378" s="1"/>
      <c r="E378" s="1"/>
      <c r="G378" s="10">
        <v>42125</v>
      </c>
      <c r="H378" s="11">
        <v>19773</v>
      </c>
      <c r="I378" s="11" t="s">
        <v>16</v>
      </c>
    </row>
    <row r="379" spans="4:9" x14ac:dyDescent="0.25">
      <c r="D379" s="1"/>
      <c r="E379" s="1"/>
      <c r="G379" s="10">
        <v>42125</v>
      </c>
      <c r="H379" s="11">
        <v>2171</v>
      </c>
      <c r="I379" s="11" t="s">
        <v>14</v>
      </c>
    </row>
    <row r="380" spans="4:9" x14ac:dyDescent="0.25">
      <c r="D380" s="1"/>
      <c r="E380" s="1"/>
      <c r="G380" s="10">
        <v>42156</v>
      </c>
      <c r="H380" s="11">
        <v>5488</v>
      </c>
      <c r="I380" s="11" t="s">
        <v>15</v>
      </c>
    </row>
    <row r="381" spans="4:9" x14ac:dyDescent="0.25">
      <c r="D381" s="1"/>
      <c r="E381" s="1"/>
      <c r="G381" s="10">
        <v>42156</v>
      </c>
      <c r="H381" s="11">
        <v>21942</v>
      </c>
      <c r="I381" s="11" t="s">
        <v>16</v>
      </c>
    </row>
    <row r="382" spans="4:9" x14ac:dyDescent="0.25">
      <c r="D382" s="1"/>
      <c r="E382" s="1"/>
      <c r="G382" s="10">
        <v>42156</v>
      </c>
      <c r="H382" s="11">
        <v>2004</v>
      </c>
      <c r="I382" s="11" t="s">
        <v>14</v>
      </c>
    </row>
    <row r="383" spans="4:9" x14ac:dyDescent="0.25">
      <c r="D383" s="1"/>
      <c r="E383" s="1"/>
      <c r="G383" s="10">
        <v>42186</v>
      </c>
      <c r="H383" s="11">
        <v>4691</v>
      </c>
      <c r="I383" s="11" t="s">
        <v>15</v>
      </c>
    </row>
    <row r="384" spans="4:9" x14ac:dyDescent="0.25">
      <c r="D384" s="1"/>
      <c r="E384" s="1"/>
      <c r="G384" s="10">
        <v>42186</v>
      </c>
      <c r="H384" s="11">
        <v>24432</v>
      </c>
      <c r="I384" s="11" t="s">
        <v>16</v>
      </c>
    </row>
    <row r="385" spans="4:9" x14ac:dyDescent="0.25">
      <c r="D385" s="1"/>
      <c r="E385" s="1"/>
      <c r="G385" s="10">
        <v>42186</v>
      </c>
      <c r="H385" s="11">
        <v>1721</v>
      </c>
      <c r="I385" s="11" t="s">
        <v>14</v>
      </c>
    </row>
    <row r="386" spans="4:9" x14ac:dyDescent="0.25">
      <c r="D386" s="1"/>
      <c r="E386" s="1"/>
      <c r="G386" s="10">
        <v>42217</v>
      </c>
      <c r="H386" s="11">
        <v>3900</v>
      </c>
      <c r="I386" s="11" t="s">
        <v>15</v>
      </c>
    </row>
    <row r="387" spans="4:9" x14ac:dyDescent="0.25">
      <c r="D387" s="1"/>
      <c r="E387" s="1"/>
      <c r="G387" s="10">
        <v>42217</v>
      </c>
      <c r="H387" s="11">
        <v>26221</v>
      </c>
      <c r="I387" s="11" t="s">
        <v>16</v>
      </c>
    </row>
    <row r="388" spans="4:9" x14ac:dyDescent="0.25">
      <c r="D388" s="1"/>
      <c r="E388" s="1"/>
      <c r="G388" s="10">
        <v>42217</v>
      </c>
      <c r="H388" s="11">
        <v>1641</v>
      </c>
      <c r="I388" s="11" t="s">
        <v>14</v>
      </c>
    </row>
    <row r="389" spans="4:9" x14ac:dyDescent="0.25">
      <c r="D389" s="1"/>
      <c r="E389" s="1"/>
      <c r="G389" s="10">
        <v>42248</v>
      </c>
      <c r="H389" s="11">
        <v>2862</v>
      </c>
      <c r="I389" s="11" t="s">
        <v>15</v>
      </c>
    </row>
    <row r="390" spans="4:9" x14ac:dyDescent="0.25">
      <c r="D390" s="1"/>
      <c r="E390" s="1"/>
      <c r="G390" s="10">
        <v>42248</v>
      </c>
      <c r="H390" s="11">
        <v>25851</v>
      </c>
      <c r="I390" s="11" t="s">
        <v>16</v>
      </c>
    </row>
    <row r="391" spans="4:9" x14ac:dyDescent="0.25">
      <c r="D391" s="1"/>
      <c r="E391" s="1"/>
      <c r="G391" s="10">
        <v>42248</v>
      </c>
      <c r="H391" s="11">
        <v>1471</v>
      </c>
      <c r="I391" s="11" t="s">
        <v>14</v>
      </c>
    </row>
    <row r="392" spans="4:9" x14ac:dyDescent="0.25">
      <c r="D392" s="1"/>
      <c r="E392" s="1"/>
      <c r="G392" s="10">
        <v>42278</v>
      </c>
      <c r="H392" s="11">
        <v>3081</v>
      </c>
      <c r="I392" s="11" t="s">
        <v>15</v>
      </c>
    </row>
    <row r="393" spans="4:9" x14ac:dyDescent="0.25">
      <c r="D393" s="1"/>
      <c r="E393" s="1"/>
      <c r="G393" s="10">
        <v>42278</v>
      </c>
      <c r="H393" s="11">
        <v>24951</v>
      </c>
      <c r="I393" s="11" t="s">
        <v>16</v>
      </c>
    </row>
    <row r="394" spans="4:9" x14ac:dyDescent="0.25">
      <c r="D394" s="1"/>
      <c r="E394" s="1"/>
      <c r="G394" s="10">
        <v>42278</v>
      </c>
      <c r="H394" s="11">
        <v>1498</v>
      </c>
      <c r="I394" s="11" t="s">
        <v>14</v>
      </c>
    </row>
    <row r="395" spans="4:9" x14ac:dyDescent="0.25">
      <c r="D395" s="1"/>
      <c r="E395" s="1"/>
      <c r="G395" s="10">
        <v>42309</v>
      </c>
      <c r="H395" s="11">
        <v>22821</v>
      </c>
      <c r="I395" s="11" t="s">
        <v>16</v>
      </c>
    </row>
    <row r="396" spans="4:9" x14ac:dyDescent="0.25">
      <c r="D396" s="1"/>
      <c r="E396" s="1"/>
      <c r="G396" s="10">
        <v>42309</v>
      </c>
      <c r="H396" s="11">
        <v>1459</v>
      </c>
      <c r="I396" s="11" t="s">
        <v>14</v>
      </c>
    </row>
    <row r="397" spans="4:9" x14ac:dyDescent="0.25">
      <c r="D397" s="1"/>
      <c r="E397" s="1"/>
      <c r="G397" s="10">
        <v>42309</v>
      </c>
      <c r="H397" s="11">
        <v>3289</v>
      </c>
      <c r="I397" s="11" t="s">
        <v>15</v>
      </c>
    </row>
    <row r="398" spans="4:9" x14ac:dyDescent="0.25">
      <c r="D398" s="1"/>
      <c r="E398" s="1"/>
      <c r="G398" s="10">
        <v>42339</v>
      </c>
      <c r="H398" s="11">
        <v>1372</v>
      </c>
      <c r="I398" s="11" t="s">
        <v>14</v>
      </c>
    </row>
    <row r="399" spans="4:9" x14ac:dyDescent="0.25">
      <c r="D399" s="1"/>
      <c r="E399" s="1"/>
      <c r="G399" s="10">
        <v>42339</v>
      </c>
      <c r="H399" s="11">
        <v>21108</v>
      </c>
      <c r="I399" s="11" t="s">
        <v>16</v>
      </c>
    </row>
    <row r="400" spans="4:9" x14ac:dyDescent="0.25">
      <c r="D400" s="1"/>
      <c r="E400" s="1"/>
      <c r="G400" s="10">
        <v>42339</v>
      </c>
      <c r="H400" s="11">
        <v>3815</v>
      </c>
      <c r="I400" s="11" t="s">
        <v>15</v>
      </c>
    </row>
    <row r="401" spans="4:9" x14ac:dyDescent="0.25">
      <c r="D401" s="1"/>
      <c r="E401" s="1"/>
      <c r="G401" s="10">
        <v>42370</v>
      </c>
      <c r="H401" s="11">
        <v>3452</v>
      </c>
      <c r="I401" s="11" t="s">
        <v>15</v>
      </c>
    </row>
    <row r="402" spans="4:9" x14ac:dyDescent="0.25">
      <c r="D402" s="1"/>
      <c r="E402" s="1"/>
      <c r="G402" s="10">
        <v>42370</v>
      </c>
      <c r="H402" s="11">
        <v>1041</v>
      </c>
      <c r="I402" s="11" t="s">
        <v>14</v>
      </c>
    </row>
    <row r="403" spans="4:9" x14ac:dyDescent="0.25">
      <c r="D403" s="1"/>
      <c r="E403" s="1"/>
      <c r="G403" s="10">
        <v>42370</v>
      </c>
      <c r="H403" s="11">
        <v>15688</v>
      </c>
      <c r="I403" s="11" t="s">
        <v>16</v>
      </c>
    </row>
    <row r="404" spans="4:9" x14ac:dyDescent="0.25">
      <c r="D404" s="1"/>
      <c r="E404" s="1"/>
      <c r="G404" s="10">
        <v>42401</v>
      </c>
      <c r="H404" s="11">
        <v>780</v>
      </c>
      <c r="I404" s="11" t="s">
        <v>14</v>
      </c>
    </row>
    <row r="405" spans="4:9" x14ac:dyDescent="0.25">
      <c r="D405" s="1"/>
      <c r="E405" s="1"/>
      <c r="G405" s="10">
        <v>42401</v>
      </c>
      <c r="H405" s="11">
        <v>10453</v>
      </c>
      <c r="I405" s="11" t="s">
        <v>16</v>
      </c>
    </row>
    <row r="406" spans="4:9" x14ac:dyDescent="0.25">
      <c r="D406" s="1"/>
      <c r="E406" s="1"/>
      <c r="G406" s="10">
        <v>42401</v>
      </c>
      <c r="H406" s="11">
        <v>1979</v>
      </c>
      <c r="I406" s="11" t="s">
        <v>15</v>
      </c>
    </row>
    <row r="407" spans="4:9" x14ac:dyDescent="0.25">
      <c r="D407" s="1"/>
      <c r="E407" s="1"/>
      <c r="G407" s="10">
        <v>42430</v>
      </c>
      <c r="H407" s="11">
        <v>77</v>
      </c>
      <c r="I407" s="11" t="s">
        <v>14</v>
      </c>
    </row>
    <row r="408" spans="4:9" x14ac:dyDescent="0.25">
      <c r="D408" s="1"/>
      <c r="E408" s="1"/>
      <c r="G408" s="10">
        <v>42430</v>
      </c>
      <c r="H408" s="11">
        <v>422</v>
      </c>
      <c r="I408" s="11" t="s">
        <v>16</v>
      </c>
    </row>
    <row r="409" spans="4:9" x14ac:dyDescent="0.25">
      <c r="D409" s="1"/>
      <c r="E409" s="1"/>
      <c r="G409" s="10">
        <v>42430</v>
      </c>
      <c r="H409" s="11">
        <v>114</v>
      </c>
      <c r="I409" s="11" t="s">
        <v>15</v>
      </c>
    </row>
    <row r="410" spans="4:9" x14ac:dyDescent="0.25">
      <c r="D410" s="1"/>
      <c r="E410" s="1"/>
    </row>
    <row r="411" spans="4:9" x14ac:dyDescent="0.25">
      <c r="D411" s="1"/>
      <c r="E411" s="1"/>
    </row>
    <row r="412" spans="4:9" x14ac:dyDescent="0.25">
      <c r="D412" s="1"/>
      <c r="E412" s="1"/>
    </row>
    <row r="413" spans="4:9" x14ac:dyDescent="0.25">
      <c r="D413" s="1"/>
      <c r="E413" s="1"/>
    </row>
    <row r="414" spans="4:9" x14ac:dyDescent="0.25">
      <c r="D414" s="1"/>
      <c r="E414" s="1"/>
    </row>
    <row r="415" spans="4:9" x14ac:dyDescent="0.25">
      <c r="D415" s="1"/>
      <c r="E415" s="1"/>
    </row>
    <row r="416" spans="4:9" x14ac:dyDescent="0.25">
      <c r="D416" s="1"/>
      <c r="E416" s="1"/>
    </row>
    <row r="417" spans="4:5" x14ac:dyDescent="0.25">
      <c r="D417" s="1"/>
      <c r="E417" s="1"/>
    </row>
    <row r="418" spans="4:5" x14ac:dyDescent="0.25">
      <c r="D418" s="1"/>
      <c r="E418" s="1"/>
    </row>
    <row r="419" spans="4:5" x14ac:dyDescent="0.25">
      <c r="D419" s="1"/>
      <c r="E419" s="1"/>
    </row>
    <row r="420" spans="4:5" x14ac:dyDescent="0.25">
      <c r="D420" s="1"/>
      <c r="E420" s="1"/>
    </row>
    <row r="421" spans="4:5" x14ac:dyDescent="0.25">
      <c r="D421" s="1"/>
      <c r="E421" s="1"/>
    </row>
    <row r="422" spans="4:5" x14ac:dyDescent="0.25">
      <c r="D422" s="1"/>
      <c r="E422" s="1"/>
    </row>
    <row r="423" spans="4:5" x14ac:dyDescent="0.25">
      <c r="D423" s="1"/>
      <c r="E423" s="1"/>
    </row>
    <row r="424" spans="4:5" x14ac:dyDescent="0.25">
      <c r="D424" s="1"/>
      <c r="E424" s="1"/>
    </row>
    <row r="425" spans="4:5" x14ac:dyDescent="0.25">
      <c r="D425" s="1"/>
      <c r="E425" s="1"/>
    </row>
    <row r="426" spans="4:5" x14ac:dyDescent="0.25">
      <c r="D426" s="1"/>
      <c r="E426" s="1"/>
    </row>
    <row r="427" spans="4:5" x14ac:dyDescent="0.25">
      <c r="D427" s="1"/>
      <c r="E427" s="1"/>
    </row>
    <row r="428" spans="4:5" x14ac:dyDescent="0.25">
      <c r="D428" s="1"/>
      <c r="E428" s="1"/>
    </row>
    <row r="429" spans="4:5" x14ac:dyDescent="0.25">
      <c r="D429" s="1"/>
      <c r="E429" s="1"/>
    </row>
    <row r="430" spans="4:5" x14ac:dyDescent="0.25">
      <c r="D430" s="1"/>
      <c r="E430" s="1"/>
    </row>
    <row r="431" spans="4:5" x14ac:dyDescent="0.25">
      <c r="D431" s="1"/>
      <c r="E431" s="1"/>
    </row>
    <row r="432" spans="4:5" x14ac:dyDescent="0.25">
      <c r="D432" s="1"/>
      <c r="E432" s="1"/>
    </row>
    <row r="433" spans="4:5" x14ac:dyDescent="0.25">
      <c r="D433" s="1"/>
      <c r="E433" s="1"/>
    </row>
    <row r="434" spans="4:5" x14ac:dyDescent="0.25">
      <c r="D434" s="1"/>
      <c r="E434" s="1"/>
    </row>
    <row r="435" spans="4:5" x14ac:dyDescent="0.25">
      <c r="D435" s="1"/>
      <c r="E435" s="1"/>
    </row>
    <row r="436" spans="4:5" x14ac:dyDescent="0.25">
      <c r="D436" s="1"/>
      <c r="E436" s="1"/>
    </row>
    <row r="437" spans="4:5" x14ac:dyDescent="0.25">
      <c r="D437" s="1"/>
      <c r="E437" s="1"/>
    </row>
    <row r="438" spans="4:5" x14ac:dyDescent="0.25">
      <c r="D438" s="1"/>
      <c r="E438" s="1"/>
    </row>
    <row r="439" spans="4:5" x14ac:dyDescent="0.25">
      <c r="D439" s="1"/>
      <c r="E439" s="1"/>
    </row>
    <row r="440" spans="4:5" x14ac:dyDescent="0.25">
      <c r="D440" s="1"/>
      <c r="E440" s="1"/>
    </row>
    <row r="441" spans="4:5" x14ac:dyDescent="0.25">
      <c r="D441" s="1"/>
      <c r="E441" s="1"/>
    </row>
    <row r="442" spans="4:5" x14ac:dyDescent="0.25">
      <c r="D442" s="1"/>
      <c r="E442" s="1"/>
    </row>
    <row r="443" spans="4:5" x14ac:dyDescent="0.25">
      <c r="D443" s="1"/>
      <c r="E443" s="1"/>
    </row>
    <row r="444" spans="4:5" x14ac:dyDescent="0.25">
      <c r="D444" s="1"/>
      <c r="E444" s="1"/>
    </row>
    <row r="445" spans="4:5" x14ac:dyDescent="0.25">
      <c r="D445" s="1"/>
      <c r="E445" s="1"/>
    </row>
    <row r="446" spans="4:5" x14ac:dyDescent="0.25">
      <c r="D446" s="1"/>
      <c r="E446" s="1"/>
    </row>
    <row r="447" spans="4:5" x14ac:dyDescent="0.25">
      <c r="D447" s="1"/>
      <c r="E447" s="1"/>
    </row>
    <row r="448" spans="4:5" x14ac:dyDescent="0.25">
      <c r="D448" s="1"/>
      <c r="E448" s="1"/>
    </row>
    <row r="449" spans="4:5" x14ac:dyDescent="0.25">
      <c r="D449" s="1"/>
      <c r="E449" s="1"/>
    </row>
    <row r="450" spans="4:5" x14ac:dyDescent="0.25">
      <c r="D450" s="1"/>
      <c r="E450" s="1"/>
    </row>
    <row r="451" spans="4:5" x14ac:dyDescent="0.25">
      <c r="D451" s="1"/>
      <c r="E451" s="1"/>
    </row>
    <row r="452" spans="4:5" x14ac:dyDescent="0.25">
      <c r="D452" s="1"/>
      <c r="E452" s="1"/>
    </row>
    <row r="453" spans="4:5" x14ac:dyDescent="0.25">
      <c r="D453" s="1"/>
      <c r="E453" s="1"/>
    </row>
    <row r="454" spans="4:5" x14ac:dyDescent="0.25">
      <c r="D454" s="1"/>
      <c r="E454" s="1"/>
    </row>
    <row r="455" spans="4:5" x14ac:dyDescent="0.25">
      <c r="D455" s="1"/>
      <c r="E455" s="1"/>
    </row>
    <row r="456" spans="4:5" x14ac:dyDescent="0.25">
      <c r="D456" s="1"/>
      <c r="E456" s="1"/>
    </row>
    <row r="457" spans="4:5" x14ac:dyDescent="0.25">
      <c r="D457" s="1"/>
      <c r="E457" s="1"/>
    </row>
    <row r="458" spans="4:5" x14ac:dyDescent="0.25">
      <c r="D458" s="1"/>
      <c r="E458" s="1"/>
    </row>
    <row r="459" spans="4:5" x14ac:dyDescent="0.25">
      <c r="D459" s="1"/>
      <c r="E459" s="1"/>
    </row>
    <row r="460" spans="4:5" x14ac:dyDescent="0.25">
      <c r="D460" s="1"/>
      <c r="E460" s="1"/>
    </row>
    <row r="461" spans="4:5" x14ac:dyDescent="0.25">
      <c r="D461" s="1"/>
      <c r="E461" s="1"/>
    </row>
    <row r="462" spans="4:5" x14ac:dyDescent="0.25">
      <c r="D462" s="1"/>
      <c r="E462" s="1"/>
    </row>
    <row r="463" spans="4:5" x14ac:dyDescent="0.25">
      <c r="D463" s="1"/>
      <c r="E463" s="1"/>
    </row>
    <row r="464" spans="4:5" x14ac:dyDescent="0.25">
      <c r="D464" s="1"/>
      <c r="E464" s="1"/>
    </row>
    <row r="465" spans="4:5" x14ac:dyDescent="0.25">
      <c r="D465" s="1"/>
      <c r="E465" s="1"/>
    </row>
    <row r="466" spans="4:5" x14ac:dyDescent="0.25">
      <c r="D466" s="1"/>
      <c r="E466" s="1"/>
    </row>
    <row r="467" spans="4:5" x14ac:dyDescent="0.25">
      <c r="D467" s="1"/>
      <c r="E467" s="1"/>
    </row>
    <row r="468" spans="4:5" x14ac:dyDescent="0.25">
      <c r="D468" s="1"/>
      <c r="E468" s="1"/>
    </row>
    <row r="469" spans="4:5" x14ac:dyDescent="0.25">
      <c r="D469" s="1"/>
      <c r="E469" s="1"/>
    </row>
    <row r="470" spans="4:5" x14ac:dyDescent="0.25">
      <c r="D470" s="1"/>
      <c r="E470" s="1"/>
    </row>
    <row r="471" spans="4:5" x14ac:dyDescent="0.25">
      <c r="D471" s="1"/>
      <c r="E471" s="1"/>
    </row>
    <row r="472" spans="4:5" x14ac:dyDescent="0.25">
      <c r="D472" s="1"/>
      <c r="E472" s="1"/>
    </row>
    <row r="473" spans="4:5" x14ac:dyDescent="0.25">
      <c r="D473" s="1"/>
      <c r="E473" s="1"/>
    </row>
    <row r="474" spans="4:5" x14ac:dyDescent="0.25">
      <c r="D474" s="1"/>
      <c r="E474" s="1"/>
    </row>
    <row r="475" spans="4:5" x14ac:dyDescent="0.25">
      <c r="D475" s="1"/>
      <c r="E475" s="1"/>
    </row>
    <row r="476" spans="4:5" x14ac:dyDescent="0.25">
      <c r="D476" s="1"/>
      <c r="E476" s="1"/>
    </row>
    <row r="477" spans="4:5" x14ac:dyDescent="0.25">
      <c r="D477" s="1"/>
      <c r="E477" s="1"/>
    </row>
    <row r="478" spans="4:5" x14ac:dyDescent="0.25">
      <c r="D478" s="1"/>
      <c r="E478" s="1"/>
    </row>
    <row r="479" spans="4:5" x14ac:dyDescent="0.25">
      <c r="D479" s="1"/>
      <c r="E479" s="1"/>
    </row>
    <row r="480" spans="4:5" x14ac:dyDescent="0.25">
      <c r="D480" s="1"/>
      <c r="E480" s="1"/>
    </row>
    <row r="481" spans="4:5" x14ac:dyDescent="0.25">
      <c r="D481" s="1"/>
      <c r="E481" s="1"/>
    </row>
    <row r="482" spans="4:5" x14ac:dyDescent="0.25">
      <c r="D482" s="1"/>
      <c r="E482" s="1"/>
    </row>
    <row r="483" spans="4:5" x14ac:dyDescent="0.25">
      <c r="D483" s="1"/>
      <c r="E483" s="1"/>
    </row>
    <row r="484" spans="4:5" x14ac:dyDescent="0.25">
      <c r="D484" s="1"/>
      <c r="E484" s="1"/>
    </row>
    <row r="485" spans="4:5" x14ac:dyDescent="0.25">
      <c r="D485" s="1"/>
      <c r="E485" s="1"/>
    </row>
    <row r="486" spans="4:5" x14ac:dyDescent="0.25">
      <c r="D486" s="1"/>
      <c r="E486" s="1"/>
    </row>
    <row r="487" spans="4:5" x14ac:dyDescent="0.25">
      <c r="D487" s="1"/>
      <c r="E487" s="1"/>
    </row>
    <row r="488" spans="4:5" x14ac:dyDescent="0.25">
      <c r="D488" s="1"/>
      <c r="E488" s="1"/>
    </row>
    <row r="489" spans="4:5" x14ac:dyDescent="0.25">
      <c r="D489" s="1"/>
      <c r="E489" s="1"/>
    </row>
    <row r="490" spans="4:5" x14ac:dyDescent="0.25">
      <c r="D490" s="1"/>
      <c r="E490" s="1"/>
    </row>
    <row r="491" spans="4:5" x14ac:dyDescent="0.25">
      <c r="D491" s="1"/>
      <c r="E491" s="1"/>
    </row>
    <row r="492" spans="4:5" x14ac:dyDescent="0.25">
      <c r="D492" s="1"/>
      <c r="E492" s="1"/>
    </row>
    <row r="493" spans="4:5" x14ac:dyDescent="0.25">
      <c r="D493" s="1"/>
      <c r="E493" s="1"/>
    </row>
    <row r="494" spans="4:5" x14ac:dyDescent="0.25">
      <c r="D494" s="1"/>
      <c r="E494" s="1"/>
    </row>
    <row r="495" spans="4:5" x14ac:dyDescent="0.25">
      <c r="D495" s="1"/>
      <c r="E495" s="1"/>
    </row>
    <row r="496" spans="4:5" x14ac:dyDescent="0.25">
      <c r="D496" s="1"/>
      <c r="E496" s="1"/>
    </row>
    <row r="497" spans="4:5" x14ac:dyDescent="0.25">
      <c r="D497" s="1"/>
      <c r="E497" s="1"/>
    </row>
    <row r="498" spans="4:5" x14ac:dyDescent="0.25">
      <c r="D498" s="1"/>
      <c r="E498" s="1"/>
    </row>
    <row r="499" spans="4:5" x14ac:dyDescent="0.25">
      <c r="D499" s="1"/>
      <c r="E499" s="1"/>
    </row>
    <row r="500" spans="4:5" x14ac:dyDescent="0.25">
      <c r="D500" s="1"/>
      <c r="E500" s="1"/>
    </row>
    <row r="501" spans="4:5" x14ac:dyDescent="0.25">
      <c r="D501" s="1"/>
      <c r="E501" s="1"/>
    </row>
    <row r="502" spans="4:5" x14ac:dyDescent="0.25">
      <c r="D502" s="1"/>
      <c r="E502" s="1"/>
    </row>
    <row r="503" spans="4:5" x14ac:dyDescent="0.25">
      <c r="D503" s="1"/>
      <c r="E503" s="1"/>
    </row>
    <row r="504" spans="4:5" x14ac:dyDescent="0.25">
      <c r="D504" s="1"/>
      <c r="E504" s="1"/>
    </row>
    <row r="505" spans="4:5" x14ac:dyDescent="0.25">
      <c r="D505" s="1"/>
      <c r="E505" s="1"/>
    </row>
    <row r="506" spans="4:5" x14ac:dyDescent="0.25">
      <c r="D506" s="1"/>
      <c r="E506" s="1"/>
    </row>
    <row r="507" spans="4:5" x14ac:dyDescent="0.25">
      <c r="D507" s="1"/>
      <c r="E507" s="1"/>
    </row>
    <row r="508" spans="4:5" x14ac:dyDescent="0.25">
      <c r="D508" s="1"/>
      <c r="E508" s="1"/>
    </row>
    <row r="509" spans="4:5" x14ac:dyDescent="0.25">
      <c r="D509" s="1"/>
      <c r="E509" s="1"/>
    </row>
    <row r="510" spans="4:5" x14ac:dyDescent="0.25">
      <c r="D510" s="1"/>
      <c r="E510" s="1"/>
    </row>
    <row r="511" spans="4:5" x14ac:dyDescent="0.25">
      <c r="D511" s="1"/>
      <c r="E511" s="1"/>
    </row>
    <row r="512" spans="4:5" x14ac:dyDescent="0.25">
      <c r="D512" s="1"/>
      <c r="E512" s="1"/>
    </row>
    <row r="513" spans="4:5" x14ac:dyDescent="0.25">
      <c r="D513" s="1"/>
      <c r="E513" s="1"/>
    </row>
    <row r="514" spans="4:5" x14ac:dyDescent="0.25">
      <c r="D514" s="1"/>
      <c r="E514" s="1"/>
    </row>
    <row r="515" spans="4:5" x14ac:dyDescent="0.25">
      <c r="D515" s="1"/>
      <c r="E515" s="1"/>
    </row>
    <row r="516" spans="4:5" x14ac:dyDescent="0.25">
      <c r="D516" s="1"/>
      <c r="E516" s="1"/>
    </row>
    <row r="517" spans="4:5" x14ac:dyDescent="0.25">
      <c r="D517" s="1"/>
      <c r="E517" s="1"/>
    </row>
    <row r="518" spans="4:5" x14ac:dyDescent="0.25">
      <c r="D518" s="1"/>
      <c r="E518" s="1"/>
    </row>
    <row r="519" spans="4:5" x14ac:dyDescent="0.25">
      <c r="D519" s="1"/>
      <c r="E519" s="1"/>
    </row>
    <row r="520" spans="4:5" x14ac:dyDescent="0.25">
      <c r="D520" s="1"/>
      <c r="E520" s="1"/>
    </row>
    <row r="521" spans="4:5" x14ac:dyDescent="0.25">
      <c r="D521" s="1"/>
      <c r="E521" s="1"/>
    </row>
    <row r="522" spans="4:5" x14ac:dyDescent="0.25">
      <c r="D522" s="1"/>
      <c r="E522" s="1"/>
    </row>
    <row r="523" spans="4:5" x14ac:dyDescent="0.25">
      <c r="D523" s="1"/>
      <c r="E523" s="1"/>
    </row>
    <row r="524" spans="4:5" x14ac:dyDescent="0.25">
      <c r="D524" s="1"/>
      <c r="E524" s="1"/>
    </row>
    <row r="525" spans="4:5" x14ac:dyDescent="0.25">
      <c r="D525" s="1"/>
      <c r="E525" s="1"/>
    </row>
    <row r="526" spans="4:5" x14ac:dyDescent="0.25">
      <c r="D526" s="1"/>
      <c r="E526" s="1"/>
    </row>
    <row r="527" spans="4:5" x14ac:dyDescent="0.25">
      <c r="D527" s="1"/>
      <c r="E527" s="1"/>
    </row>
    <row r="528" spans="4:5" x14ac:dyDescent="0.25">
      <c r="D528" s="1"/>
      <c r="E528" s="1"/>
    </row>
    <row r="529" spans="4:5" x14ac:dyDescent="0.25">
      <c r="D529" s="1"/>
      <c r="E529" s="1"/>
    </row>
    <row r="530" spans="4:5" x14ac:dyDescent="0.25">
      <c r="D530" s="1"/>
      <c r="E530" s="1"/>
    </row>
    <row r="531" spans="4:5" x14ac:dyDescent="0.25">
      <c r="D531" s="1"/>
      <c r="E531" s="1"/>
    </row>
    <row r="532" spans="4:5" x14ac:dyDescent="0.25">
      <c r="D532" s="1"/>
      <c r="E532" s="1"/>
    </row>
    <row r="533" spans="4:5" x14ac:dyDescent="0.25">
      <c r="D533" s="1"/>
      <c r="E533" s="1"/>
    </row>
    <row r="534" spans="4:5" x14ac:dyDescent="0.25">
      <c r="D534" s="1"/>
      <c r="E534" s="1"/>
    </row>
    <row r="535" spans="4:5" x14ac:dyDescent="0.25">
      <c r="D535" s="1"/>
      <c r="E535" s="1"/>
    </row>
    <row r="536" spans="4:5" x14ac:dyDescent="0.25">
      <c r="D536" s="1"/>
      <c r="E536" s="1"/>
    </row>
    <row r="537" spans="4:5" x14ac:dyDescent="0.25">
      <c r="D537" s="1"/>
      <c r="E537" s="1"/>
    </row>
    <row r="538" spans="4:5" x14ac:dyDescent="0.25">
      <c r="D538" s="1"/>
      <c r="E538" s="1"/>
    </row>
    <row r="539" spans="4:5" x14ac:dyDescent="0.25">
      <c r="D539" s="1"/>
      <c r="E539" s="1"/>
    </row>
    <row r="540" spans="4:5" x14ac:dyDescent="0.25">
      <c r="D540" s="1"/>
      <c r="E540" s="1"/>
    </row>
    <row r="541" spans="4:5" x14ac:dyDescent="0.25">
      <c r="D541" s="1"/>
      <c r="E541" s="1"/>
    </row>
    <row r="542" spans="4:5" x14ac:dyDescent="0.25">
      <c r="D542" s="1"/>
      <c r="E542" s="1"/>
    </row>
    <row r="543" spans="4:5" x14ac:dyDescent="0.25">
      <c r="D543" s="1"/>
      <c r="E543" s="1"/>
    </row>
    <row r="544" spans="4:5" x14ac:dyDescent="0.25">
      <c r="D544" s="1"/>
      <c r="E544" s="1"/>
    </row>
    <row r="545" spans="4:5" x14ac:dyDescent="0.25">
      <c r="D545" s="1"/>
      <c r="E545" s="1"/>
    </row>
    <row r="546" spans="4:5" x14ac:dyDescent="0.25">
      <c r="D546" s="1"/>
      <c r="E546" s="1"/>
    </row>
    <row r="547" spans="4:5" x14ac:dyDescent="0.25">
      <c r="D547" s="1"/>
      <c r="E547" s="1"/>
    </row>
    <row r="548" spans="4:5" x14ac:dyDescent="0.25">
      <c r="D548" s="1"/>
      <c r="E548" s="1"/>
    </row>
    <row r="549" spans="4:5" x14ac:dyDescent="0.25">
      <c r="D549" s="1"/>
      <c r="E549" s="1"/>
    </row>
    <row r="550" spans="4:5" x14ac:dyDescent="0.25">
      <c r="D550" s="1"/>
      <c r="E550" s="1"/>
    </row>
    <row r="551" spans="4:5" x14ac:dyDescent="0.25">
      <c r="D551" s="1"/>
      <c r="E551" s="1"/>
    </row>
    <row r="552" spans="4:5" x14ac:dyDescent="0.25">
      <c r="D552" s="1"/>
      <c r="E552" s="1"/>
    </row>
    <row r="553" spans="4:5" x14ac:dyDescent="0.25">
      <c r="D553" s="1"/>
      <c r="E553" s="1"/>
    </row>
    <row r="554" spans="4:5" x14ac:dyDescent="0.25">
      <c r="D554" s="1"/>
      <c r="E554" s="1"/>
    </row>
    <row r="555" spans="4:5" x14ac:dyDescent="0.25">
      <c r="D555" s="1"/>
      <c r="E555" s="1"/>
    </row>
    <row r="556" spans="4:5" x14ac:dyDescent="0.25">
      <c r="D556" s="1"/>
      <c r="E556" s="1"/>
    </row>
    <row r="557" spans="4:5" x14ac:dyDescent="0.25">
      <c r="D557" s="1"/>
      <c r="E557" s="1"/>
    </row>
    <row r="558" spans="4:5" x14ac:dyDescent="0.25">
      <c r="D558" s="1"/>
      <c r="E558" s="1"/>
    </row>
    <row r="559" spans="4:5" x14ac:dyDescent="0.25">
      <c r="D559" s="1"/>
      <c r="E559" s="1"/>
    </row>
    <row r="560" spans="4:5" x14ac:dyDescent="0.25">
      <c r="D560" s="1"/>
      <c r="E560" s="1"/>
    </row>
    <row r="561" spans="4:5" x14ac:dyDescent="0.25">
      <c r="D561" s="1"/>
      <c r="E561" s="1"/>
    </row>
    <row r="562" spans="4:5" x14ac:dyDescent="0.25">
      <c r="D562" s="1"/>
      <c r="E562" s="1"/>
    </row>
    <row r="563" spans="4:5" x14ac:dyDescent="0.25">
      <c r="D563" s="1"/>
      <c r="E563" s="1"/>
    </row>
    <row r="564" spans="4:5" x14ac:dyDescent="0.25">
      <c r="D564" s="1"/>
      <c r="E564" s="1"/>
    </row>
    <row r="565" spans="4:5" x14ac:dyDescent="0.25">
      <c r="D565" s="1"/>
      <c r="E565" s="1"/>
    </row>
    <row r="566" spans="4:5" x14ac:dyDescent="0.25">
      <c r="D566" s="1"/>
      <c r="E566" s="1"/>
    </row>
    <row r="567" spans="4:5" x14ac:dyDescent="0.25">
      <c r="D567" s="1"/>
      <c r="E567" s="1"/>
    </row>
    <row r="568" spans="4:5" x14ac:dyDescent="0.25">
      <c r="D568" s="1"/>
      <c r="E568" s="1"/>
    </row>
    <row r="569" spans="4:5" x14ac:dyDescent="0.25">
      <c r="D569" s="1"/>
      <c r="E569" s="1"/>
    </row>
    <row r="570" spans="4:5" x14ac:dyDescent="0.25">
      <c r="D570" s="1"/>
      <c r="E570" s="1"/>
    </row>
    <row r="571" spans="4:5" x14ac:dyDescent="0.25">
      <c r="D571" s="1"/>
      <c r="E571" s="1"/>
    </row>
    <row r="572" spans="4:5" x14ac:dyDescent="0.25">
      <c r="D572" s="1"/>
      <c r="E572" s="1"/>
    </row>
    <row r="573" spans="4:5" x14ac:dyDescent="0.25">
      <c r="D573" s="1"/>
      <c r="E573" s="1"/>
    </row>
    <row r="574" spans="4:5" x14ac:dyDescent="0.25">
      <c r="D574" s="1"/>
      <c r="E574" s="1"/>
    </row>
    <row r="575" spans="4:5" x14ac:dyDescent="0.25">
      <c r="D575" s="1"/>
      <c r="E575" s="1"/>
    </row>
    <row r="576" spans="4:5" x14ac:dyDescent="0.25">
      <c r="D576" s="1"/>
      <c r="E576" s="1"/>
    </row>
    <row r="577" spans="4:5" x14ac:dyDescent="0.25">
      <c r="D577" s="1"/>
      <c r="E577" s="1"/>
    </row>
    <row r="578" spans="4:5" x14ac:dyDescent="0.25">
      <c r="D578" s="1"/>
      <c r="E578" s="1"/>
    </row>
    <row r="579" spans="4:5" x14ac:dyDescent="0.25">
      <c r="D579" s="1"/>
      <c r="E579" s="1"/>
    </row>
    <row r="580" spans="4:5" x14ac:dyDescent="0.25">
      <c r="D580" s="1"/>
      <c r="E580" s="1"/>
    </row>
    <row r="581" spans="4:5" x14ac:dyDescent="0.25">
      <c r="D581" s="1"/>
      <c r="E581" s="1"/>
    </row>
    <row r="582" spans="4:5" x14ac:dyDescent="0.25">
      <c r="D582" s="1"/>
      <c r="E582" s="1"/>
    </row>
    <row r="583" spans="4:5" x14ac:dyDescent="0.25">
      <c r="D583" s="1"/>
      <c r="E583" s="1"/>
    </row>
    <row r="584" spans="4:5" x14ac:dyDescent="0.25">
      <c r="D584" s="1"/>
      <c r="E584" s="1"/>
    </row>
    <row r="585" spans="4:5" x14ac:dyDescent="0.25">
      <c r="D585" s="1"/>
      <c r="E585" s="1"/>
    </row>
    <row r="586" spans="4:5" x14ac:dyDescent="0.25">
      <c r="D586" s="1"/>
      <c r="E586" s="1"/>
    </row>
    <row r="587" spans="4:5" x14ac:dyDescent="0.25">
      <c r="D587" s="1"/>
      <c r="E587" s="1"/>
    </row>
    <row r="588" spans="4:5" x14ac:dyDescent="0.25">
      <c r="D588" s="1"/>
      <c r="E588" s="1"/>
    </row>
    <row r="589" spans="4:5" x14ac:dyDescent="0.25">
      <c r="D589" s="1"/>
      <c r="E589" s="1"/>
    </row>
    <row r="590" spans="4:5" x14ac:dyDescent="0.25">
      <c r="D590" s="1"/>
      <c r="E590" s="1"/>
    </row>
    <row r="591" spans="4:5" x14ac:dyDescent="0.25">
      <c r="D591" s="1"/>
      <c r="E591" s="1"/>
    </row>
    <row r="592" spans="4:5" x14ac:dyDescent="0.25">
      <c r="D592" s="1"/>
      <c r="E592" s="1"/>
    </row>
    <row r="593" spans="4:5" x14ac:dyDescent="0.25">
      <c r="D593" s="1"/>
      <c r="E593" s="1"/>
    </row>
    <row r="594" spans="4:5" x14ac:dyDescent="0.25">
      <c r="D594" s="1"/>
      <c r="E594" s="1"/>
    </row>
    <row r="595" spans="4:5" x14ac:dyDescent="0.25">
      <c r="D595" s="1"/>
      <c r="E595" s="1"/>
    </row>
    <row r="596" spans="4:5" x14ac:dyDescent="0.25">
      <c r="D596" s="1"/>
      <c r="E596" s="1"/>
    </row>
    <row r="597" spans="4:5" x14ac:dyDescent="0.25">
      <c r="D597" s="1"/>
      <c r="E597" s="1"/>
    </row>
    <row r="598" spans="4:5" x14ac:dyDescent="0.25">
      <c r="D598" s="1"/>
      <c r="E598" s="1"/>
    </row>
    <row r="599" spans="4:5" x14ac:dyDescent="0.25">
      <c r="D599" s="1"/>
      <c r="E599" s="1"/>
    </row>
    <row r="600" spans="4:5" x14ac:dyDescent="0.25">
      <c r="D600" s="1"/>
      <c r="E600" s="1"/>
    </row>
    <row r="601" spans="4:5" x14ac:dyDescent="0.25">
      <c r="D601" s="1"/>
      <c r="E601" s="1"/>
    </row>
    <row r="602" spans="4:5" x14ac:dyDescent="0.25">
      <c r="D602" s="1"/>
      <c r="E602" s="1"/>
    </row>
    <row r="603" spans="4:5" x14ac:dyDescent="0.25">
      <c r="D603" s="1"/>
      <c r="E603" s="1"/>
    </row>
    <row r="604" spans="4:5" x14ac:dyDescent="0.25">
      <c r="D604" s="1"/>
      <c r="E604" s="1"/>
    </row>
    <row r="605" spans="4:5" x14ac:dyDescent="0.25">
      <c r="D605" s="1"/>
      <c r="E605" s="1"/>
    </row>
    <row r="606" spans="4:5" x14ac:dyDescent="0.25">
      <c r="D606" s="1"/>
      <c r="E606" s="1"/>
    </row>
    <row r="607" spans="4:5" x14ac:dyDescent="0.25">
      <c r="D607" s="1"/>
      <c r="E607" s="1"/>
    </row>
    <row r="608" spans="4:5" x14ac:dyDescent="0.25">
      <c r="D608" s="1"/>
      <c r="E608" s="1"/>
    </row>
    <row r="609" spans="4:5" x14ac:dyDescent="0.25">
      <c r="D609" s="1"/>
      <c r="E609" s="1"/>
    </row>
    <row r="610" spans="4:5" x14ac:dyDescent="0.25">
      <c r="D610" s="1"/>
      <c r="E610" s="1"/>
    </row>
    <row r="611" spans="4:5" x14ac:dyDescent="0.25">
      <c r="D611" s="1"/>
      <c r="E611" s="1"/>
    </row>
    <row r="612" spans="4:5" x14ac:dyDescent="0.25">
      <c r="D612" s="1"/>
      <c r="E612" s="1"/>
    </row>
    <row r="613" spans="4:5" x14ac:dyDescent="0.25">
      <c r="D613" s="1"/>
      <c r="E613" s="1"/>
    </row>
    <row r="614" spans="4:5" x14ac:dyDescent="0.25">
      <c r="D614" s="1"/>
      <c r="E614" s="1"/>
    </row>
    <row r="615" spans="4:5" x14ac:dyDescent="0.25">
      <c r="D615" s="1"/>
      <c r="E615" s="1"/>
    </row>
    <row r="616" spans="4:5" x14ac:dyDescent="0.25">
      <c r="D616" s="1"/>
      <c r="E616" s="1"/>
    </row>
    <row r="617" spans="4:5" x14ac:dyDescent="0.25">
      <c r="D617" s="1"/>
      <c r="E617" s="1"/>
    </row>
    <row r="618" spans="4:5" x14ac:dyDescent="0.25">
      <c r="D618" s="1"/>
      <c r="E618" s="1"/>
    </row>
    <row r="619" spans="4:5" x14ac:dyDescent="0.25">
      <c r="D619" s="1"/>
      <c r="E619" s="1"/>
    </row>
    <row r="620" spans="4:5" x14ac:dyDescent="0.25">
      <c r="D620" s="1"/>
      <c r="E620" s="1"/>
    </row>
    <row r="621" spans="4:5" x14ac:dyDescent="0.25">
      <c r="D621" s="1"/>
      <c r="E621" s="1"/>
    </row>
    <row r="622" spans="4:5" x14ac:dyDescent="0.25">
      <c r="D622" s="1"/>
      <c r="E622" s="1"/>
    </row>
    <row r="623" spans="4:5" x14ac:dyDescent="0.25">
      <c r="D623" s="1"/>
      <c r="E623" s="1"/>
    </row>
    <row r="624" spans="4:5" x14ac:dyDescent="0.25">
      <c r="D624" s="1"/>
      <c r="E624" s="1"/>
    </row>
    <row r="625" spans="4:5" x14ac:dyDescent="0.25">
      <c r="D625" s="1"/>
      <c r="E625" s="1"/>
    </row>
    <row r="626" spans="4:5" x14ac:dyDescent="0.25">
      <c r="D626" s="1"/>
      <c r="E626" s="1"/>
    </row>
    <row r="627" spans="4:5" x14ac:dyDescent="0.25">
      <c r="D627" s="1"/>
      <c r="E627" s="1"/>
    </row>
    <row r="628" spans="4:5" x14ac:dyDescent="0.25">
      <c r="D628" s="1"/>
      <c r="E628" s="1"/>
    </row>
    <row r="629" spans="4:5" x14ac:dyDescent="0.25">
      <c r="D629" s="1"/>
      <c r="E629" s="1"/>
    </row>
    <row r="630" spans="4:5" x14ac:dyDescent="0.25">
      <c r="D630" s="1"/>
      <c r="E630" s="1"/>
    </row>
    <row r="631" spans="4:5" x14ac:dyDescent="0.25">
      <c r="D631" s="1"/>
      <c r="E631" s="1"/>
    </row>
    <row r="632" spans="4:5" x14ac:dyDescent="0.25">
      <c r="D632" s="1"/>
      <c r="E632" s="1"/>
    </row>
    <row r="633" spans="4:5" x14ac:dyDescent="0.25">
      <c r="D633" s="1"/>
      <c r="E633" s="1"/>
    </row>
    <row r="634" spans="4:5" x14ac:dyDescent="0.25">
      <c r="D634" s="1"/>
      <c r="E634" s="1"/>
    </row>
    <row r="635" spans="4:5" x14ac:dyDescent="0.25">
      <c r="D635" s="1"/>
      <c r="E635" s="1"/>
    </row>
    <row r="636" spans="4:5" x14ac:dyDescent="0.25">
      <c r="D636" s="1"/>
      <c r="E636" s="1"/>
    </row>
    <row r="637" spans="4:5" x14ac:dyDescent="0.25">
      <c r="D637" s="1"/>
      <c r="E637" s="1"/>
    </row>
    <row r="638" spans="4:5" x14ac:dyDescent="0.25">
      <c r="D638" s="1"/>
      <c r="E638" s="1"/>
    </row>
    <row r="639" spans="4:5" x14ac:dyDescent="0.25">
      <c r="D639" s="1"/>
      <c r="E639" s="1"/>
    </row>
    <row r="640" spans="4:5" x14ac:dyDescent="0.25">
      <c r="D640" s="1"/>
      <c r="E640" s="1"/>
    </row>
    <row r="641" spans="4:5" x14ac:dyDescent="0.25">
      <c r="D641" s="1"/>
      <c r="E641" s="1"/>
    </row>
    <row r="642" spans="4:5" x14ac:dyDescent="0.25">
      <c r="D642" s="1"/>
      <c r="E642" s="1"/>
    </row>
    <row r="643" spans="4:5" x14ac:dyDescent="0.25">
      <c r="D643" s="1"/>
      <c r="E643" s="1"/>
    </row>
    <row r="644" spans="4:5" x14ac:dyDescent="0.25">
      <c r="D644" s="1"/>
      <c r="E644" s="1"/>
    </row>
    <row r="645" spans="4:5" x14ac:dyDescent="0.25">
      <c r="D645" s="1"/>
      <c r="E645" s="1"/>
    </row>
    <row r="646" spans="4:5" x14ac:dyDescent="0.25">
      <c r="D646" s="1"/>
      <c r="E646" s="1"/>
    </row>
    <row r="647" spans="4:5" x14ac:dyDescent="0.25">
      <c r="D647" s="1"/>
      <c r="E647" s="1"/>
    </row>
    <row r="648" spans="4:5" x14ac:dyDescent="0.25">
      <c r="D648" s="1"/>
      <c r="E648" s="1"/>
    </row>
    <row r="649" spans="4:5" x14ac:dyDescent="0.25">
      <c r="D649" s="1"/>
      <c r="E649" s="1"/>
    </row>
    <row r="650" spans="4:5" x14ac:dyDescent="0.25">
      <c r="D650" s="1"/>
      <c r="E650" s="1"/>
    </row>
    <row r="651" spans="4:5" x14ac:dyDescent="0.25">
      <c r="D651" s="1"/>
      <c r="E651" s="1"/>
    </row>
    <row r="652" spans="4:5" x14ac:dyDescent="0.25">
      <c r="D652" s="1"/>
      <c r="E652" s="1"/>
    </row>
    <row r="653" spans="4:5" x14ac:dyDescent="0.25">
      <c r="D653" s="1"/>
      <c r="E653" s="1"/>
    </row>
    <row r="654" spans="4:5" x14ac:dyDescent="0.25">
      <c r="D654" s="1"/>
      <c r="E654" s="1"/>
    </row>
    <row r="655" spans="4:5" x14ac:dyDescent="0.25">
      <c r="D655" s="1"/>
      <c r="E655" s="1"/>
    </row>
    <row r="656" spans="4:5" x14ac:dyDescent="0.25">
      <c r="D656" s="1"/>
      <c r="E656" s="1"/>
    </row>
    <row r="657" spans="4:5" x14ac:dyDescent="0.25">
      <c r="D657" s="1"/>
      <c r="E657" s="1"/>
    </row>
    <row r="658" spans="4:5" x14ac:dyDescent="0.25">
      <c r="D658" s="1"/>
      <c r="E658" s="1"/>
    </row>
    <row r="659" spans="4:5" x14ac:dyDescent="0.25">
      <c r="D659" s="1"/>
      <c r="E659" s="1"/>
    </row>
    <row r="660" spans="4:5" x14ac:dyDescent="0.25">
      <c r="D660" s="1"/>
      <c r="E660" s="1"/>
    </row>
    <row r="661" spans="4:5" x14ac:dyDescent="0.25">
      <c r="D661" s="1"/>
      <c r="E661" s="1"/>
    </row>
    <row r="662" spans="4:5" x14ac:dyDescent="0.25">
      <c r="D662" s="1"/>
      <c r="E662" s="1"/>
    </row>
    <row r="663" spans="4:5" x14ac:dyDescent="0.25">
      <c r="D663" s="1"/>
      <c r="E663" s="1"/>
    </row>
    <row r="664" spans="4:5" x14ac:dyDescent="0.25">
      <c r="D664" s="1"/>
      <c r="E664" s="1"/>
    </row>
    <row r="665" spans="4:5" x14ac:dyDescent="0.25">
      <c r="D665" s="1"/>
      <c r="E665" s="1"/>
    </row>
    <row r="666" spans="4:5" x14ac:dyDescent="0.25">
      <c r="D666" s="1"/>
      <c r="E666" s="1"/>
    </row>
    <row r="667" spans="4:5" x14ac:dyDescent="0.25">
      <c r="D667" s="1"/>
      <c r="E667" s="1"/>
    </row>
    <row r="668" spans="4:5" x14ac:dyDescent="0.25">
      <c r="D668" s="1"/>
      <c r="E668" s="1"/>
    </row>
    <row r="669" spans="4:5" x14ac:dyDescent="0.25">
      <c r="D669" s="1"/>
      <c r="E669" s="1"/>
    </row>
    <row r="670" spans="4:5" x14ac:dyDescent="0.25">
      <c r="D670" s="1"/>
      <c r="E670" s="1"/>
    </row>
    <row r="671" spans="4:5" x14ac:dyDescent="0.25">
      <c r="D671" s="1"/>
      <c r="E671" s="1"/>
    </row>
    <row r="672" spans="4:5" x14ac:dyDescent="0.25">
      <c r="D672" s="1"/>
      <c r="E672" s="1"/>
    </row>
    <row r="673" spans="4:5" x14ac:dyDescent="0.25">
      <c r="D673" s="1"/>
      <c r="E673" s="1"/>
    </row>
    <row r="674" spans="4:5" x14ac:dyDescent="0.25">
      <c r="D674" s="1"/>
      <c r="E674" s="1"/>
    </row>
    <row r="675" spans="4:5" x14ac:dyDescent="0.25">
      <c r="D675" s="1"/>
      <c r="E675" s="1"/>
    </row>
    <row r="676" spans="4:5" x14ac:dyDescent="0.25">
      <c r="D676" s="1"/>
      <c r="E676" s="1"/>
    </row>
    <row r="677" spans="4:5" x14ac:dyDescent="0.25">
      <c r="D677" s="1"/>
      <c r="E677" s="1"/>
    </row>
    <row r="678" spans="4:5" x14ac:dyDescent="0.25">
      <c r="D678" s="1"/>
      <c r="E678" s="1"/>
    </row>
    <row r="679" spans="4:5" x14ac:dyDescent="0.25">
      <c r="D679" s="1"/>
      <c r="E679" s="1"/>
    </row>
    <row r="680" spans="4:5" x14ac:dyDescent="0.25">
      <c r="D680" s="1"/>
      <c r="E680" s="1"/>
    </row>
    <row r="681" spans="4:5" x14ac:dyDescent="0.25">
      <c r="D681" s="1"/>
      <c r="E681" s="1"/>
    </row>
    <row r="682" spans="4:5" x14ac:dyDescent="0.25">
      <c r="D682" s="1"/>
      <c r="E682" s="1"/>
    </row>
    <row r="683" spans="4:5" x14ac:dyDescent="0.25">
      <c r="D683" s="1"/>
      <c r="E683" s="1"/>
    </row>
    <row r="684" spans="4:5" x14ac:dyDescent="0.25">
      <c r="D684" s="1"/>
      <c r="E684" s="1"/>
    </row>
    <row r="685" spans="4:5" x14ac:dyDescent="0.25">
      <c r="D685" s="1"/>
      <c r="E685" s="1"/>
    </row>
    <row r="686" spans="4:5" x14ac:dyDescent="0.25">
      <c r="D686" s="1"/>
      <c r="E686" s="1"/>
    </row>
    <row r="687" spans="4:5" x14ac:dyDescent="0.25">
      <c r="D687" s="1"/>
      <c r="E687" s="1"/>
    </row>
    <row r="688" spans="4:5" x14ac:dyDescent="0.25">
      <c r="D688" s="1"/>
      <c r="E688" s="1"/>
    </row>
    <row r="689" spans="4:5" x14ac:dyDescent="0.25">
      <c r="D689" s="1"/>
      <c r="E689" s="1"/>
    </row>
    <row r="690" spans="4:5" x14ac:dyDescent="0.25">
      <c r="D690" s="1"/>
      <c r="E690" s="1"/>
    </row>
    <row r="691" spans="4:5" x14ac:dyDescent="0.25">
      <c r="D691" s="1"/>
      <c r="E691" s="1"/>
    </row>
    <row r="692" spans="4:5" x14ac:dyDescent="0.25">
      <c r="D692" s="1"/>
      <c r="E692" s="1"/>
    </row>
    <row r="693" spans="4:5" x14ac:dyDescent="0.25">
      <c r="D693" s="1"/>
      <c r="E693" s="1"/>
    </row>
    <row r="694" spans="4:5" x14ac:dyDescent="0.25">
      <c r="D694" s="1"/>
      <c r="E694" s="1"/>
    </row>
    <row r="695" spans="4:5" x14ac:dyDescent="0.25">
      <c r="D695" s="1"/>
      <c r="E695" s="1"/>
    </row>
    <row r="696" spans="4:5" x14ac:dyDescent="0.25">
      <c r="D696" s="1"/>
      <c r="E696" s="1"/>
    </row>
    <row r="697" spans="4:5" x14ac:dyDescent="0.25">
      <c r="D697" s="1"/>
      <c r="E697" s="1"/>
    </row>
    <row r="698" spans="4:5" x14ac:dyDescent="0.25">
      <c r="D698" s="1"/>
      <c r="E698" s="1"/>
    </row>
    <row r="699" spans="4:5" x14ac:dyDescent="0.25">
      <c r="D699" s="1"/>
      <c r="E699" s="1"/>
    </row>
    <row r="700" spans="4:5" x14ac:dyDescent="0.25">
      <c r="D700" s="1"/>
      <c r="E700" s="1"/>
    </row>
    <row r="701" spans="4:5" x14ac:dyDescent="0.25">
      <c r="D701" s="1"/>
      <c r="E701" s="1"/>
    </row>
    <row r="702" spans="4:5" x14ac:dyDescent="0.25">
      <c r="D702" s="1"/>
      <c r="E702" s="1"/>
    </row>
    <row r="703" spans="4:5" x14ac:dyDescent="0.25">
      <c r="D703" s="1"/>
      <c r="E703" s="1"/>
    </row>
    <row r="704" spans="4:5" x14ac:dyDescent="0.25">
      <c r="D704" s="1"/>
      <c r="E704" s="1"/>
    </row>
    <row r="705" spans="4:5" x14ac:dyDescent="0.25">
      <c r="D705" s="1"/>
      <c r="E705" s="1"/>
    </row>
    <row r="706" spans="4:5" x14ac:dyDescent="0.25">
      <c r="D706" s="1"/>
      <c r="E706" s="1"/>
    </row>
    <row r="707" spans="4:5" x14ac:dyDescent="0.25">
      <c r="D707" s="1"/>
      <c r="E707" s="1"/>
    </row>
    <row r="708" spans="4:5" x14ac:dyDescent="0.25">
      <c r="D708" s="1"/>
      <c r="E708" s="1"/>
    </row>
    <row r="709" spans="4:5" x14ac:dyDescent="0.25">
      <c r="D709" s="1"/>
      <c r="E709" s="1"/>
    </row>
    <row r="710" spans="4:5" x14ac:dyDescent="0.25">
      <c r="D710" s="1"/>
      <c r="E710" s="1"/>
    </row>
    <row r="711" spans="4:5" x14ac:dyDescent="0.25">
      <c r="D711" s="1"/>
      <c r="E711" s="1"/>
    </row>
    <row r="712" spans="4:5" x14ac:dyDescent="0.25">
      <c r="D712" s="1"/>
      <c r="E712" s="1"/>
    </row>
    <row r="713" spans="4:5" x14ac:dyDescent="0.25">
      <c r="D713" s="1"/>
      <c r="E713" s="1"/>
    </row>
    <row r="714" spans="4:5" x14ac:dyDescent="0.25">
      <c r="D714" s="1"/>
      <c r="E714" s="1"/>
    </row>
    <row r="715" spans="4:5" x14ac:dyDescent="0.25">
      <c r="D715" s="1"/>
      <c r="E715" s="1"/>
    </row>
    <row r="716" spans="4:5" x14ac:dyDescent="0.25">
      <c r="D716" s="1"/>
      <c r="E716" s="1"/>
    </row>
    <row r="717" spans="4:5" x14ac:dyDescent="0.25">
      <c r="D717" s="1"/>
      <c r="E717" s="1"/>
    </row>
    <row r="718" spans="4:5" x14ac:dyDescent="0.25">
      <c r="D718" s="1"/>
      <c r="E718" s="1"/>
    </row>
    <row r="719" spans="4:5" x14ac:dyDescent="0.25">
      <c r="D719" s="1"/>
      <c r="E719" s="1"/>
    </row>
    <row r="720" spans="4:5" x14ac:dyDescent="0.25">
      <c r="D720" s="1"/>
      <c r="E720" s="1"/>
    </row>
    <row r="721" spans="4:5" x14ac:dyDescent="0.25">
      <c r="D721" s="1"/>
      <c r="E721" s="1"/>
    </row>
    <row r="722" spans="4:5" x14ac:dyDescent="0.25">
      <c r="D722" s="1"/>
      <c r="E722" s="1"/>
    </row>
    <row r="723" spans="4:5" x14ac:dyDescent="0.25">
      <c r="D723" s="1"/>
      <c r="E723" s="1"/>
    </row>
    <row r="724" spans="4:5" x14ac:dyDescent="0.25">
      <c r="D724" s="1"/>
      <c r="E724" s="1"/>
    </row>
    <row r="725" spans="4:5" x14ac:dyDescent="0.25">
      <c r="D725" s="1"/>
      <c r="E725" s="1"/>
    </row>
    <row r="726" spans="4:5" x14ac:dyDescent="0.25">
      <c r="D726" s="1"/>
      <c r="E726" s="1"/>
    </row>
    <row r="727" spans="4:5" x14ac:dyDescent="0.25">
      <c r="D727" s="1"/>
      <c r="E727" s="1"/>
    </row>
    <row r="728" spans="4:5" x14ac:dyDescent="0.25">
      <c r="D728" s="1"/>
      <c r="E728" s="1"/>
    </row>
    <row r="729" spans="4:5" x14ac:dyDescent="0.25">
      <c r="D729" s="1"/>
      <c r="E729" s="1"/>
    </row>
    <row r="730" spans="4:5" x14ac:dyDescent="0.25">
      <c r="D730" s="1"/>
      <c r="E730" s="1"/>
    </row>
    <row r="731" spans="4:5" x14ac:dyDescent="0.25">
      <c r="D731" s="1"/>
      <c r="E731" s="1"/>
    </row>
    <row r="732" spans="4:5" x14ac:dyDescent="0.25">
      <c r="D732" s="1"/>
      <c r="E732" s="1"/>
    </row>
    <row r="733" spans="4:5" x14ac:dyDescent="0.25">
      <c r="D733" s="1"/>
      <c r="E733" s="1"/>
    </row>
    <row r="734" spans="4:5" x14ac:dyDescent="0.25">
      <c r="D734" s="1"/>
      <c r="E734" s="1"/>
    </row>
    <row r="735" spans="4:5" x14ac:dyDescent="0.25">
      <c r="D735" s="1"/>
      <c r="E735" s="1"/>
    </row>
    <row r="736" spans="4:5" x14ac:dyDescent="0.25">
      <c r="D736" s="1"/>
      <c r="E736" s="1"/>
    </row>
    <row r="737" spans="4:5" x14ac:dyDescent="0.25">
      <c r="D737" s="1"/>
      <c r="E737" s="1"/>
    </row>
    <row r="738" spans="4:5" x14ac:dyDescent="0.25">
      <c r="D738" s="1"/>
      <c r="E738" s="1"/>
    </row>
    <row r="739" spans="4:5" x14ac:dyDescent="0.25">
      <c r="D739" s="1"/>
      <c r="E739" s="1"/>
    </row>
    <row r="740" spans="4:5" x14ac:dyDescent="0.25">
      <c r="D740" s="1"/>
      <c r="E740" s="1"/>
    </row>
    <row r="741" spans="4:5" x14ac:dyDescent="0.25">
      <c r="D741" s="1"/>
      <c r="E741" s="1"/>
    </row>
    <row r="742" spans="4:5" x14ac:dyDescent="0.25">
      <c r="D742" s="1"/>
      <c r="E742" s="1"/>
    </row>
    <row r="743" spans="4:5" x14ac:dyDescent="0.25">
      <c r="D743" s="1"/>
      <c r="E743" s="1"/>
    </row>
    <row r="744" spans="4:5" x14ac:dyDescent="0.25">
      <c r="D744" s="1"/>
      <c r="E744" s="1"/>
    </row>
    <row r="745" spans="4:5" x14ac:dyDescent="0.25">
      <c r="D745" s="1"/>
      <c r="E745" s="1"/>
    </row>
    <row r="746" spans="4:5" x14ac:dyDescent="0.25">
      <c r="D746" s="1"/>
      <c r="E746" s="1"/>
    </row>
    <row r="747" spans="4:5" x14ac:dyDescent="0.25">
      <c r="D747" s="1"/>
      <c r="E747" s="1"/>
    </row>
    <row r="748" spans="4:5" x14ac:dyDescent="0.25">
      <c r="D748" s="1"/>
      <c r="E748" s="1"/>
    </row>
    <row r="749" spans="4:5" x14ac:dyDescent="0.25">
      <c r="D749" s="1"/>
      <c r="E749" s="1"/>
    </row>
    <row r="750" spans="4:5" x14ac:dyDescent="0.25">
      <c r="D750" s="1"/>
      <c r="E750" s="1"/>
    </row>
    <row r="751" spans="4:5" x14ac:dyDescent="0.25">
      <c r="D751" s="1"/>
      <c r="E751" s="1"/>
    </row>
    <row r="752" spans="4:5" x14ac:dyDescent="0.25">
      <c r="D752" s="1"/>
      <c r="E752" s="1"/>
    </row>
    <row r="753" spans="4:5" x14ac:dyDescent="0.25">
      <c r="D753" s="1"/>
      <c r="E753" s="1"/>
    </row>
    <row r="754" spans="4:5" x14ac:dyDescent="0.25">
      <c r="D754" s="1"/>
      <c r="E754" s="1"/>
    </row>
    <row r="755" spans="4:5" x14ac:dyDescent="0.25">
      <c r="D755" s="1"/>
      <c r="E755" s="1"/>
    </row>
    <row r="756" spans="4:5" x14ac:dyDescent="0.25">
      <c r="D756" s="1"/>
      <c r="E756" s="1"/>
    </row>
    <row r="757" spans="4:5" x14ac:dyDescent="0.25">
      <c r="D757" s="1"/>
      <c r="E757" s="1"/>
    </row>
    <row r="758" spans="4:5" x14ac:dyDescent="0.25">
      <c r="D758" s="1"/>
      <c r="E758" s="1"/>
    </row>
    <row r="759" spans="4:5" x14ac:dyDescent="0.25">
      <c r="D759" s="1"/>
      <c r="E759" s="1"/>
    </row>
    <row r="760" spans="4:5" x14ac:dyDescent="0.25">
      <c r="D760" s="1"/>
      <c r="E760" s="1"/>
    </row>
    <row r="761" spans="4:5" x14ac:dyDescent="0.25">
      <c r="D761" s="1"/>
      <c r="E761" s="1"/>
    </row>
    <row r="762" spans="4:5" x14ac:dyDescent="0.25">
      <c r="D762" s="1"/>
      <c r="E762" s="1"/>
    </row>
    <row r="763" spans="4:5" x14ac:dyDescent="0.25">
      <c r="D763" s="1"/>
      <c r="E763" s="1"/>
    </row>
    <row r="764" spans="4:5" x14ac:dyDescent="0.25">
      <c r="D764" s="1"/>
      <c r="E764" s="1"/>
    </row>
    <row r="765" spans="4:5" x14ac:dyDescent="0.25">
      <c r="D765" s="1"/>
      <c r="E765" s="1"/>
    </row>
    <row r="766" spans="4:5" x14ac:dyDescent="0.25">
      <c r="D766" s="1"/>
      <c r="E766" s="1"/>
    </row>
    <row r="767" spans="4:5" x14ac:dyDescent="0.25">
      <c r="D767" s="1"/>
      <c r="E767" s="1"/>
    </row>
    <row r="768" spans="4:5" x14ac:dyDescent="0.25">
      <c r="D768" s="1"/>
      <c r="E768" s="1"/>
    </row>
    <row r="769" spans="4:5" x14ac:dyDescent="0.25">
      <c r="D769" s="1"/>
      <c r="E769" s="1"/>
    </row>
    <row r="770" spans="4:5" x14ac:dyDescent="0.25">
      <c r="D770" s="1"/>
      <c r="E770" s="1"/>
    </row>
    <row r="771" spans="4:5" x14ac:dyDescent="0.25">
      <c r="D771" s="1"/>
      <c r="E771" s="1"/>
    </row>
    <row r="772" spans="4:5" x14ac:dyDescent="0.25">
      <c r="D772" s="1"/>
      <c r="E772" s="1"/>
    </row>
    <row r="773" spans="4:5" x14ac:dyDescent="0.25">
      <c r="D773" s="1"/>
      <c r="E773" s="1"/>
    </row>
    <row r="774" spans="4:5" x14ac:dyDescent="0.25">
      <c r="D774" s="1"/>
      <c r="E774" s="1"/>
    </row>
    <row r="775" spans="4:5" x14ac:dyDescent="0.25">
      <c r="D775" s="1"/>
      <c r="E775" s="1"/>
    </row>
    <row r="776" spans="4:5" x14ac:dyDescent="0.25">
      <c r="D776" s="1"/>
      <c r="E776" s="1"/>
    </row>
    <row r="777" spans="4:5" x14ac:dyDescent="0.25">
      <c r="D777" s="1"/>
      <c r="E777" s="1"/>
    </row>
    <row r="778" spans="4:5" x14ac:dyDescent="0.25">
      <c r="D778" s="1"/>
      <c r="E778" s="1"/>
    </row>
    <row r="779" spans="4:5" x14ac:dyDescent="0.25">
      <c r="D779" s="1"/>
      <c r="E779" s="1"/>
    </row>
    <row r="780" spans="4:5" x14ac:dyDescent="0.25">
      <c r="D780" s="1"/>
      <c r="E780" s="1"/>
    </row>
    <row r="781" spans="4:5" x14ac:dyDescent="0.25">
      <c r="D781" s="1"/>
      <c r="E781" s="1"/>
    </row>
    <row r="782" spans="4:5" x14ac:dyDescent="0.25">
      <c r="D782" s="1"/>
      <c r="E782" s="1"/>
    </row>
    <row r="783" spans="4:5" x14ac:dyDescent="0.25">
      <c r="D783" s="1"/>
      <c r="E783" s="1"/>
    </row>
    <row r="784" spans="4:5" x14ac:dyDescent="0.25">
      <c r="D784" s="1"/>
      <c r="E784" s="1"/>
    </row>
    <row r="785" spans="4:5" x14ac:dyDescent="0.25">
      <c r="D785" s="1"/>
      <c r="E785" s="1"/>
    </row>
    <row r="786" spans="4:5" x14ac:dyDescent="0.25">
      <c r="D786" s="1"/>
      <c r="E786" s="1"/>
    </row>
    <row r="787" spans="4:5" x14ac:dyDescent="0.25">
      <c r="D787" s="1"/>
      <c r="E787" s="1"/>
    </row>
    <row r="788" spans="4:5" x14ac:dyDescent="0.25">
      <c r="D788" s="1"/>
      <c r="E788" s="1"/>
    </row>
    <row r="789" spans="4:5" x14ac:dyDescent="0.25">
      <c r="D789" s="1"/>
      <c r="E789" s="1"/>
    </row>
    <row r="790" spans="4:5" x14ac:dyDescent="0.25">
      <c r="D790" s="1"/>
      <c r="E790" s="1"/>
    </row>
    <row r="791" spans="4:5" x14ac:dyDescent="0.25">
      <c r="D791" s="1"/>
      <c r="E791" s="1"/>
    </row>
    <row r="792" spans="4:5" x14ac:dyDescent="0.25">
      <c r="D792" s="1"/>
      <c r="E792" s="1"/>
    </row>
    <row r="793" spans="4:5" x14ac:dyDescent="0.25">
      <c r="D793" s="1"/>
      <c r="E793" s="1"/>
    </row>
    <row r="794" spans="4:5" x14ac:dyDescent="0.25">
      <c r="D794" s="1"/>
      <c r="E794" s="1"/>
    </row>
    <row r="795" spans="4:5" x14ac:dyDescent="0.25">
      <c r="D795" s="1"/>
      <c r="E795" s="1"/>
    </row>
    <row r="796" spans="4:5" x14ac:dyDescent="0.25">
      <c r="D796" s="1"/>
      <c r="E796" s="1"/>
    </row>
    <row r="797" spans="4:5" x14ac:dyDescent="0.25">
      <c r="D797" s="1"/>
      <c r="E797" s="1"/>
    </row>
    <row r="798" spans="4:5" x14ac:dyDescent="0.25">
      <c r="D798" s="1"/>
      <c r="E798" s="1"/>
    </row>
    <row r="799" spans="4:5" x14ac:dyDescent="0.25">
      <c r="D799" s="1"/>
      <c r="E799" s="1"/>
    </row>
    <row r="800" spans="4:5" x14ac:dyDescent="0.25">
      <c r="D800" s="1"/>
      <c r="E800" s="1"/>
    </row>
    <row r="801" spans="4:5" x14ac:dyDescent="0.25">
      <c r="D801" s="1"/>
      <c r="E801" s="1"/>
    </row>
    <row r="802" spans="4:5" x14ac:dyDescent="0.25">
      <c r="D802" s="1"/>
      <c r="E802" s="1"/>
    </row>
    <row r="803" spans="4:5" x14ac:dyDescent="0.25">
      <c r="D803" s="1"/>
      <c r="E803" s="1"/>
    </row>
    <row r="804" spans="4:5" x14ac:dyDescent="0.25">
      <c r="D804" s="1"/>
      <c r="E804" s="1"/>
    </row>
    <row r="805" spans="4:5" x14ac:dyDescent="0.25">
      <c r="D805" s="1"/>
      <c r="E805" s="1"/>
    </row>
    <row r="806" spans="4:5" x14ac:dyDescent="0.25">
      <c r="D806" s="1"/>
      <c r="E806" s="1"/>
    </row>
    <row r="807" spans="4:5" x14ac:dyDescent="0.25">
      <c r="D807" s="1"/>
      <c r="E807" s="1"/>
    </row>
    <row r="808" spans="4:5" x14ac:dyDescent="0.25">
      <c r="D808" s="1"/>
      <c r="E808" s="1"/>
    </row>
    <row r="809" spans="4:5" x14ac:dyDescent="0.25">
      <c r="D809" s="1"/>
      <c r="E809" s="1"/>
    </row>
    <row r="810" spans="4:5" x14ac:dyDescent="0.25">
      <c r="D810" s="1"/>
      <c r="E810" s="1"/>
    </row>
    <row r="811" spans="4:5" x14ac:dyDescent="0.25">
      <c r="D811" s="1"/>
      <c r="E811" s="1"/>
    </row>
    <row r="812" spans="4:5" x14ac:dyDescent="0.25">
      <c r="D812" s="1"/>
      <c r="E812" s="1"/>
    </row>
    <row r="813" spans="4:5" x14ac:dyDescent="0.25">
      <c r="D813" s="1"/>
      <c r="E813" s="1"/>
    </row>
    <row r="814" spans="4:5" x14ac:dyDescent="0.25">
      <c r="D814" s="1"/>
      <c r="E814" s="1"/>
    </row>
    <row r="815" spans="4:5" x14ac:dyDescent="0.25">
      <c r="D815" s="1"/>
      <c r="E815" s="1"/>
    </row>
    <row r="816" spans="4:5" x14ac:dyDescent="0.25">
      <c r="D816" s="1"/>
      <c r="E816" s="1"/>
    </row>
    <row r="817" spans="4:5" x14ac:dyDescent="0.25">
      <c r="D817" s="1"/>
      <c r="E817" s="1"/>
    </row>
    <row r="818" spans="4:5" x14ac:dyDescent="0.25">
      <c r="D818" s="1"/>
      <c r="E818" s="1"/>
    </row>
    <row r="819" spans="4:5" x14ac:dyDescent="0.25">
      <c r="D819" s="1"/>
      <c r="E819" s="1"/>
    </row>
    <row r="820" spans="4:5" x14ac:dyDescent="0.25">
      <c r="D820" s="1"/>
      <c r="E820" s="1"/>
    </row>
    <row r="821" spans="4:5" x14ac:dyDescent="0.25">
      <c r="D821" s="1"/>
      <c r="E821" s="1"/>
    </row>
    <row r="822" spans="4:5" x14ac:dyDescent="0.25">
      <c r="D822" s="1"/>
      <c r="E822" s="1"/>
    </row>
    <row r="823" spans="4:5" x14ac:dyDescent="0.25">
      <c r="D823" s="1"/>
      <c r="E823" s="1"/>
    </row>
    <row r="824" spans="4:5" x14ac:dyDescent="0.25">
      <c r="D824" s="1"/>
      <c r="E824" s="1"/>
    </row>
    <row r="825" spans="4:5" x14ac:dyDescent="0.25">
      <c r="D825" s="1"/>
      <c r="E825" s="1"/>
    </row>
    <row r="826" spans="4:5" x14ac:dyDescent="0.25">
      <c r="D826" s="1"/>
      <c r="E826" s="1"/>
    </row>
    <row r="827" spans="4:5" x14ac:dyDescent="0.25">
      <c r="D827" s="1"/>
      <c r="E827" s="1"/>
    </row>
    <row r="828" spans="4:5" x14ac:dyDescent="0.25">
      <c r="D828" s="1"/>
      <c r="E828" s="1"/>
    </row>
    <row r="829" spans="4:5" x14ac:dyDescent="0.25">
      <c r="D829" s="1"/>
      <c r="E829" s="1"/>
    </row>
    <row r="830" spans="4:5" x14ac:dyDescent="0.25">
      <c r="D830" s="1"/>
      <c r="E830" s="1"/>
    </row>
    <row r="831" spans="4:5" x14ac:dyDescent="0.25">
      <c r="D831" s="1"/>
      <c r="E831" s="1"/>
    </row>
    <row r="832" spans="4:5" x14ac:dyDescent="0.25">
      <c r="D832" s="1"/>
      <c r="E832" s="1"/>
    </row>
    <row r="833" spans="4:5" x14ac:dyDescent="0.25">
      <c r="D833" s="1"/>
      <c r="E833" s="1"/>
    </row>
    <row r="834" spans="4:5" x14ac:dyDescent="0.25">
      <c r="D834" s="1"/>
      <c r="E834" s="1"/>
    </row>
    <row r="835" spans="4:5" x14ac:dyDescent="0.25">
      <c r="D835" s="1"/>
      <c r="E835" s="1"/>
    </row>
    <row r="836" spans="4:5" x14ac:dyDescent="0.25">
      <c r="D836" s="1"/>
      <c r="E836" s="1"/>
    </row>
    <row r="837" spans="4:5" x14ac:dyDescent="0.25">
      <c r="D837" s="1"/>
      <c r="E837" s="1"/>
    </row>
    <row r="838" spans="4:5" x14ac:dyDescent="0.25">
      <c r="D838" s="1"/>
      <c r="E838" s="1"/>
    </row>
    <row r="839" spans="4:5" x14ac:dyDescent="0.25">
      <c r="D839" s="1"/>
      <c r="E839" s="1"/>
    </row>
    <row r="840" spans="4:5" x14ac:dyDescent="0.25">
      <c r="D840" s="1"/>
      <c r="E840" s="1"/>
    </row>
    <row r="841" spans="4:5" x14ac:dyDescent="0.25">
      <c r="D841" s="1"/>
      <c r="E841" s="1"/>
    </row>
    <row r="842" spans="4:5" x14ac:dyDescent="0.25">
      <c r="D842" s="1"/>
      <c r="E842" s="1"/>
    </row>
    <row r="843" spans="4:5" x14ac:dyDescent="0.25">
      <c r="D843" s="1"/>
      <c r="E843" s="1"/>
    </row>
    <row r="844" spans="4:5" x14ac:dyDescent="0.25">
      <c r="D844" s="1"/>
      <c r="E844" s="1"/>
    </row>
    <row r="845" spans="4:5" x14ac:dyDescent="0.25">
      <c r="D845" s="1"/>
      <c r="E845" s="1"/>
    </row>
    <row r="846" spans="4:5" x14ac:dyDescent="0.25">
      <c r="D846" s="1"/>
      <c r="E846" s="1"/>
    </row>
    <row r="847" spans="4:5" x14ac:dyDescent="0.25">
      <c r="D847" s="1"/>
      <c r="E847" s="1"/>
    </row>
    <row r="848" spans="4:5" x14ac:dyDescent="0.25">
      <c r="D848" s="1"/>
      <c r="E848" s="1"/>
    </row>
    <row r="849" spans="4:5" x14ac:dyDescent="0.25">
      <c r="D849" s="1"/>
      <c r="E849" s="1"/>
    </row>
    <row r="850" spans="4:5" x14ac:dyDescent="0.25">
      <c r="D850" s="1"/>
      <c r="E850" s="1"/>
    </row>
    <row r="851" spans="4:5" x14ac:dyDescent="0.25">
      <c r="D851" s="1"/>
      <c r="E851" s="1"/>
    </row>
    <row r="852" spans="4:5" x14ac:dyDescent="0.25">
      <c r="D852" s="1"/>
      <c r="E852" s="1"/>
    </row>
    <row r="853" spans="4:5" x14ac:dyDescent="0.25">
      <c r="D853" s="1"/>
      <c r="E853" s="1"/>
    </row>
    <row r="854" spans="4:5" x14ac:dyDescent="0.25">
      <c r="D854" s="1"/>
      <c r="E854" s="1"/>
    </row>
    <row r="855" spans="4:5" x14ac:dyDescent="0.25">
      <c r="D855" s="1"/>
      <c r="E855" s="1"/>
    </row>
    <row r="856" spans="4:5" x14ac:dyDescent="0.25">
      <c r="D856" s="1"/>
      <c r="E856" s="1"/>
    </row>
    <row r="857" spans="4:5" x14ac:dyDescent="0.25">
      <c r="D857" s="1"/>
      <c r="E857" s="1"/>
    </row>
    <row r="858" spans="4:5" x14ac:dyDescent="0.25">
      <c r="D858" s="1"/>
      <c r="E858" s="1"/>
    </row>
    <row r="859" spans="4:5" x14ac:dyDescent="0.25">
      <c r="D859" s="1"/>
      <c r="E859" s="1"/>
    </row>
    <row r="860" spans="4:5" x14ac:dyDescent="0.25">
      <c r="D860" s="1"/>
      <c r="E860" s="1"/>
    </row>
    <row r="861" spans="4:5" x14ac:dyDescent="0.25">
      <c r="D861" s="1"/>
      <c r="E861" s="1"/>
    </row>
    <row r="862" spans="4:5" x14ac:dyDescent="0.25">
      <c r="D862" s="1"/>
      <c r="E862" s="1"/>
    </row>
    <row r="863" spans="4:5" x14ac:dyDescent="0.25">
      <c r="D863" s="1"/>
      <c r="E863" s="1"/>
    </row>
    <row r="864" spans="4:5" x14ac:dyDescent="0.25">
      <c r="D864" s="1"/>
      <c r="E864" s="1"/>
    </row>
    <row r="865" spans="4:5" x14ac:dyDescent="0.25">
      <c r="D865" s="1"/>
      <c r="E865" s="1"/>
    </row>
    <row r="866" spans="4:5" x14ac:dyDescent="0.25">
      <c r="D866" s="1"/>
      <c r="E866" s="1"/>
    </row>
    <row r="867" spans="4:5" x14ac:dyDescent="0.25">
      <c r="D867" s="1"/>
      <c r="E867" s="1"/>
    </row>
    <row r="868" spans="4:5" x14ac:dyDescent="0.25">
      <c r="D868" s="1"/>
      <c r="E868" s="1"/>
    </row>
    <row r="869" spans="4:5" x14ac:dyDescent="0.25">
      <c r="D869" s="1"/>
      <c r="E869" s="1"/>
    </row>
    <row r="870" spans="4:5" x14ac:dyDescent="0.25">
      <c r="D870" s="1"/>
      <c r="E870" s="1"/>
    </row>
    <row r="871" spans="4:5" x14ac:dyDescent="0.25">
      <c r="D871" s="1"/>
      <c r="E871" s="1"/>
    </row>
    <row r="872" spans="4:5" x14ac:dyDescent="0.25">
      <c r="D872" s="1"/>
      <c r="E872" s="1"/>
    </row>
    <row r="873" spans="4:5" x14ac:dyDescent="0.25">
      <c r="D873" s="1"/>
      <c r="E873" s="1"/>
    </row>
    <row r="874" spans="4:5" x14ac:dyDescent="0.25">
      <c r="D874" s="1"/>
      <c r="E874" s="1"/>
    </row>
    <row r="875" spans="4:5" x14ac:dyDescent="0.25">
      <c r="D875" s="1"/>
      <c r="E875" s="1"/>
    </row>
    <row r="876" spans="4:5" x14ac:dyDescent="0.25">
      <c r="D876" s="1"/>
      <c r="E876" s="1"/>
    </row>
    <row r="877" spans="4:5" x14ac:dyDescent="0.25">
      <c r="D877" s="1"/>
      <c r="E877" s="1"/>
    </row>
    <row r="878" spans="4:5" x14ac:dyDescent="0.25">
      <c r="D878" s="1"/>
      <c r="E878" s="1"/>
    </row>
    <row r="879" spans="4:5" x14ac:dyDescent="0.25">
      <c r="D879" s="1"/>
      <c r="E879" s="1"/>
    </row>
    <row r="880" spans="4:5" x14ac:dyDescent="0.25">
      <c r="D880" s="1"/>
      <c r="E880" s="1"/>
    </row>
    <row r="881" spans="4:5" x14ac:dyDescent="0.25">
      <c r="D881" s="1"/>
      <c r="E881" s="1"/>
    </row>
    <row r="882" spans="4:5" x14ac:dyDescent="0.25">
      <c r="D882" s="1"/>
      <c r="E882" s="1"/>
    </row>
    <row r="883" spans="4:5" x14ac:dyDescent="0.25">
      <c r="D883" s="1"/>
      <c r="E883" s="1"/>
    </row>
    <row r="884" spans="4:5" x14ac:dyDescent="0.25">
      <c r="D884" s="1"/>
      <c r="E884" s="1"/>
    </row>
    <row r="885" spans="4:5" x14ac:dyDescent="0.25">
      <c r="D885" s="1"/>
      <c r="E885" s="1"/>
    </row>
    <row r="886" spans="4:5" x14ac:dyDescent="0.25">
      <c r="D886" s="1"/>
      <c r="E886" s="1"/>
    </row>
    <row r="887" spans="4:5" x14ac:dyDescent="0.25">
      <c r="D887" s="1"/>
      <c r="E887" s="1"/>
    </row>
    <row r="888" spans="4:5" x14ac:dyDescent="0.25">
      <c r="D888" s="1"/>
      <c r="E888" s="1"/>
    </row>
    <row r="889" spans="4:5" x14ac:dyDescent="0.25">
      <c r="D889" s="1"/>
      <c r="E889" s="1"/>
    </row>
    <row r="890" spans="4:5" x14ac:dyDescent="0.25">
      <c r="D890" s="1"/>
      <c r="E890" s="1"/>
    </row>
    <row r="891" spans="4:5" x14ac:dyDescent="0.25">
      <c r="D891" s="1"/>
      <c r="E891" s="1"/>
    </row>
    <row r="892" spans="4:5" x14ac:dyDescent="0.25">
      <c r="D892" s="1"/>
      <c r="E892" s="1"/>
    </row>
    <row r="893" spans="4:5" x14ac:dyDescent="0.25">
      <c r="D893" s="1"/>
      <c r="E893" s="1"/>
    </row>
    <row r="894" spans="4:5" x14ac:dyDescent="0.25">
      <c r="D894" s="1"/>
      <c r="E894" s="1"/>
    </row>
    <row r="895" spans="4:5" x14ac:dyDescent="0.25">
      <c r="D895" s="1"/>
      <c r="E895" s="1"/>
    </row>
    <row r="896" spans="4:5" x14ac:dyDescent="0.25">
      <c r="D896" s="1"/>
      <c r="E896" s="1"/>
    </row>
    <row r="897" spans="4:5" x14ac:dyDescent="0.25">
      <c r="D897" s="1"/>
      <c r="E897" s="1"/>
    </row>
    <row r="898" spans="4:5" x14ac:dyDescent="0.25">
      <c r="D898" s="1"/>
      <c r="E898" s="1"/>
    </row>
    <row r="899" spans="4:5" x14ac:dyDescent="0.25">
      <c r="D899" s="1"/>
      <c r="E899" s="1"/>
    </row>
    <row r="900" spans="4:5" x14ac:dyDescent="0.25">
      <c r="D900" s="1"/>
      <c r="E900" s="1"/>
    </row>
    <row r="901" spans="4:5" x14ac:dyDescent="0.25">
      <c r="D901" s="1"/>
      <c r="E901" s="1"/>
    </row>
    <row r="902" spans="4:5" x14ac:dyDescent="0.25">
      <c r="D902" s="1"/>
      <c r="E902" s="1"/>
    </row>
    <row r="903" spans="4:5" x14ac:dyDescent="0.25">
      <c r="D903" s="1"/>
      <c r="E903" s="1"/>
    </row>
    <row r="904" spans="4:5" x14ac:dyDescent="0.25">
      <c r="D904" s="1"/>
      <c r="E904" s="1"/>
    </row>
    <row r="905" spans="4:5" x14ac:dyDescent="0.25">
      <c r="D905" s="1"/>
      <c r="E905" s="1"/>
    </row>
    <row r="906" spans="4:5" x14ac:dyDescent="0.25">
      <c r="D906" s="1"/>
      <c r="E906" s="1"/>
    </row>
    <row r="907" spans="4:5" x14ac:dyDescent="0.25">
      <c r="D907" s="1"/>
      <c r="E907" s="1"/>
    </row>
    <row r="908" spans="4:5" x14ac:dyDescent="0.25">
      <c r="D908" s="1"/>
      <c r="E908" s="1"/>
    </row>
    <row r="909" spans="4:5" x14ac:dyDescent="0.25">
      <c r="D909" s="1"/>
      <c r="E909" s="1"/>
    </row>
    <row r="910" spans="4:5" x14ac:dyDescent="0.25">
      <c r="D910" s="1"/>
      <c r="E910" s="1"/>
    </row>
    <row r="911" spans="4:5" x14ac:dyDescent="0.25">
      <c r="D911" s="1"/>
      <c r="E911" s="1"/>
    </row>
    <row r="912" spans="4:5" x14ac:dyDescent="0.25">
      <c r="D912" s="1"/>
      <c r="E912" s="1"/>
    </row>
    <row r="913" spans="4:5" x14ac:dyDescent="0.25">
      <c r="D913" s="1"/>
      <c r="E913" s="1"/>
    </row>
    <row r="914" spans="4:5" x14ac:dyDescent="0.25">
      <c r="D914" s="1"/>
      <c r="E914" s="1"/>
    </row>
    <row r="915" spans="4:5" x14ac:dyDescent="0.25">
      <c r="D915" s="1"/>
      <c r="E915" s="1"/>
    </row>
    <row r="916" spans="4:5" x14ac:dyDescent="0.25">
      <c r="D916" s="1"/>
      <c r="E916" s="1"/>
    </row>
    <row r="917" spans="4:5" x14ac:dyDescent="0.25">
      <c r="D917" s="1"/>
      <c r="E917" s="1"/>
    </row>
    <row r="918" spans="4:5" x14ac:dyDescent="0.25">
      <c r="D918" s="1"/>
      <c r="E918" s="1"/>
    </row>
    <row r="919" spans="4:5" x14ac:dyDescent="0.25">
      <c r="D919" s="1"/>
      <c r="E919" s="1"/>
    </row>
    <row r="920" spans="4:5" x14ac:dyDescent="0.25">
      <c r="D920" s="1"/>
      <c r="E920" s="1"/>
    </row>
    <row r="921" spans="4:5" x14ac:dyDescent="0.25">
      <c r="D921" s="1"/>
      <c r="E921" s="1"/>
    </row>
    <row r="922" spans="4:5" x14ac:dyDescent="0.25">
      <c r="D922" s="1"/>
      <c r="E922" s="1"/>
    </row>
    <row r="923" spans="4:5" x14ac:dyDescent="0.25">
      <c r="D923" s="1"/>
      <c r="E923" s="1"/>
    </row>
    <row r="924" spans="4:5" x14ac:dyDescent="0.25">
      <c r="D924" s="1"/>
      <c r="E924" s="1"/>
    </row>
    <row r="925" spans="4:5" x14ac:dyDescent="0.25">
      <c r="D925" s="1"/>
      <c r="E925" s="1"/>
    </row>
    <row r="926" spans="4:5" x14ac:dyDescent="0.25">
      <c r="D926" s="1"/>
      <c r="E926" s="1"/>
    </row>
    <row r="927" spans="4:5" x14ac:dyDescent="0.25">
      <c r="D927" s="1"/>
      <c r="E927" s="1"/>
    </row>
    <row r="928" spans="4:5" x14ac:dyDescent="0.25">
      <c r="D928" s="1"/>
      <c r="E928" s="1"/>
    </row>
    <row r="929" spans="4:5" x14ac:dyDescent="0.25">
      <c r="D929" s="1"/>
      <c r="E929" s="1"/>
    </row>
    <row r="930" spans="4:5" x14ac:dyDescent="0.25">
      <c r="D930" s="1"/>
      <c r="E930" s="1"/>
    </row>
    <row r="931" spans="4:5" x14ac:dyDescent="0.25">
      <c r="D931" s="1"/>
      <c r="E931" s="1"/>
    </row>
    <row r="932" spans="4:5" x14ac:dyDescent="0.25">
      <c r="D932" s="1"/>
      <c r="E932" s="1"/>
    </row>
    <row r="933" spans="4:5" x14ac:dyDescent="0.25">
      <c r="D933" s="1"/>
      <c r="E933" s="1"/>
    </row>
    <row r="934" spans="4:5" x14ac:dyDescent="0.25">
      <c r="D934" s="1"/>
      <c r="E934" s="1"/>
    </row>
    <row r="935" spans="4:5" x14ac:dyDescent="0.25">
      <c r="D935" s="1"/>
      <c r="E935" s="1"/>
    </row>
    <row r="936" spans="4:5" x14ac:dyDescent="0.25">
      <c r="D936" s="1"/>
      <c r="E936" s="1"/>
    </row>
    <row r="937" spans="4:5" x14ac:dyDescent="0.25">
      <c r="D937" s="1"/>
      <c r="E937" s="1"/>
    </row>
    <row r="938" spans="4:5" x14ac:dyDescent="0.25">
      <c r="D938" s="1"/>
      <c r="E938" s="1"/>
    </row>
    <row r="939" spans="4:5" x14ac:dyDescent="0.25">
      <c r="D939" s="1"/>
      <c r="E939" s="1"/>
    </row>
    <row r="940" spans="4:5" x14ac:dyDescent="0.25">
      <c r="D940" s="1"/>
      <c r="E940" s="1"/>
    </row>
    <row r="941" spans="4:5" x14ac:dyDescent="0.25">
      <c r="D941" s="1"/>
      <c r="E941" s="1"/>
    </row>
    <row r="942" spans="4:5" x14ac:dyDescent="0.25">
      <c r="D942" s="1"/>
      <c r="E942" s="1"/>
    </row>
    <row r="943" spans="4:5" x14ac:dyDescent="0.25">
      <c r="D943" s="1"/>
      <c r="E943" s="1"/>
    </row>
    <row r="944" spans="4:5" x14ac:dyDescent="0.25">
      <c r="D944" s="1"/>
      <c r="E944" s="1"/>
    </row>
    <row r="945" spans="4:5" x14ac:dyDescent="0.25">
      <c r="D945" s="1"/>
      <c r="E945" s="1"/>
    </row>
    <row r="946" spans="4:5" x14ac:dyDescent="0.25">
      <c r="D946" s="1"/>
      <c r="E946" s="1"/>
    </row>
    <row r="947" spans="4:5" x14ac:dyDescent="0.25">
      <c r="D947" s="1"/>
      <c r="E947" s="1"/>
    </row>
    <row r="948" spans="4:5" x14ac:dyDescent="0.25">
      <c r="D948" s="1"/>
      <c r="E948" s="1"/>
    </row>
    <row r="949" spans="4:5" x14ac:dyDescent="0.25">
      <c r="D949" s="1"/>
      <c r="E949" s="1"/>
    </row>
    <row r="950" spans="4:5" x14ac:dyDescent="0.25">
      <c r="D950" s="1"/>
      <c r="E950" s="1"/>
    </row>
    <row r="951" spans="4:5" x14ac:dyDescent="0.25">
      <c r="D951" s="1"/>
      <c r="E951" s="1"/>
    </row>
    <row r="952" spans="4:5" x14ac:dyDescent="0.25">
      <c r="D952" s="1"/>
      <c r="E952" s="1"/>
    </row>
    <row r="953" spans="4:5" x14ac:dyDescent="0.25">
      <c r="D953" s="1"/>
      <c r="E953" s="1"/>
    </row>
    <row r="954" spans="4:5" x14ac:dyDescent="0.25">
      <c r="D954" s="1"/>
      <c r="E954" s="1"/>
    </row>
    <row r="955" spans="4:5" x14ac:dyDescent="0.25">
      <c r="D955" s="1"/>
      <c r="E955" s="1"/>
    </row>
    <row r="956" spans="4:5" x14ac:dyDescent="0.25">
      <c r="D956" s="1"/>
      <c r="E956" s="1"/>
    </row>
    <row r="957" spans="4:5" x14ac:dyDescent="0.25">
      <c r="D957" s="1"/>
      <c r="E957" s="1"/>
    </row>
    <row r="958" spans="4:5" x14ac:dyDescent="0.25">
      <c r="D958" s="1"/>
      <c r="E958" s="1"/>
    </row>
    <row r="959" spans="4:5" x14ac:dyDescent="0.25">
      <c r="D959" s="1"/>
      <c r="E959" s="1"/>
    </row>
    <row r="960" spans="4:5" x14ac:dyDescent="0.25">
      <c r="D960" s="1"/>
      <c r="E960" s="1"/>
    </row>
    <row r="961" spans="4:5" x14ac:dyDescent="0.25">
      <c r="D961" s="1"/>
      <c r="E961" s="1"/>
    </row>
    <row r="962" spans="4:5" x14ac:dyDescent="0.25">
      <c r="D962" s="1"/>
      <c r="E962" s="1"/>
    </row>
    <row r="963" spans="4:5" x14ac:dyDescent="0.25">
      <c r="D963" s="1"/>
      <c r="E963" s="1"/>
    </row>
    <row r="964" spans="4:5" x14ac:dyDescent="0.25">
      <c r="D964" s="1"/>
      <c r="E964" s="1"/>
    </row>
    <row r="965" spans="4:5" x14ac:dyDescent="0.25">
      <c r="D965" s="1"/>
      <c r="E965" s="1"/>
    </row>
    <row r="966" spans="4:5" x14ac:dyDescent="0.25">
      <c r="D966" s="1"/>
      <c r="E966" s="1"/>
    </row>
    <row r="967" spans="4:5" x14ac:dyDescent="0.25">
      <c r="D967" s="1"/>
      <c r="E967" s="1"/>
    </row>
    <row r="968" spans="4:5" x14ac:dyDescent="0.25">
      <c r="D968" s="1"/>
      <c r="E968" s="1"/>
    </row>
    <row r="969" spans="4:5" x14ac:dyDescent="0.25">
      <c r="D969" s="1"/>
      <c r="E969" s="1"/>
    </row>
    <row r="970" spans="4:5" x14ac:dyDescent="0.25">
      <c r="D970" s="1"/>
      <c r="E970" s="1"/>
    </row>
    <row r="971" spans="4:5" x14ac:dyDescent="0.25">
      <c r="D971" s="1"/>
      <c r="E971" s="1"/>
    </row>
    <row r="972" spans="4:5" x14ac:dyDescent="0.25">
      <c r="D972" s="1"/>
      <c r="E972" s="1"/>
    </row>
    <row r="973" spans="4:5" x14ac:dyDescent="0.25">
      <c r="D973" s="1"/>
      <c r="E973" s="1"/>
    </row>
    <row r="974" spans="4:5" x14ac:dyDescent="0.25">
      <c r="D974" s="1"/>
      <c r="E974" s="1"/>
    </row>
    <row r="975" spans="4:5" x14ac:dyDescent="0.25">
      <c r="D975" s="1"/>
      <c r="E975" s="1"/>
    </row>
    <row r="976" spans="4:5" x14ac:dyDescent="0.25">
      <c r="D976" s="1"/>
      <c r="E976" s="1"/>
    </row>
    <row r="977" spans="4:5" x14ac:dyDescent="0.25">
      <c r="D977" s="1"/>
      <c r="E977" s="1"/>
    </row>
    <row r="978" spans="4:5" x14ac:dyDescent="0.25">
      <c r="D978" s="1"/>
      <c r="E978" s="1"/>
    </row>
    <row r="979" spans="4:5" x14ac:dyDescent="0.25">
      <c r="D979" s="1"/>
      <c r="E979" s="1"/>
    </row>
    <row r="980" spans="4:5" x14ac:dyDescent="0.25">
      <c r="D980" s="1"/>
      <c r="E980" s="1"/>
    </row>
    <row r="981" spans="4:5" x14ac:dyDescent="0.25">
      <c r="D981" s="1"/>
      <c r="E981" s="1"/>
    </row>
    <row r="982" spans="4:5" x14ac:dyDescent="0.25">
      <c r="D982" s="1"/>
      <c r="E982" s="1"/>
    </row>
    <row r="983" spans="4:5" x14ac:dyDescent="0.25">
      <c r="D983" s="1"/>
      <c r="E983" s="1"/>
    </row>
    <row r="984" spans="4:5" x14ac:dyDescent="0.25">
      <c r="D984" s="1"/>
      <c r="E984" s="1"/>
    </row>
    <row r="985" spans="4:5" x14ac:dyDescent="0.25">
      <c r="D985" s="1"/>
      <c r="E985" s="1"/>
    </row>
    <row r="986" spans="4:5" x14ac:dyDescent="0.25">
      <c r="D986" s="1"/>
      <c r="E986" s="1"/>
    </row>
    <row r="987" spans="4:5" x14ac:dyDescent="0.25">
      <c r="D987" s="1"/>
      <c r="E987" s="1"/>
    </row>
    <row r="988" spans="4:5" x14ac:dyDescent="0.25">
      <c r="D988" s="1"/>
      <c r="E988" s="1"/>
    </row>
    <row r="989" spans="4:5" x14ac:dyDescent="0.25">
      <c r="D989" s="1"/>
      <c r="E989" s="1"/>
    </row>
    <row r="990" spans="4:5" x14ac:dyDescent="0.25">
      <c r="D990" s="1"/>
      <c r="E990" s="1"/>
    </row>
    <row r="991" spans="4:5" x14ac:dyDescent="0.25">
      <c r="D991" s="1"/>
      <c r="E991" s="1"/>
    </row>
    <row r="992" spans="4:5" x14ac:dyDescent="0.25">
      <c r="D992" s="1"/>
      <c r="E992" s="1"/>
    </row>
    <row r="993" spans="4:5" x14ac:dyDescent="0.25">
      <c r="D993" s="1"/>
      <c r="E993" s="1"/>
    </row>
    <row r="994" spans="4:5" x14ac:dyDescent="0.25">
      <c r="D994" s="1"/>
      <c r="E994" s="1"/>
    </row>
    <row r="995" spans="4:5" x14ac:dyDescent="0.25">
      <c r="D995" s="1"/>
      <c r="E995" s="1"/>
    </row>
    <row r="996" spans="4:5" x14ac:dyDescent="0.25">
      <c r="D996" s="1"/>
      <c r="E996" s="1"/>
    </row>
    <row r="997" spans="4:5" x14ac:dyDescent="0.25">
      <c r="D997" s="1"/>
      <c r="E997" s="1"/>
    </row>
    <row r="998" spans="4:5" x14ac:dyDescent="0.25">
      <c r="D998" s="1"/>
      <c r="E998" s="1"/>
    </row>
    <row r="999" spans="4:5" x14ac:dyDescent="0.25">
      <c r="D999" s="1"/>
      <c r="E999" s="1"/>
    </row>
    <row r="1000" spans="4:5" x14ac:dyDescent="0.25">
      <c r="D1000" s="1"/>
      <c r="E1000" s="1"/>
    </row>
    <row r="1001" spans="4:5" x14ac:dyDescent="0.25">
      <c r="D1001" s="1"/>
      <c r="E1001" s="1"/>
    </row>
    <row r="1002" spans="4:5" x14ac:dyDescent="0.25">
      <c r="D1002" s="1"/>
      <c r="E1002" s="1"/>
    </row>
    <row r="1003" spans="4:5" x14ac:dyDescent="0.25">
      <c r="D1003" s="1"/>
      <c r="E1003" s="1"/>
    </row>
    <row r="1004" spans="4:5" x14ac:dyDescent="0.25">
      <c r="D1004" s="1"/>
      <c r="E1004" s="1"/>
    </row>
    <row r="1005" spans="4:5" x14ac:dyDescent="0.25">
      <c r="D1005" s="1"/>
      <c r="E1005" s="1"/>
    </row>
    <row r="1006" spans="4:5" x14ac:dyDescent="0.25">
      <c r="D1006" s="1"/>
      <c r="E1006" s="1"/>
    </row>
    <row r="1007" spans="4:5" x14ac:dyDescent="0.25">
      <c r="D1007" s="1"/>
      <c r="E1007" s="1"/>
    </row>
    <row r="1008" spans="4:5" x14ac:dyDescent="0.25">
      <c r="D1008" s="1"/>
      <c r="E1008" s="1"/>
    </row>
    <row r="1009" spans="4:5" x14ac:dyDescent="0.25">
      <c r="D1009" s="1"/>
      <c r="E1009" s="1"/>
    </row>
    <row r="1010" spans="4:5" x14ac:dyDescent="0.25">
      <c r="D1010" s="1"/>
      <c r="E1010" s="1"/>
    </row>
    <row r="1011" spans="4:5" x14ac:dyDescent="0.25">
      <c r="D1011" s="1"/>
      <c r="E1011" s="1"/>
    </row>
    <row r="1012" spans="4:5" x14ac:dyDescent="0.25">
      <c r="D1012" s="1"/>
      <c r="E1012" s="1"/>
    </row>
    <row r="1013" spans="4:5" x14ac:dyDescent="0.25">
      <c r="D1013" s="1"/>
      <c r="E1013" s="1"/>
    </row>
    <row r="1014" spans="4:5" x14ac:dyDescent="0.25">
      <c r="D1014" s="1"/>
      <c r="E1014" s="1"/>
    </row>
    <row r="1015" spans="4:5" x14ac:dyDescent="0.25">
      <c r="D1015" s="1"/>
      <c r="E1015" s="1"/>
    </row>
    <row r="1016" spans="4:5" x14ac:dyDescent="0.25">
      <c r="D1016" s="1"/>
      <c r="E1016" s="1"/>
    </row>
    <row r="1017" spans="4:5" x14ac:dyDescent="0.25">
      <c r="D1017" s="1"/>
      <c r="E1017" s="1"/>
    </row>
    <row r="1018" spans="4:5" x14ac:dyDescent="0.25">
      <c r="D1018" s="1"/>
      <c r="E1018" s="1"/>
    </row>
    <row r="1019" spans="4:5" x14ac:dyDescent="0.25">
      <c r="D1019" s="1"/>
      <c r="E1019" s="1"/>
    </row>
    <row r="1020" spans="4:5" x14ac:dyDescent="0.25">
      <c r="D1020" s="1"/>
      <c r="E1020" s="1"/>
    </row>
    <row r="1021" spans="4:5" x14ac:dyDescent="0.25">
      <c r="D1021" s="1"/>
      <c r="E1021" s="1"/>
    </row>
    <row r="1022" spans="4:5" x14ac:dyDescent="0.25">
      <c r="D1022" s="1"/>
      <c r="E1022" s="1"/>
    </row>
    <row r="1023" spans="4:5" x14ac:dyDescent="0.25">
      <c r="D1023" s="1"/>
      <c r="E1023" s="1"/>
    </row>
    <row r="1024" spans="4:5" x14ac:dyDescent="0.25">
      <c r="D1024" s="1"/>
      <c r="E1024" s="1"/>
    </row>
    <row r="1025" spans="4:5" x14ac:dyDescent="0.25">
      <c r="D1025" s="1"/>
      <c r="E1025" s="1"/>
    </row>
    <row r="1026" spans="4:5" x14ac:dyDescent="0.25">
      <c r="D1026" s="1"/>
      <c r="E1026" s="1"/>
    </row>
    <row r="1027" spans="4:5" x14ac:dyDescent="0.25">
      <c r="D1027" s="1"/>
      <c r="E1027" s="1"/>
    </row>
    <row r="1028" spans="4:5" x14ac:dyDescent="0.25">
      <c r="D1028" s="1"/>
      <c r="E1028" s="1"/>
    </row>
    <row r="1029" spans="4:5" x14ac:dyDescent="0.25">
      <c r="D1029" s="1"/>
      <c r="E1029" s="1"/>
    </row>
    <row r="1030" spans="4:5" x14ac:dyDescent="0.25">
      <c r="D1030" s="1"/>
      <c r="E1030" s="1"/>
    </row>
    <row r="1031" spans="4:5" x14ac:dyDescent="0.25">
      <c r="D1031" s="1"/>
      <c r="E1031" s="1"/>
    </row>
    <row r="1032" spans="4:5" x14ac:dyDescent="0.25">
      <c r="D1032" s="1"/>
      <c r="E1032" s="1"/>
    </row>
    <row r="1033" spans="4:5" x14ac:dyDescent="0.25">
      <c r="D1033" s="1"/>
      <c r="E1033" s="1"/>
    </row>
    <row r="1034" spans="4:5" x14ac:dyDescent="0.25">
      <c r="D1034" s="1"/>
      <c r="E1034" s="1"/>
    </row>
    <row r="1035" spans="4:5" x14ac:dyDescent="0.25">
      <c r="D1035" s="1"/>
      <c r="E1035" s="1"/>
    </row>
    <row r="1036" spans="4:5" x14ac:dyDescent="0.25">
      <c r="D1036" s="1"/>
      <c r="E1036" s="1"/>
    </row>
    <row r="1037" spans="4:5" x14ac:dyDescent="0.25">
      <c r="D1037" s="1"/>
      <c r="E1037" s="1"/>
    </row>
    <row r="1038" spans="4:5" x14ac:dyDescent="0.25">
      <c r="D1038" s="1"/>
      <c r="E1038" s="1"/>
    </row>
    <row r="1039" spans="4:5" x14ac:dyDescent="0.25">
      <c r="D1039" s="1"/>
      <c r="E1039" s="1"/>
    </row>
    <row r="1040" spans="4:5" x14ac:dyDescent="0.25">
      <c r="D1040" s="1"/>
      <c r="E1040" s="1"/>
    </row>
    <row r="1041" spans="4:5" x14ac:dyDescent="0.25">
      <c r="D1041" s="1"/>
      <c r="E1041" s="1"/>
    </row>
    <row r="1042" spans="4:5" x14ac:dyDescent="0.25">
      <c r="D1042" s="1"/>
      <c r="E1042" s="1"/>
    </row>
    <row r="1043" spans="4:5" x14ac:dyDescent="0.25">
      <c r="D1043" s="1"/>
      <c r="E1043" s="1"/>
    </row>
    <row r="1044" spans="4:5" x14ac:dyDescent="0.25">
      <c r="D1044" s="1"/>
      <c r="E1044" s="1"/>
    </row>
    <row r="1045" spans="4:5" x14ac:dyDescent="0.25">
      <c r="D1045" s="1"/>
      <c r="E1045" s="1"/>
    </row>
    <row r="1046" spans="4:5" x14ac:dyDescent="0.25">
      <c r="D1046" s="1"/>
      <c r="E1046" s="1"/>
    </row>
    <row r="1047" spans="4:5" x14ac:dyDescent="0.25">
      <c r="D1047" s="1"/>
      <c r="E1047" s="1"/>
    </row>
    <row r="1048" spans="4:5" x14ac:dyDescent="0.25">
      <c r="D1048" s="1"/>
      <c r="E1048" s="1"/>
    </row>
    <row r="1049" spans="4:5" x14ac:dyDescent="0.25">
      <c r="D1049" s="1"/>
      <c r="E1049" s="1"/>
    </row>
    <row r="1050" spans="4:5" x14ac:dyDescent="0.25">
      <c r="D1050" s="1"/>
      <c r="E1050" s="1"/>
    </row>
    <row r="1051" spans="4:5" x14ac:dyDescent="0.25">
      <c r="D1051" s="1"/>
      <c r="E1051" s="1"/>
    </row>
    <row r="1052" spans="4:5" x14ac:dyDescent="0.25">
      <c r="D1052" s="1"/>
      <c r="E1052" s="1"/>
    </row>
    <row r="1053" spans="4:5" x14ac:dyDescent="0.25">
      <c r="D1053" s="1"/>
      <c r="E1053" s="1"/>
    </row>
    <row r="1054" spans="4:5" x14ac:dyDescent="0.25">
      <c r="D1054" s="1"/>
      <c r="E1054" s="1"/>
    </row>
    <row r="1055" spans="4:5" x14ac:dyDescent="0.25">
      <c r="D1055" s="1"/>
      <c r="E1055" s="1"/>
    </row>
    <row r="1056" spans="4:5" x14ac:dyDescent="0.25">
      <c r="D1056" s="1"/>
      <c r="E1056" s="1"/>
    </row>
    <row r="1057" spans="4:5" x14ac:dyDescent="0.25">
      <c r="D1057" s="1"/>
      <c r="E1057" s="1"/>
    </row>
    <row r="1058" spans="4:5" x14ac:dyDescent="0.25">
      <c r="D1058" s="1"/>
      <c r="E1058" s="1"/>
    </row>
    <row r="1059" spans="4:5" x14ac:dyDescent="0.25">
      <c r="D1059" s="1"/>
      <c r="E1059" s="1"/>
    </row>
    <row r="1060" spans="4:5" x14ac:dyDescent="0.25">
      <c r="D1060" s="1"/>
      <c r="E1060" s="1"/>
    </row>
    <row r="1061" spans="4:5" x14ac:dyDescent="0.25">
      <c r="D1061" s="1"/>
      <c r="E1061" s="1"/>
    </row>
    <row r="1062" spans="4:5" x14ac:dyDescent="0.25">
      <c r="D1062" s="1"/>
      <c r="E1062" s="1"/>
    </row>
    <row r="1063" spans="4:5" x14ac:dyDescent="0.25">
      <c r="D1063" s="1"/>
      <c r="E1063" s="1"/>
    </row>
    <row r="1064" spans="4:5" x14ac:dyDescent="0.25">
      <c r="D1064" s="1"/>
      <c r="E1064" s="1"/>
    </row>
    <row r="1065" spans="4:5" x14ac:dyDescent="0.25">
      <c r="D1065" s="1"/>
      <c r="E1065" s="1"/>
    </row>
    <row r="1066" spans="4:5" x14ac:dyDescent="0.25">
      <c r="D1066" s="1"/>
      <c r="E1066" s="1"/>
    </row>
    <row r="1067" spans="4:5" x14ac:dyDescent="0.25">
      <c r="D1067" s="1"/>
      <c r="E1067" s="1"/>
    </row>
    <row r="1068" spans="4:5" x14ac:dyDescent="0.25">
      <c r="D1068" s="1"/>
      <c r="E1068" s="1"/>
    </row>
    <row r="1069" spans="4:5" x14ac:dyDescent="0.25">
      <c r="D1069" s="1"/>
      <c r="E1069" s="1"/>
    </row>
    <row r="1070" spans="4:5" x14ac:dyDescent="0.25">
      <c r="D1070" s="1"/>
      <c r="E1070" s="1"/>
    </row>
    <row r="1071" spans="4:5" x14ac:dyDescent="0.25">
      <c r="D1071" s="1"/>
      <c r="E1071" s="1"/>
    </row>
    <row r="1072" spans="4:5" x14ac:dyDescent="0.25">
      <c r="D1072" s="1"/>
      <c r="E1072" s="1"/>
    </row>
    <row r="1073" spans="4:5" x14ac:dyDescent="0.25">
      <c r="D1073" s="1"/>
      <c r="E1073" s="1"/>
    </row>
    <row r="1074" spans="4:5" x14ac:dyDescent="0.25">
      <c r="D1074" s="1"/>
      <c r="E1074" s="1"/>
    </row>
    <row r="1075" spans="4:5" x14ac:dyDescent="0.25">
      <c r="D1075" s="1"/>
      <c r="E1075" s="1"/>
    </row>
    <row r="1076" spans="4:5" x14ac:dyDescent="0.25">
      <c r="D1076" s="1"/>
      <c r="E1076" s="1"/>
    </row>
    <row r="1077" spans="4:5" x14ac:dyDescent="0.25">
      <c r="D1077" s="1"/>
      <c r="E1077" s="1"/>
    </row>
    <row r="1078" spans="4:5" x14ac:dyDescent="0.25">
      <c r="D1078" s="1"/>
      <c r="E1078" s="1"/>
    </row>
    <row r="1079" spans="4:5" x14ac:dyDescent="0.25">
      <c r="D1079" s="1"/>
      <c r="E1079" s="1"/>
    </row>
    <row r="1080" spans="4:5" x14ac:dyDescent="0.25">
      <c r="D1080" s="1"/>
      <c r="E1080" s="1"/>
    </row>
    <row r="1081" spans="4:5" x14ac:dyDescent="0.25">
      <c r="D1081" s="1"/>
      <c r="E1081" s="1"/>
    </row>
    <row r="1082" spans="4:5" x14ac:dyDescent="0.25">
      <c r="D1082" s="1"/>
      <c r="E1082" s="1"/>
    </row>
    <row r="1083" spans="4:5" x14ac:dyDescent="0.25">
      <c r="D1083" s="1"/>
      <c r="E1083" s="1"/>
    </row>
    <row r="1084" spans="4:5" x14ac:dyDescent="0.25">
      <c r="D1084" s="1"/>
      <c r="E1084" s="1"/>
    </row>
    <row r="1085" spans="4:5" x14ac:dyDescent="0.25">
      <c r="D1085" s="1"/>
      <c r="E1085" s="1"/>
    </row>
    <row r="1086" spans="4:5" x14ac:dyDescent="0.25">
      <c r="D1086" s="1"/>
      <c r="E1086" s="1"/>
    </row>
    <row r="1087" spans="4:5" x14ac:dyDescent="0.25">
      <c r="D1087" s="1"/>
      <c r="E1087" s="1"/>
    </row>
    <row r="1088" spans="4:5" x14ac:dyDescent="0.25">
      <c r="D1088" s="1"/>
      <c r="E1088" s="1"/>
    </row>
    <row r="1089" spans="4:5" x14ac:dyDescent="0.25">
      <c r="D1089" s="1"/>
      <c r="E1089" s="1"/>
    </row>
    <row r="1090" spans="4:5" x14ac:dyDescent="0.25">
      <c r="D1090" s="1"/>
      <c r="E1090" s="1"/>
    </row>
    <row r="1091" spans="4:5" x14ac:dyDescent="0.25">
      <c r="D1091" s="1"/>
      <c r="E1091" s="1"/>
    </row>
    <row r="1092" spans="4:5" x14ac:dyDescent="0.25">
      <c r="D1092" s="1"/>
      <c r="E1092" s="1"/>
    </row>
    <row r="1093" spans="4:5" x14ac:dyDescent="0.25">
      <c r="D1093" s="1"/>
      <c r="E1093" s="1"/>
    </row>
    <row r="1094" spans="4:5" x14ac:dyDescent="0.25">
      <c r="D1094" s="1"/>
      <c r="E1094" s="1"/>
    </row>
    <row r="1095" spans="4:5" x14ac:dyDescent="0.25">
      <c r="D1095" s="1"/>
      <c r="E1095" s="1"/>
    </row>
    <row r="1096" spans="4:5" x14ac:dyDescent="0.25">
      <c r="D1096" s="1"/>
      <c r="E1096" s="1"/>
    </row>
    <row r="1097" spans="4:5" x14ac:dyDescent="0.25">
      <c r="D1097" s="1"/>
      <c r="E1097" s="1"/>
    </row>
    <row r="1098" spans="4:5" x14ac:dyDescent="0.25">
      <c r="D1098" s="1"/>
      <c r="E1098" s="1"/>
    </row>
    <row r="1099" spans="4:5" x14ac:dyDescent="0.25">
      <c r="D1099" s="1"/>
      <c r="E1099" s="1"/>
    </row>
    <row r="1100" spans="4:5" x14ac:dyDescent="0.25">
      <c r="D1100" s="1"/>
      <c r="E1100" s="1"/>
    </row>
    <row r="1101" spans="4:5" x14ac:dyDescent="0.25">
      <c r="D1101" s="1"/>
      <c r="E1101" s="1"/>
    </row>
    <row r="1102" spans="4:5" x14ac:dyDescent="0.25">
      <c r="D1102" s="1"/>
      <c r="E1102" s="1"/>
    </row>
    <row r="1103" spans="4:5" x14ac:dyDescent="0.25">
      <c r="D1103" s="1"/>
      <c r="E1103" s="1"/>
    </row>
    <row r="1104" spans="4:5" x14ac:dyDescent="0.25">
      <c r="D1104" s="1"/>
      <c r="E1104" s="1"/>
    </row>
    <row r="1105" spans="4:5" x14ac:dyDescent="0.25">
      <c r="D1105" s="1"/>
      <c r="E1105" s="1"/>
    </row>
    <row r="1106" spans="4:5" x14ac:dyDescent="0.25">
      <c r="D1106" s="1"/>
      <c r="E1106" s="1"/>
    </row>
    <row r="1107" spans="4:5" x14ac:dyDescent="0.25">
      <c r="D1107" s="1"/>
      <c r="E1107" s="1"/>
    </row>
    <row r="1108" spans="4:5" x14ac:dyDescent="0.25">
      <c r="D1108" s="1"/>
      <c r="E1108" s="1"/>
    </row>
    <row r="1109" spans="4:5" x14ac:dyDescent="0.25">
      <c r="D1109" s="1"/>
      <c r="E1109" s="1"/>
    </row>
    <row r="1110" spans="4:5" x14ac:dyDescent="0.25">
      <c r="D1110" s="1"/>
      <c r="E1110" s="1"/>
    </row>
    <row r="1111" spans="4:5" x14ac:dyDescent="0.25">
      <c r="D1111" s="1"/>
      <c r="E1111" s="1"/>
    </row>
    <row r="1112" spans="4:5" x14ac:dyDescent="0.25">
      <c r="D1112" s="1"/>
      <c r="E1112" s="1"/>
    </row>
    <row r="1113" spans="4:5" x14ac:dyDescent="0.25">
      <c r="D1113" s="1"/>
      <c r="E1113" s="1"/>
    </row>
    <row r="1114" spans="4:5" x14ac:dyDescent="0.25">
      <c r="D1114" s="1"/>
      <c r="E1114" s="1"/>
    </row>
    <row r="1115" spans="4:5" x14ac:dyDescent="0.25">
      <c r="D1115" s="1"/>
      <c r="E1115" s="1"/>
    </row>
    <row r="1116" spans="4:5" x14ac:dyDescent="0.25">
      <c r="D1116" s="1"/>
      <c r="E1116" s="1"/>
    </row>
    <row r="1117" spans="4:5" x14ac:dyDescent="0.25">
      <c r="D1117" s="1"/>
      <c r="E1117" s="1"/>
    </row>
    <row r="1118" spans="4:5" x14ac:dyDescent="0.25">
      <c r="D1118" s="1"/>
      <c r="E1118" s="1"/>
    </row>
    <row r="1119" spans="4:5" x14ac:dyDescent="0.25">
      <c r="D1119" s="1"/>
      <c r="E1119" s="1"/>
    </row>
    <row r="1120" spans="4:5" x14ac:dyDescent="0.25">
      <c r="D1120" s="1"/>
      <c r="E1120" s="1"/>
    </row>
    <row r="1121" spans="4:5" x14ac:dyDescent="0.25">
      <c r="D1121" s="1"/>
      <c r="E1121" s="1"/>
    </row>
    <row r="1122" spans="4:5" x14ac:dyDescent="0.25">
      <c r="D1122" s="1"/>
      <c r="E1122" s="1"/>
    </row>
    <row r="1123" spans="4:5" x14ac:dyDescent="0.25">
      <c r="D1123" s="1"/>
      <c r="E1123" s="1"/>
    </row>
    <row r="1124" spans="4:5" x14ac:dyDescent="0.25">
      <c r="D1124" s="1"/>
      <c r="E1124" s="1"/>
    </row>
    <row r="1125" spans="4:5" x14ac:dyDescent="0.25">
      <c r="D1125" s="1"/>
      <c r="E1125" s="1"/>
    </row>
    <row r="1126" spans="4:5" x14ac:dyDescent="0.25">
      <c r="D1126" s="1"/>
      <c r="E1126" s="1"/>
    </row>
    <row r="1127" spans="4:5" x14ac:dyDescent="0.25">
      <c r="D1127" s="1"/>
      <c r="E1127" s="1"/>
    </row>
    <row r="1128" spans="4:5" x14ac:dyDescent="0.25">
      <c r="D1128" s="1"/>
      <c r="E1128" s="1"/>
    </row>
    <row r="1129" spans="4:5" x14ac:dyDescent="0.25">
      <c r="D1129" s="1"/>
      <c r="E1129" s="1"/>
    </row>
    <row r="1130" spans="4:5" x14ac:dyDescent="0.25">
      <c r="D1130" s="1"/>
      <c r="E1130" s="1"/>
    </row>
    <row r="1131" spans="4:5" x14ac:dyDescent="0.25">
      <c r="D1131" s="1"/>
      <c r="E1131" s="1"/>
    </row>
    <row r="1132" spans="4:5" x14ac:dyDescent="0.25">
      <c r="D1132" s="1"/>
      <c r="E1132" s="1"/>
    </row>
    <row r="1133" spans="4:5" x14ac:dyDescent="0.25">
      <c r="D1133" s="1"/>
      <c r="E1133" s="1"/>
    </row>
    <row r="1134" spans="4:5" x14ac:dyDescent="0.25">
      <c r="D1134" s="1"/>
      <c r="E1134" s="1"/>
    </row>
    <row r="1135" spans="4:5" x14ac:dyDescent="0.25">
      <c r="D1135" s="1"/>
      <c r="E1135" s="1"/>
    </row>
    <row r="1136" spans="4:5" x14ac:dyDescent="0.25">
      <c r="D1136" s="1"/>
      <c r="E1136" s="1"/>
    </row>
    <row r="1137" spans="4:5" x14ac:dyDescent="0.25">
      <c r="D1137" s="1"/>
      <c r="E1137" s="1"/>
    </row>
    <row r="1138" spans="4:5" x14ac:dyDescent="0.25">
      <c r="D1138" s="1"/>
      <c r="E1138" s="1"/>
    </row>
    <row r="1139" spans="4:5" x14ac:dyDescent="0.25">
      <c r="D1139" s="1"/>
      <c r="E1139" s="1"/>
    </row>
    <row r="1140" spans="4:5" x14ac:dyDescent="0.25">
      <c r="D1140" s="1"/>
      <c r="E1140" s="1"/>
    </row>
    <row r="1141" spans="4:5" x14ac:dyDescent="0.25">
      <c r="D1141" s="1"/>
      <c r="E1141" s="1"/>
    </row>
    <row r="1142" spans="4:5" x14ac:dyDescent="0.25">
      <c r="D1142" s="1"/>
      <c r="E1142" s="1"/>
    </row>
    <row r="1143" spans="4:5" x14ac:dyDescent="0.25">
      <c r="D1143" s="1"/>
      <c r="E1143" s="1"/>
    </row>
    <row r="1144" spans="4:5" x14ac:dyDescent="0.25">
      <c r="D1144" s="1"/>
      <c r="E1144" s="1"/>
    </row>
    <row r="1145" spans="4:5" x14ac:dyDescent="0.25">
      <c r="D1145" s="1"/>
      <c r="E1145" s="1"/>
    </row>
    <row r="1146" spans="4:5" x14ac:dyDescent="0.25">
      <c r="D1146" s="1"/>
      <c r="E1146" s="1"/>
    </row>
    <row r="1147" spans="4:5" x14ac:dyDescent="0.25">
      <c r="D1147" s="1"/>
      <c r="E1147" s="1"/>
    </row>
    <row r="1148" spans="4:5" x14ac:dyDescent="0.25">
      <c r="D1148" s="1"/>
      <c r="E1148" s="1"/>
    </row>
    <row r="1149" spans="4:5" x14ac:dyDescent="0.25">
      <c r="D1149" s="1"/>
      <c r="E1149" s="1"/>
    </row>
    <row r="1150" spans="4:5" x14ac:dyDescent="0.25">
      <c r="D1150" s="1"/>
      <c r="E1150" s="1"/>
    </row>
    <row r="1151" spans="4:5" x14ac:dyDescent="0.25">
      <c r="D1151" s="1"/>
      <c r="E1151" s="1"/>
    </row>
    <row r="1152" spans="4:5" x14ac:dyDescent="0.25">
      <c r="D1152" s="1"/>
      <c r="E1152" s="1"/>
    </row>
    <row r="1153" spans="4:5" x14ac:dyDescent="0.25">
      <c r="D1153" s="1"/>
      <c r="E1153" s="1"/>
    </row>
    <row r="1154" spans="4:5" x14ac:dyDescent="0.25">
      <c r="D1154" s="1"/>
      <c r="E1154" s="1"/>
    </row>
    <row r="1155" spans="4:5" x14ac:dyDescent="0.25">
      <c r="D1155" s="1"/>
      <c r="E1155" s="1"/>
    </row>
    <row r="1156" spans="4:5" x14ac:dyDescent="0.25">
      <c r="D1156" s="1"/>
      <c r="E1156" s="1"/>
    </row>
    <row r="1157" spans="4:5" x14ac:dyDescent="0.25">
      <c r="D1157" s="1"/>
      <c r="E1157" s="1"/>
    </row>
    <row r="1158" spans="4:5" x14ac:dyDescent="0.25">
      <c r="D1158" s="1"/>
      <c r="E1158" s="1"/>
    </row>
    <row r="1159" spans="4:5" x14ac:dyDescent="0.25">
      <c r="D1159" s="1"/>
      <c r="E1159" s="1"/>
    </row>
    <row r="1160" spans="4:5" x14ac:dyDescent="0.25">
      <c r="D1160" s="1"/>
      <c r="E1160" s="1"/>
    </row>
    <row r="1161" spans="4:5" x14ac:dyDescent="0.25">
      <c r="D1161" s="1"/>
      <c r="E1161" s="1"/>
    </row>
    <row r="1162" spans="4:5" x14ac:dyDescent="0.25">
      <c r="D1162" s="1"/>
      <c r="E1162" s="1"/>
    </row>
    <row r="1163" spans="4:5" x14ac:dyDescent="0.25">
      <c r="D1163" s="1"/>
      <c r="E1163" s="1"/>
    </row>
    <row r="1164" spans="4:5" x14ac:dyDescent="0.25">
      <c r="D1164" s="1"/>
      <c r="E1164" s="1"/>
    </row>
    <row r="1165" spans="4:5" x14ac:dyDescent="0.25">
      <c r="D1165" s="1"/>
      <c r="E1165" s="1"/>
    </row>
    <row r="1166" spans="4:5" x14ac:dyDescent="0.25">
      <c r="D1166" s="1"/>
      <c r="E1166" s="1"/>
    </row>
    <row r="1167" spans="4:5" x14ac:dyDescent="0.25">
      <c r="D1167" s="1"/>
      <c r="E1167" s="1"/>
    </row>
    <row r="1168" spans="4:5" x14ac:dyDescent="0.25">
      <c r="D1168" s="1"/>
      <c r="E1168" s="1"/>
    </row>
    <row r="1169" spans="4:5" x14ac:dyDescent="0.25">
      <c r="D1169" s="1"/>
      <c r="E1169" s="1"/>
    </row>
    <row r="1170" spans="4:5" x14ac:dyDescent="0.25">
      <c r="D1170" s="1"/>
      <c r="E1170" s="1"/>
    </row>
    <row r="1171" spans="4:5" x14ac:dyDescent="0.25">
      <c r="D1171" s="1"/>
      <c r="E1171" s="1"/>
    </row>
    <row r="1172" spans="4:5" x14ac:dyDescent="0.25">
      <c r="D1172" s="1"/>
      <c r="E1172" s="1"/>
    </row>
    <row r="1173" spans="4:5" x14ac:dyDescent="0.25">
      <c r="D1173" s="1"/>
      <c r="E1173" s="1"/>
    </row>
    <row r="1174" spans="4:5" x14ac:dyDescent="0.25">
      <c r="D1174" s="1"/>
      <c r="E1174" s="1"/>
    </row>
    <row r="1175" spans="4:5" x14ac:dyDescent="0.25">
      <c r="D1175" s="1"/>
      <c r="E1175" s="1"/>
    </row>
    <row r="1176" spans="4:5" x14ac:dyDescent="0.25">
      <c r="D1176" s="1"/>
      <c r="E1176" s="1"/>
    </row>
    <row r="1177" spans="4:5" x14ac:dyDescent="0.25">
      <c r="D1177" s="1"/>
      <c r="E1177" s="1"/>
    </row>
    <row r="1178" spans="4:5" x14ac:dyDescent="0.25">
      <c r="D1178" s="1"/>
      <c r="E1178" s="1"/>
    </row>
    <row r="1179" spans="4:5" x14ac:dyDescent="0.25">
      <c r="D1179" s="1"/>
      <c r="E1179" s="1"/>
    </row>
    <row r="1180" spans="4:5" x14ac:dyDescent="0.25">
      <c r="D1180" s="1"/>
      <c r="E1180" s="1"/>
    </row>
    <row r="1181" spans="4:5" x14ac:dyDescent="0.25">
      <c r="D1181" s="1"/>
      <c r="E1181" s="1"/>
    </row>
    <row r="1182" spans="4:5" x14ac:dyDescent="0.25">
      <c r="D1182" s="1"/>
      <c r="E1182" s="1"/>
    </row>
    <row r="1183" spans="4:5" x14ac:dyDescent="0.25">
      <c r="D1183" s="1"/>
      <c r="E1183" s="1"/>
    </row>
    <row r="1184" spans="4:5" x14ac:dyDescent="0.25">
      <c r="D1184" s="1"/>
      <c r="E1184" s="1"/>
    </row>
    <row r="1185" spans="4:5" x14ac:dyDescent="0.25">
      <c r="D1185" s="1"/>
      <c r="E1185" s="1"/>
    </row>
    <row r="1186" spans="4:5" x14ac:dyDescent="0.25">
      <c r="D1186" s="1"/>
      <c r="E1186" s="1"/>
    </row>
    <row r="1187" spans="4:5" x14ac:dyDescent="0.25">
      <c r="D1187" s="1"/>
      <c r="E1187" s="1"/>
    </row>
    <row r="1188" spans="4:5" x14ac:dyDescent="0.25">
      <c r="D1188" s="1"/>
      <c r="E1188" s="1"/>
    </row>
    <row r="1189" spans="4:5" x14ac:dyDescent="0.25">
      <c r="D1189" s="1"/>
      <c r="E1189" s="1"/>
    </row>
    <row r="1190" spans="4:5" x14ac:dyDescent="0.25">
      <c r="D1190" s="1"/>
      <c r="E1190" s="1"/>
    </row>
    <row r="1191" spans="4:5" x14ac:dyDescent="0.25">
      <c r="D1191" s="1"/>
      <c r="E1191" s="1"/>
    </row>
    <row r="1192" spans="4:5" x14ac:dyDescent="0.25">
      <c r="D1192" s="1"/>
      <c r="E1192" s="1"/>
    </row>
    <row r="1193" spans="4:5" x14ac:dyDescent="0.25">
      <c r="D1193" s="1"/>
      <c r="E1193" s="1"/>
    </row>
    <row r="1194" spans="4:5" x14ac:dyDescent="0.25">
      <c r="D1194" s="1"/>
      <c r="E1194" s="1"/>
    </row>
    <row r="1195" spans="4:5" x14ac:dyDescent="0.25">
      <c r="D1195" s="1"/>
      <c r="E1195" s="1"/>
    </row>
    <row r="1196" spans="4:5" x14ac:dyDescent="0.25">
      <c r="D1196" s="1"/>
      <c r="E1196" s="1"/>
    </row>
    <row r="1197" spans="4:5" x14ac:dyDescent="0.25">
      <c r="D1197" s="1"/>
      <c r="E1197" s="1"/>
    </row>
    <row r="1198" spans="4:5" x14ac:dyDescent="0.25">
      <c r="D1198" s="1"/>
      <c r="E1198" s="1"/>
    </row>
    <row r="1199" spans="4:5" x14ac:dyDescent="0.25">
      <c r="D1199" s="1"/>
      <c r="E1199" s="1"/>
    </row>
    <row r="1200" spans="4:5" x14ac:dyDescent="0.25">
      <c r="D1200" s="1"/>
      <c r="E1200" s="1"/>
    </row>
    <row r="1201" spans="4:5" x14ac:dyDescent="0.25">
      <c r="D1201" s="1"/>
      <c r="E1201" s="1"/>
    </row>
    <row r="1202" spans="4:5" x14ac:dyDescent="0.25">
      <c r="D1202" s="1"/>
      <c r="E1202" s="1"/>
    </row>
    <row r="1203" spans="4:5" x14ac:dyDescent="0.25">
      <c r="D1203" s="1"/>
      <c r="E1203" s="1"/>
    </row>
    <row r="1204" spans="4:5" x14ac:dyDescent="0.25">
      <c r="D1204" s="1"/>
      <c r="E1204" s="1"/>
    </row>
    <row r="1205" spans="4:5" x14ac:dyDescent="0.25">
      <c r="D1205" s="1"/>
      <c r="E1205" s="1"/>
    </row>
    <row r="1206" spans="4:5" x14ac:dyDescent="0.25">
      <c r="D1206" s="1"/>
      <c r="E1206" s="1"/>
    </row>
    <row r="1207" spans="4:5" x14ac:dyDescent="0.25">
      <c r="D1207" s="1"/>
      <c r="E1207" s="1"/>
    </row>
    <row r="1208" spans="4:5" x14ac:dyDescent="0.25">
      <c r="D1208" s="1"/>
      <c r="E1208" s="1"/>
    </row>
    <row r="1209" spans="4:5" x14ac:dyDescent="0.25">
      <c r="D1209" s="1"/>
      <c r="E1209" s="1"/>
    </row>
    <row r="1210" spans="4:5" x14ac:dyDescent="0.25">
      <c r="D1210" s="1"/>
      <c r="E1210" s="1"/>
    </row>
    <row r="1211" spans="4:5" x14ac:dyDescent="0.25">
      <c r="D1211" s="1"/>
      <c r="E1211" s="1"/>
    </row>
    <row r="1212" spans="4:5" x14ac:dyDescent="0.25">
      <c r="D1212" s="1"/>
      <c r="E1212" s="1"/>
    </row>
    <row r="1213" spans="4:5" x14ac:dyDescent="0.25">
      <c r="D1213" s="1"/>
      <c r="E1213" s="1"/>
    </row>
    <row r="1214" spans="4:5" x14ac:dyDescent="0.25">
      <c r="D1214" s="1"/>
      <c r="E1214" s="1"/>
    </row>
    <row r="1215" spans="4:5" x14ac:dyDescent="0.25">
      <c r="D1215" s="1"/>
      <c r="E1215" s="1"/>
    </row>
    <row r="1216" spans="4:5" x14ac:dyDescent="0.25">
      <c r="D1216" s="1"/>
      <c r="E1216" s="1"/>
    </row>
    <row r="1217" spans="4:5" x14ac:dyDescent="0.25">
      <c r="D1217" s="1"/>
      <c r="E1217" s="1"/>
    </row>
    <row r="1218" spans="4:5" x14ac:dyDescent="0.25">
      <c r="D1218" s="1"/>
      <c r="E1218" s="1"/>
    </row>
    <row r="1219" spans="4:5" x14ac:dyDescent="0.25">
      <c r="D1219" s="1"/>
      <c r="E1219" s="1"/>
    </row>
    <row r="1220" spans="4:5" x14ac:dyDescent="0.25">
      <c r="D1220" s="1"/>
      <c r="E1220" s="1"/>
    </row>
    <row r="1221" spans="4:5" x14ac:dyDescent="0.25">
      <c r="D1221" s="1"/>
      <c r="E1221" s="1"/>
    </row>
    <row r="1222" spans="4:5" x14ac:dyDescent="0.25">
      <c r="D1222" s="1"/>
      <c r="E1222" s="1"/>
    </row>
    <row r="1223" spans="4:5" x14ac:dyDescent="0.25">
      <c r="D1223" s="1"/>
      <c r="E1223" s="1"/>
    </row>
    <row r="1224" spans="4:5" x14ac:dyDescent="0.25">
      <c r="D1224" s="1"/>
      <c r="E1224" s="1"/>
    </row>
    <row r="1225" spans="4:5" x14ac:dyDescent="0.25">
      <c r="D1225" s="1"/>
      <c r="E1225" s="1"/>
    </row>
    <row r="1226" spans="4:5" x14ac:dyDescent="0.25">
      <c r="D1226" s="1"/>
      <c r="E1226" s="1"/>
    </row>
    <row r="1227" spans="4:5" x14ac:dyDescent="0.25">
      <c r="D1227" s="1"/>
      <c r="E1227" s="1"/>
    </row>
    <row r="1228" spans="4:5" x14ac:dyDescent="0.25">
      <c r="D1228" s="1"/>
      <c r="E1228" s="1"/>
    </row>
    <row r="1229" spans="4:5" x14ac:dyDescent="0.25">
      <c r="D1229" s="1"/>
      <c r="E1229" s="1"/>
    </row>
    <row r="1230" spans="4:5" x14ac:dyDescent="0.25">
      <c r="D1230" s="1"/>
      <c r="E1230" s="1"/>
    </row>
    <row r="1231" spans="4:5" x14ac:dyDescent="0.25">
      <c r="D1231" s="1"/>
      <c r="E1231" s="1"/>
    </row>
    <row r="1232" spans="4:5" x14ac:dyDescent="0.25">
      <c r="D1232" s="1"/>
      <c r="E1232" s="1"/>
    </row>
    <row r="1233" spans="4:5" x14ac:dyDescent="0.25">
      <c r="D1233" s="1"/>
      <c r="E1233" s="1"/>
    </row>
    <row r="1234" spans="4:5" x14ac:dyDescent="0.25">
      <c r="D1234" s="1"/>
      <c r="E1234" s="1"/>
    </row>
    <row r="1235" spans="4:5" x14ac:dyDescent="0.25">
      <c r="D1235" s="1"/>
      <c r="E1235" s="1"/>
    </row>
    <row r="1236" spans="4:5" x14ac:dyDescent="0.25">
      <c r="D1236" s="1"/>
      <c r="E1236" s="1"/>
    </row>
    <row r="1237" spans="4:5" x14ac:dyDescent="0.25">
      <c r="D1237" s="1"/>
      <c r="E1237" s="1"/>
    </row>
    <row r="1238" spans="4:5" x14ac:dyDescent="0.25">
      <c r="D1238" s="1"/>
      <c r="E1238" s="1"/>
    </row>
    <row r="1239" spans="4:5" x14ac:dyDescent="0.25">
      <c r="D1239" s="1"/>
      <c r="E1239" s="1"/>
    </row>
    <row r="1240" spans="4:5" x14ac:dyDescent="0.25">
      <c r="D1240" s="1"/>
      <c r="E1240" s="1"/>
    </row>
    <row r="1241" spans="4:5" x14ac:dyDescent="0.25">
      <c r="D1241" s="1"/>
      <c r="E1241" s="1"/>
    </row>
    <row r="1242" spans="4:5" x14ac:dyDescent="0.25">
      <c r="D1242" s="1"/>
      <c r="E1242" s="1"/>
    </row>
    <row r="1243" spans="4:5" x14ac:dyDescent="0.25">
      <c r="D1243" s="1"/>
      <c r="E1243" s="1"/>
    </row>
    <row r="1244" spans="4:5" x14ac:dyDescent="0.25">
      <c r="D1244" s="1"/>
      <c r="E1244" s="1"/>
    </row>
    <row r="1245" spans="4:5" x14ac:dyDescent="0.25">
      <c r="D1245" s="1"/>
      <c r="E1245" s="1"/>
    </row>
    <row r="1246" spans="4:5" x14ac:dyDescent="0.25">
      <c r="D1246" s="1"/>
      <c r="E1246" s="1"/>
    </row>
    <row r="1247" spans="4:5" x14ac:dyDescent="0.25">
      <c r="D1247" s="1"/>
      <c r="E1247" s="1"/>
    </row>
    <row r="1248" spans="4:5" x14ac:dyDescent="0.25">
      <c r="D1248" s="1"/>
      <c r="E1248" s="1"/>
    </row>
    <row r="1249" spans="4:5" x14ac:dyDescent="0.25">
      <c r="D1249" s="1"/>
      <c r="E1249" s="1"/>
    </row>
    <row r="1250" spans="4:5" x14ac:dyDescent="0.25">
      <c r="D1250" s="1"/>
      <c r="E1250" s="1"/>
    </row>
    <row r="1251" spans="4:5" x14ac:dyDescent="0.25">
      <c r="D1251" s="1"/>
      <c r="E1251" s="1"/>
    </row>
    <row r="1252" spans="4:5" x14ac:dyDescent="0.25">
      <c r="D1252" s="1"/>
      <c r="E1252" s="1"/>
    </row>
    <row r="1253" spans="4:5" x14ac:dyDescent="0.25">
      <c r="D1253" s="1"/>
      <c r="E1253" s="1"/>
    </row>
    <row r="1254" spans="4:5" x14ac:dyDescent="0.25">
      <c r="D1254" s="1"/>
      <c r="E1254" s="1"/>
    </row>
    <row r="1255" spans="4:5" x14ac:dyDescent="0.25">
      <c r="D1255" s="1"/>
      <c r="E1255" s="1"/>
    </row>
    <row r="1256" spans="4:5" x14ac:dyDescent="0.25">
      <c r="D1256" s="1"/>
      <c r="E1256" s="1"/>
    </row>
    <row r="1257" spans="4:5" x14ac:dyDescent="0.25">
      <c r="D1257" s="1"/>
      <c r="E1257" s="1"/>
    </row>
    <row r="1258" spans="4:5" x14ac:dyDescent="0.25">
      <c r="D1258" s="1"/>
      <c r="E1258" s="1"/>
    </row>
    <row r="1259" spans="4:5" x14ac:dyDescent="0.25">
      <c r="D1259" s="1"/>
      <c r="E1259" s="1"/>
    </row>
    <row r="1260" spans="4:5" x14ac:dyDescent="0.25">
      <c r="D1260" s="1"/>
      <c r="E1260" s="1"/>
    </row>
    <row r="1261" spans="4:5" x14ac:dyDescent="0.25">
      <c r="D1261" s="1"/>
      <c r="E1261" s="1"/>
    </row>
    <row r="1262" spans="4:5" x14ac:dyDescent="0.25">
      <c r="D1262" s="1"/>
      <c r="E1262" s="1"/>
    </row>
    <row r="1263" spans="4:5" x14ac:dyDescent="0.25">
      <c r="D1263" s="1"/>
      <c r="E1263" s="1"/>
    </row>
    <row r="1264" spans="4:5" x14ac:dyDescent="0.25">
      <c r="D1264" s="1"/>
      <c r="E1264" s="1"/>
    </row>
    <row r="1265" spans="4:5" x14ac:dyDescent="0.25">
      <c r="D1265" s="1"/>
      <c r="E1265" s="1"/>
    </row>
    <row r="1266" spans="4:5" x14ac:dyDescent="0.25">
      <c r="D1266" s="1"/>
      <c r="E1266" s="1"/>
    </row>
    <row r="1267" spans="4:5" x14ac:dyDescent="0.25">
      <c r="D1267" s="1"/>
      <c r="E1267" s="1"/>
    </row>
    <row r="1268" spans="4:5" x14ac:dyDescent="0.25">
      <c r="D1268" s="1"/>
      <c r="E1268" s="1"/>
    </row>
    <row r="1269" spans="4:5" x14ac:dyDescent="0.25">
      <c r="D1269" s="1"/>
      <c r="E1269" s="1"/>
    </row>
    <row r="1270" spans="4:5" x14ac:dyDescent="0.25">
      <c r="D1270" s="1"/>
      <c r="E1270" s="1"/>
    </row>
    <row r="1271" spans="4:5" x14ac:dyDescent="0.25">
      <c r="D1271" s="1"/>
      <c r="E1271" s="1"/>
    </row>
    <row r="1272" spans="4:5" x14ac:dyDescent="0.25">
      <c r="D1272" s="1"/>
      <c r="E1272" s="1"/>
    </row>
    <row r="1273" spans="4:5" x14ac:dyDescent="0.25">
      <c r="D1273" s="1"/>
      <c r="E1273" s="1"/>
    </row>
    <row r="1274" spans="4:5" x14ac:dyDescent="0.25">
      <c r="D1274" s="1"/>
      <c r="E1274" s="1"/>
    </row>
    <row r="1275" spans="4:5" x14ac:dyDescent="0.25">
      <c r="D1275" s="1"/>
      <c r="E1275" s="1"/>
    </row>
    <row r="1276" spans="4:5" x14ac:dyDescent="0.25">
      <c r="D1276" s="1"/>
      <c r="E1276" s="1"/>
    </row>
    <row r="1277" spans="4:5" x14ac:dyDescent="0.25">
      <c r="D1277" s="1"/>
      <c r="E1277" s="1"/>
    </row>
    <row r="1278" spans="4:5" x14ac:dyDescent="0.25">
      <c r="D1278" s="1"/>
      <c r="E1278" s="1"/>
    </row>
    <row r="1279" spans="4:5" x14ac:dyDescent="0.25">
      <c r="D1279" s="1"/>
      <c r="E1279" s="1"/>
    </row>
    <row r="1280" spans="4:5" x14ac:dyDescent="0.25">
      <c r="D1280" s="1"/>
      <c r="E1280" s="1"/>
    </row>
    <row r="1281" spans="4:5" x14ac:dyDescent="0.25">
      <c r="D1281" s="1"/>
      <c r="E1281" s="1"/>
    </row>
    <row r="1282" spans="4:5" x14ac:dyDescent="0.25">
      <c r="D1282" s="1"/>
      <c r="E1282" s="1"/>
    </row>
    <row r="1283" spans="4:5" x14ac:dyDescent="0.25">
      <c r="D1283" s="1"/>
      <c r="E1283" s="1"/>
    </row>
    <row r="1284" spans="4:5" x14ac:dyDescent="0.25">
      <c r="D1284" s="1"/>
      <c r="E1284" s="1"/>
    </row>
    <row r="1285" spans="4:5" x14ac:dyDescent="0.25">
      <c r="D1285" s="1"/>
      <c r="E1285" s="1"/>
    </row>
    <row r="1286" spans="4:5" x14ac:dyDescent="0.25">
      <c r="D1286" s="1"/>
      <c r="E1286" s="1"/>
    </row>
    <row r="1287" spans="4:5" x14ac:dyDescent="0.25">
      <c r="D1287" s="1"/>
      <c r="E1287" s="1"/>
    </row>
    <row r="1288" spans="4:5" x14ac:dyDescent="0.25">
      <c r="D1288" s="1"/>
      <c r="E1288" s="1"/>
    </row>
    <row r="1289" spans="4:5" x14ac:dyDescent="0.25">
      <c r="D1289" s="1"/>
      <c r="E1289" s="1"/>
    </row>
    <row r="1290" spans="4:5" x14ac:dyDescent="0.25">
      <c r="D1290" s="1"/>
      <c r="E1290" s="1"/>
    </row>
    <row r="1291" spans="4:5" x14ac:dyDescent="0.25">
      <c r="D1291" s="1"/>
      <c r="E1291" s="1"/>
    </row>
    <row r="1292" spans="4:5" x14ac:dyDescent="0.25">
      <c r="D1292" s="1"/>
      <c r="E1292" s="1"/>
    </row>
    <row r="1293" spans="4:5" x14ac:dyDescent="0.25">
      <c r="D1293" s="1"/>
      <c r="E1293" s="1"/>
    </row>
    <row r="1294" spans="4:5" x14ac:dyDescent="0.25">
      <c r="D1294" s="1"/>
      <c r="E1294" s="1"/>
    </row>
    <row r="1295" spans="4:5" x14ac:dyDescent="0.25">
      <c r="D1295" s="1"/>
      <c r="E1295" s="1"/>
    </row>
    <row r="1296" spans="4:5" x14ac:dyDescent="0.25">
      <c r="D1296" s="1"/>
      <c r="E1296" s="1"/>
    </row>
    <row r="1297" spans="4:5" x14ac:dyDescent="0.25">
      <c r="D1297" s="1"/>
      <c r="E1297" s="1"/>
    </row>
    <row r="1298" spans="4:5" x14ac:dyDescent="0.25">
      <c r="D1298" s="1"/>
      <c r="E1298" s="1"/>
    </row>
    <row r="1299" spans="4:5" x14ac:dyDescent="0.25">
      <c r="D1299" s="1"/>
      <c r="E1299" s="1"/>
    </row>
    <row r="1300" spans="4:5" x14ac:dyDescent="0.25">
      <c r="D1300" s="1"/>
      <c r="E1300" s="1"/>
    </row>
    <row r="1301" spans="4:5" x14ac:dyDescent="0.25">
      <c r="D1301" s="1"/>
      <c r="E1301" s="1"/>
    </row>
    <row r="1302" spans="4:5" x14ac:dyDescent="0.25">
      <c r="D1302" s="1"/>
      <c r="E1302" s="1"/>
    </row>
    <row r="1303" spans="4:5" x14ac:dyDescent="0.25">
      <c r="D1303" s="1"/>
      <c r="E1303" s="1"/>
    </row>
    <row r="1304" spans="4:5" x14ac:dyDescent="0.25">
      <c r="D1304" s="1"/>
      <c r="E1304" s="1"/>
    </row>
    <row r="1305" spans="4:5" x14ac:dyDescent="0.25">
      <c r="D1305" s="1"/>
      <c r="E1305" s="1"/>
    </row>
    <row r="1306" spans="4:5" x14ac:dyDescent="0.25">
      <c r="D1306" s="1"/>
      <c r="E1306" s="1"/>
    </row>
    <row r="1307" spans="4:5" x14ac:dyDescent="0.25">
      <c r="D1307" s="1"/>
      <c r="E1307" s="1"/>
    </row>
    <row r="1308" spans="4:5" x14ac:dyDescent="0.25">
      <c r="D1308" s="1"/>
      <c r="E1308" s="1"/>
    </row>
    <row r="1309" spans="4:5" x14ac:dyDescent="0.25">
      <c r="D1309" s="1"/>
      <c r="E1309" s="1"/>
    </row>
    <row r="1310" spans="4:5" x14ac:dyDescent="0.25">
      <c r="D1310" s="1"/>
      <c r="E1310" s="1"/>
    </row>
    <row r="1311" spans="4:5" x14ac:dyDescent="0.25">
      <c r="D1311" s="1"/>
      <c r="E1311" s="1"/>
    </row>
    <row r="1312" spans="4:5" x14ac:dyDescent="0.25">
      <c r="D1312" s="1"/>
      <c r="E1312" s="1"/>
    </row>
    <row r="1313" spans="4:5" x14ac:dyDescent="0.25">
      <c r="D1313" s="1"/>
      <c r="E1313" s="1"/>
    </row>
    <row r="1314" spans="4:5" x14ac:dyDescent="0.25">
      <c r="D1314" s="1"/>
      <c r="E1314" s="1"/>
    </row>
    <row r="1315" spans="4:5" x14ac:dyDescent="0.25">
      <c r="D1315" s="1"/>
      <c r="E1315" s="1"/>
    </row>
    <row r="1316" spans="4:5" x14ac:dyDescent="0.25">
      <c r="D1316" s="1"/>
      <c r="E1316" s="1"/>
    </row>
    <row r="1317" spans="4:5" x14ac:dyDescent="0.25">
      <c r="D1317" s="1"/>
      <c r="E1317" s="1"/>
    </row>
    <row r="1318" spans="4:5" x14ac:dyDescent="0.25">
      <c r="D1318" s="1"/>
      <c r="E1318" s="1"/>
    </row>
    <row r="1319" spans="4:5" x14ac:dyDescent="0.25">
      <c r="D1319" s="1"/>
      <c r="E1319" s="1"/>
    </row>
    <row r="1320" spans="4:5" x14ac:dyDescent="0.25">
      <c r="D1320" s="1"/>
      <c r="E1320" s="1"/>
    </row>
    <row r="1321" spans="4:5" x14ac:dyDescent="0.25">
      <c r="D1321" s="1"/>
      <c r="E1321" s="1"/>
    </row>
    <row r="1322" spans="4:5" x14ac:dyDescent="0.25">
      <c r="D1322" s="1"/>
      <c r="E1322" s="1"/>
    </row>
    <row r="1323" spans="4:5" x14ac:dyDescent="0.25">
      <c r="D1323" s="1"/>
      <c r="E1323" s="1"/>
    </row>
    <row r="1324" spans="4:5" x14ac:dyDescent="0.25">
      <c r="D1324" s="1"/>
      <c r="E1324" s="1"/>
    </row>
    <row r="1325" spans="4:5" x14ac:dyDescent="0.25">
      <c r="D1325" s="1"/>
      <c r="E1325" s="1"/>
    </row>
    <row r="1326" spans="4:5" x14ac:dyDescent="0.25">
      <c r="D1326" s="1"/>
      <c r="E1326" s="1"/>
    </row>
    <row r="1327" spans="4:5" x14ac:dyDescent="0.25">
      <c r="D1327" s="1"/>
      <c r="E1327" s="1"/>
    </row>
    <row r="1328" spans="4:5" x14ac:dyDescent="0.25">
      <c r="D1328" s="1"/>
      <c r="E1328" s="1"/>
    </row>
    <row r="1329" spans="4:5" x14ac:dyDescent="0.25">
      <c r="D1329" s="1"/>
      <c r="E1329" s="1"/>
    </row>
    <row r="1330" spans="4:5" x14ac:dyDescent="0.25">
      <c r="D1330" s="1"/>
      <c r="E1330" s="1"/>
    </row>
    <row r="1331" spans="4:5" x14ac:dyDescent="0.25">
      <c r="D1331" s="1"/>
      <c r="E1331" s="1"/>
    </row>
    <row r="1332" spans="4:5" x14ac:dyDescent="0.25">
      <c r="D1332" s="1"/>
      <c r="E1332" s="1"/>
    </row>
    <row r="1333" spans="4:5" x14ac:dyDescent="0.25">
      <c r="D1333" s="1"/>
      <c r="E1333" s="1"/>
    </row>
    <row r="1334" spans="4:5" x14ac:dyDescent="0.25">
      <c r="D1334" s="1"/>
      <c r="E1334" s="1"/>
    </row>
    <row r="1335" spans="4:5" x14ac:dyDescent="0.25">
      <c r="D1335" s="1"/>
      <c r="E1335" s="1"/>
    </row>
    <row r="1336" spans="4:5" x14ac:dyDescent="0.25">
      <c r="D1336" s="1"/>
      <c r="E1336" s="1"/>
    </row>
    <row r="1337" spans="4:5" x14ac:dyDescent="0.25">
      <c r="D1337" s="1"/>
      <c r="E1337" s="1"/>
    </row>
    <row r="1338" spans="4:5" x14ac:dyDescent="0.25">
      <c r="D1338" s="1"/>
      <c r="E1338" s="1"/>
    </row>
    <row r="1339" spans="4:5" x14ac:dyDescent="0.25">
      <c r="D1339" s="1"/>
      <c r="E1339" s="1"/>
    </row>
    <row r="1340" spans="4:5" x14ac:dyDescent="0.25">
      <c r="D1340" s="1"/>
      <c r="E1340" s="1"/>
    </row>
    <row r="1341" spans="4:5" x14ac:dyDescent="0.25">
      <c r="D1341" s="1"/>
      <c r="E1341" s="1"/>
    </row>
    <row r="1342" spans="4:5" x14ac:dyDescent="0.25">
      <c r="D1342" s="1"/>
      <c r="E1342" s="1"/>
    </row>
    <row r="1343" spans="4:5" x14ac:dyDescent="0.25">
      <c r="D1343" s="1"/>
      <c r="E1343" s="1"/>
    </row>
    <row r="1344" spans="4:5" x14ac:dyDescent="0.25">
      <c r="D1344" s="1"/>
      <c r="E1344" s="1"/>
    </row>
    <row r="1345" spans="4:5" x14ac:dyDescent="0.25">
      <c r="D1345" s="1"/>
      <c r="E1345" s="1"/>
    </row>
    <row r="1346" spans="4:5" x14ac:dyDescent="0.25">
      <c r="D1346" s="1"/>
      <c r="E1346" s="1"/>
    </row>
    <row r="1347" spans="4:5" x14ac:dyDescent="0.25">
      <c r="D1347" s="1"/>
      <c r="E1347" s="1"/>
    </row>
    <row r="1348" spans="4:5" x14ac:dyDescent="0.25">
      <c r="D1348" s="1"/>
      <c r="E1348" s="1"/>
    </row>
    <row r="1349" spans="4:5" x14ac:dyDescent="0.25">
      <c r="D1349" s="1"/>
      <c r="E1349" s="1"/>
    </row>
    <row r="1350" spans="4:5" x14ac:dyDescent="0.25">
      <c r="D1350" s="1"/>
      <c r="E1350" s="1"/>
    </row>
    <row r="1351" spans="4:5" x14ac:dyDescent="0.25">
      <c r="D1351" s="1"/>
      <c r="E1351" s="1"/>
    </row>
    <row r="1352" spans="4:5" x14ac:dyDescent="0.25">
      <c r="D1352" s="1"/>
      <c r="E1352" s="1"/>
    </row>
    <row r="1353" spans="4:5" x14ac:dyDescent="0.25">
      <c r="D1353" s="1"/>
      <c r="E1353" s="1"/>
    </row>
    <row r="1354" spans="4:5" x14ac:dyDescent="0.25">
      <c r="D1354" s="1"/>
      <c r="E1354" s="1"/>
    </row>
    <row r="1355" spans="4:5" x14ac:dyDescent="0.25">
      <c r="D1355" s="1"/>
      <c r="E1355" s="1"/>
    </row>
    <row r="1356" spans="4:5" x14ac:dyDescent="0.25">
      <c r="D1356" s="1"/>
      <c r="E1356" s="1"/>
    </row>
    <row r="1357" spans="4:5" x14ac:dyDescent="0.25">
      <c r="D1357" s="1"/>
      <c r="E1357" s="1"/>
    </row>
    <row r="1358" spans="4:5" x14ac:dyDescent="0.25">
      <c r="D1358" s="1"/>
      <c r="E1358" s="1"/>
    </row>
    <row r="1359" spans="4:5" x14ac:dyDescent="0.25">
      <c r="D1359" s="1"/>
      <c r="E1359" s="1"/>
    </row>
    <row r="1360" spans="4:5" x14ac:dyDescent="0.25">
      <c r="D1360" s="1"/>
      <c r="E1360" s="1"/>
    </row>
    <row r="1361" spans="4:5" x14ac:dyDescent="0.25">
      <c r="D1361" s="1"/>
      <c r="E1361" s="1"/>
    </row>
    <row r="1362" spans="4:5" x14ac:dyDescent="0.25">
      <c r="D1362" s="1"/>
      <c r="E1362" s="1"/>
    </row>
    <row r="1363" spans="4:5" x14ac:dyDescent="0.25">
      <c r="D1363" s="1"/>
      <c r="E1363" s="1"/>
    </row>
    <row r="1364" spans="4:5" x14ac:dyDescent="0.25">
      <c r="D1364" s="1"/>
      <c r="E1364" s="1"/>
    </row>
    <row r="1365" spans="4:5" x14ac:dyDescent="0.25">
      <c r="D1365" s="1"/>
      <c r="E1365" s="1"/>
    </row>
    <row r="1366" spans="4:5" x14ac:dyDescent="0.25">
      <c r="D1366" s="1"/>
      <c r="E1366" s="1"/>
    </row>
    <row r="1367" spans="4:5" x14ac:dyDescent="0.25">
      <c r="D1367" s="1"/>
      <c r="E1367" s="1"/>
    </row>
    <row r="1368" spans="4:5" x14ac:dyDescent="0.25">
      <c r="D1368" s="1"/>
      <c r="E1368" s="1"/>
    </row>
    <row r="1369" spans="4:5" x14ac:dyDescent="0.25">
      <c r="D1369" s="1"/>
      <c r="E1369" s="1"/>
    </row>
    <row r="1370" spans="4:5" x14ac:dyDescent="0.25">
      <c r="D1370" s="1"/>
      <c r="E1370" s="1"/>
    </row>
    <row r="1371" spans="4:5" x14ac:dyDescent="0.25">
      <c r="D1371" s="1"/>
      <c r="E1371" s="1"/>
    </row>
    <row r="1372" spans="4:5" x14ac:dyDescent="0.25">
      <c r="D1372" s="1"/>
      <c r="E1372" s="1"/>
    </row>
    <row r="1373" spans="4:5" x14ac:dyDescent="0.25">
      <c r="D1373" s="1"/>
      <c r="E1373" s="1"/>
    </row>
    <row r="1374" spans="4:5" x14ac:dyDescent="0.25">
      <c r="D1374" s="1"/>
      <c r="E1374" s="1"/>
    </row>
    <row r="1375" spans="4:5" x14ac:dyDescent="0.25">
      <c r="D1375" s="1"/>
      <c r="E1375" s="1"/>
    </row>
    <row r="1376" spans="4:5" x14ac:dyDescent="0.25">
      <c r="D1376" s="1"/>
      <c r="E1376" s="1"/>
    </row>
    <row r="1377" spans="4:5" x14ac:dyDescent="0.25">
      <c r="D1377" s="1"/>
      <c r="E1377" s="1"/>
    </row>
    <row r="1378" spans="4:5" x14ac:dyDescent="0.25">
      <c r="D1378" s="1"/>
      <c r="E1378" s="1"/>
    </row>
    <row r="1379" spans="4:5" x14ac:dyDescent="0.25">
      <c r="D1379" s="1"/>
      <c r="E1379" s="1"/>
    </row>
    <row r="1380" spans="4:5" x14ac:dyDescent="0.25">
      <c r="D1380" s="1"/>
      <c r="E1380" s="1"/>
    </row>
    <row r="1381" spans="4:5" x14ac:dyDescent="0.25">
      <c r="D1381" s="1"/>
      <c r="E1381" s="1"/>
    </row>
    <row r="1382" spans="4:5" x14ac:dyDescent="0.25">
      <c r="D1382" s="1"/>
      <c r="E1382" s="1"/>
    </row>
    <row r="1383" spans="4:5" x14ac:dyDescent="0.25">
      <c r="D1383" s="1"/>
      <c r="E1383" s="1"/>
    </row>
    <row r="1384" spans="4:5" x14ac:dyDescent="0.25">
      <c r="D1384" s="1"/>
      <c r="E1384" s="1"/>
    </row>
    <row r="1385" spans="4:5" x14ac:dyDescent="0.25">
      <c r="D1385" s="1"/>
      <c r="E1385" s="1"/>
    </row>
    <row r="1386" spans="4:5" x14ac:dyDescent="0.25">
      <c r="D1386" s="1"/>
      <c r="E1386" s="1"/>
    </row>
    <row r="1387" spans="4:5" x14ac:dyDescent="0.25">
      <c r="D1387" s="1"/>
      <c r="E1387" s="1"/>
    </row>
    <row r="1388" spans="4:5" x14ac:dyDescent="0.25">
      <c r="D1388" s="1"/>
      <c r="E1388" s="1"/>
    </row>
    <row r="1389" spans="4:5" x14ac:dyDescent="0.25">
      <c r="D1389" s="1"/>
      <c r="E1389" s="1"/>
    </row>
    <row r="1390" spans="4:5" x14ac:dyDescent="0.25">
      <c r="D1390" s="1"/>
      <c r="E1390" s="1"/>
    </row>
    <row r="1391" spans="4:5" x14ac:dyDescent="0.25">
      <c r="D1391" s="1"/>
      <c r="E1391" s="1"/>
    </row>
    <row r="1392" spans="4:5" x14ac:dyDescent="0.25">
      <c r="D1392" s="1"/>
      <c r="E1392" s="1"/>
    </row>
    <row r="1393" spans="4:5" x14ac:dyDescent="0.25">
      <c r="D1393" s="1"/>
      <c r="E1393" s="1"/>
    </row>
    <row r="1394" spans="4:5" x14ac:dyDescent="0.25">
      <c r="D1394" s="1"/>
      <c r="E1394" s="1"/>
    </row>
    <row r="1395" spans="4:5" x14ac:dyDescent="0.25">
      <c r="D1395" s="1"/>
      <c r="E1395" s="1"/>
    </row>
    <row r="1396" spans="4:5" x14ac:dyDescent="0.25">
      <c r="D1396" s="1"/>
      <c r="E1396" s="1"/>
    </row>
    <row r="1397" spans="4:5" x14ac:dyDescent="0.25">
      <c r="D1397" s="1"/>
      <c r="E1397" s="1"/>
    </row>
    <row r="1398" spans="4:5" x14ac:dyDescent="0.25">
      <c r="D1398" s="1"/>
      <c r="E1398" s="1"/>
    </row>
    <row r="1399" spans="4:5" x14ac:dyDescent="0.25">
      <c r="D1399" s="1"/>
      <c r="E1399" s="1"/>
    </row>
    <row r="1400" spans="4:5" x14ac:dyDescent="0.25">
      <c r="D1400" s="1"/>
      <c r="E1400" s="1"/>
    </row>
    <row r="1401" spans="4:5" x14ac:dyDescent="0.25">
      <c r="D1401" s="1"/>
      <c r="E1401" s="1"/>
    </row>
    <row r="1402" spans="4:5" x14ac:dyDescent="0.25">
      <c r="D1402" s="1"/>
      <c r="E1402" s="1"/>
    </row>
    <row r="1403" spans="4:5" x14ac:dyDescent="0.25">
      <c r="D1403" s="1"/>
      <c r="E1403" s="1"/>
    </row>
    <row r="1404" spans="4:5" x14ac:dyDescent="0.25">
      <c r="D1404" s="1"/>
      <c r="E1404" s="1"/>
    </row>
    <row r="1405" spans="4:5" x14ac:dyDescent="0.25">
      <c r="D1405" s="1"/>
      <c r="E1405" s="1"/>
    </row>
    <row r="1406" spans="4:5" x14ac:dyDescent="0.25">
      <c r="D1406" s="1"/>
      <c r="E1406" s="1"/>
    </row>
    <row r="1407" spans="4:5" x14ac:dyDescent="0.25">
      <c r="D1407" s="1"/>
      <c r="E1407" s="1"/>
    </row>
    <row r="1408" spans="4:5" x14ac:dyDescent="0.25">
      <c r="D1408" s="1"/>
      <c r="E1408" s="1"/>
    </row>
    <row r="1409" spans="4:5" x14ac:dyDescent="0.25">
      <c r="D1409" s="1"/>
      <c r="E1409" s="1"/>
    </row>
    <row r="1410" spans="4:5" x14ac:dyDescent="0.25">
      <c r="D1410" s="1"/>
      <c r="E1410" s="1"/>
    </row>
    <row r="1411" spans="4:5" x14ac:dyDescent="0.25">
      <c r="D1411" s="1"/>
      <c r="E1411" s="1"/>
    </row>
    <row r="1412" spans="4:5" x14ac:dyDescent="0.25">
      <c r="D1412" s="1"/>
      <c r="E1412" s="1"/>
    </row>
    <row r="1413" spans="4:5" x14ac:dyDescent="0.25">
      <c r="D1413" s="1"/>
      <c r="E1413" s="1"/>
    </row>
    <row r="1414" spans="4:5" x14ac:dyDescent="0.25">
      <c r="D1414" s="1"/>
      <c r="E1414" s="1"/>
    </row>
    <row r="1415" spans="4:5" x14ac:dyDescent="0.25">
      <c r="D1415" s="1"/>
      <c r="E1415" s="1"/>
    </row>
    <row r="1416" spans="4:5" x14ac:dyDescent="0.25">
      <c r="D1416" s="1"/>
      <c r="E1416" s="1"/>
    </row>
    <row r="1417" spans="4:5" x14ac:dyDescent="0.25">
      <c r="D1417" s="1"/>
      <c r="E1417" s="1"/>
    </row>
    <row r="1418" spans="4:5" x14ac:dyDescent="0.25">
      <c r="D1418" s="1"/>
      <c r="E1418" s="1"/>
    </row>
    <row r="1419" spans="4:5" x14ac:dyDescent="0.25">
      <c r="D1419" s="1"/>
      <c r="E1419" s="1"/>
    </row>
    <row r="1420" spans="4:5" x14ac:dyDescent="0.25">
      <c r="D1420" s="1"/>
      <c r="E1420" s="1"/>
    </row>
    <row r="1421" spans="4:5" x14ac:dyDescent="0.25">
      <c r="D1421" s="1"/>
      <c r="E1421" s="1"/>
    </row>
    <row r="1422" spans="4:5" x14ac:dyDescent="0.25">
      <c r="D1422" s="1"/>
      <c r="E1422" s="1"/>
    </row>
    <row r="1423" spans="4:5" x14ac:dyDescent="0.25">
      <c r="D1423" s="1"/>
      <c r="E1423" s="1"/>
    </row>
    <row r="1424" spans="4:5" x14ac:dyDescent="0.25">
      <c r="D1424" s="1"/>
      <c r="E1424" s="1"/>
    </row>
    <row r="1425" spans="4:5" x14ac:dyDescent="0.25">
      <c r="D1425" s="1"/>
      <c r="E1425" s="1"/>
    </row>
    <row r="1426" spans="4:5" x14ac:dyDescent="0.25">
      <c r="D1426" s="1"/>
      <c r="E1426" s="1"/>
    </row>
    <row r="1427" spans="4:5" x14ac:dyDescent="0.25">
      <c r="D1427" s="1"/>
      <c r="E1427" s="1"/>
    </row>
    <row r="1428" spans="4:5" x14ac:dyDescent="0.25">
      <c r="D1428" s="1"/>
      <c r="E1428" s="1"/>
    </row>
    <row r="1429" spans="4:5" x14ac:dyDescent="0.25">
      <c r="D1429" s="1"/>
      <c r="E1429" s="1"/>
    </row>
    <row r="1430" spans="4:5" x14ac:dyDescent="0.25">
      <c r="D1430" s="1"/>
      <c r="E1430" s="1"/>
    </row>
    <row r="1431" spans="4:5" x14ac:dyDescent="0.25">
      <c r="D1431" s="1"/>
      <c r="E1431" s="1"/>
    </row>
    <row r="1432" spans="4:5" x14ac:dyDescent="0.25">
      <c r="D1432" s="1"/>
      <c r="E1432" s="1"/>
    </row>
    <row r="1433" spans="4:5" x14ac:dyDescent="0.25">
      <c r="D1433" s="1"/>
      <c r="E1433" s="1"/>
    </row>
    <row r="1434" spans="4:5" x14ac:dyDescent="0.25">
      <c r="D1434" s="1"/>
      <c r="E1434" s="1"/>
    </row>
    <row r="1435" spans="4:5" x14ac:dyDescent="0.25">
      <c r="D1435" s="1"/>
      <c r="E1435" s="1"/>
    </row>
    <row r="1436" spans="4:5" x14ac:dyDescent="0.25">
      <c r="D1436" s="1"/>
      <c r="E1436" s="1"/>
    </row>
    <row r="1437" spans="4:5" x14ac:dyDescent="0.25">
      <c r="D1437" s="1"/>
      <c r="E1437" s="1"/>
    </row>
    <row r="1438" spans="4:5" x14ac:dyDescent="0.25">
      <c r="D1438" s="1"/>
      <c r="E1438" s="1"/>
    </row>
    <row r="1439" spans="4:5" x14ac:dyDescent="0.25">
      <c r="D1439" s="1"/>
      <c r="E1439" s="1"/>
    </row>
    <row r="1440" spans="4:5" x14ac:dyDescent="0.25">
      <c r="D1440" s="1"/>
      <c r="E1440" s="1"/>
    </row>
    <row r="1441" spans="4:5" x14ac:dyDescent="0.25">
      <c r="D1441" s="1"/>
      <c r="E1441" s="1"/>
    </row>
    <row r="1442" spans="4:5" x14ac:dyDescent="0.25">
      <c r="D1442" s="1"/>
      <c r="E1442" s="1"/>
    </row>
    <row r="1443" spans="4:5" x14ac:dyDescent="0.25">
      <c r="D1443" s="1"/>
      <c r="E1443" s="1"/>
    </row>
    <row r="1444" spans="4:5" x14ac:dyDescent="0.25">
      <c r="D1444" s="1"/>
      <c r="E1444" s="1"/>
    </row>
    <row r="1445" spans="4:5" x14ac:dyDescent="0.25">
      <c r="D1445" s="1"/>
      <c r="E1445" s="1"/>
    </row>
    <row r="1446" spans="4:5" x14ac:dyDescent="0.25">
      <c r="D1446" s="1"/>
      <c r="E1446" s="1"/>
    </row>
    <row r="1447" spans="4:5" x14ac:dyDescent="0.25">
      <c r="D1447" s="1"/>
      <c r="E1447" s="1"/>
    </row>
    <row r="1448" spans="4:5" x14ac:dyDescent="0.25">
      <c r="D1448" s="1"/>
      <c r="E1448" s="1"/>
    </row>
    <row r="1449" spans="4:5" x14ac:dyDescent="0.25">
      <c r="D1449" s="1"/>
      <c r="E1449" s="1"/>
    </row>
    <row r="1450" spans="4:5" x14ac:dyDescent="0.25">
      <c r="D1450" s="1"/>
      <c r="E1450" s="1"/>
    </row>
    <row r="1451" spans="4:5" x14ac:dyDescent="0.25">
      <c r="D1451" s="1"/>
      <c r="E1451" s="1"/>
    </row>
    <row r="1452" spans="4:5" x14ac:dyDescent="0.25">
      <c r="D1452" s="1"/>
      <c r="E1452" s="1"/>
    </row>
    <row r="1453" spans="4:5" x14ac:dyDescent="0.25">
      <c r="D1453" s="1"/>
      <c r="E1453" s="1"/>
    </row>
    <row r="1454" spans="4:5" x14ac:dyDescent="0.25">
      <c r="D1454" s="1"/>
      <c r="E1454" s="1"/>
    </row>
    <row r="1455" spans="4:5" x14ac:dyDescent="0.25">
      <c r="D1455" s="1"/>
      <c r="E1455" s="1"/>
    </row>
    <row r="1456" spans="4:5" x14ac:dyDescent="0.25">
      <c r="D1456" s="1"/>
      <c r="E1456" s="1"/>
    </row>
    <row r="1457" spans="4:5" x14ac:dyDescent="0.25">
      <c r="D1457" s="1"/>
      <c r="E1457" s="1"/>
    </row>
    <row r="1458" spans="4:5" x14ac:dyDescent="0.25">
      <c r="D1458" s="1"/>
      <c r="E1458" s="1"/>
    </row>
    <row r="1459" spans="4:5" x14ac:dyDescent="0.25">
      <c r="D1459" s="1"/>
      <c r="E1459" s="1"/>
    </row>
    <row r="1460" spans="4:5" x14ac:dyDescent="0.25">
      <c r="D1460" s="1"/>
      <c r="E1460" s="1"/>
    </row>
    <row r="1461" spans="4:5" x14ac:dyDescent="0.25">
      <c r="D1461" s="1"/>
      <c r="E1461" s="1"/>
    </row>
    <row r="1462" spans="4:5" x14ac:dyDescent="0.25">
      <c r="D1462" s="1"/>
      <c r="E1462" s="1"/>
    </row>
    <row r="1463" spans="4:5" x14ac:dyDescent="0.25">
      <c r="D1463" s="1"/>
      <c r="E1463" s="1"/>
    </row>
    <row r="1464" spans="4:5" x14ac:dyDescent="0.25">
      <c r="D1464" s="1"/>
      <c r="E1464" s="1"/>
    </row>
    <row r="1465" spans="4:5" x14ac:dyDescent="0.25">
      <c r="D1465" s="1"/>
      <c r="E1465" s="1"/>
    </row>
    <row r="1466" spans="4:5" x14ac:dyDescent="0.25">
      <c r="D1466" s="1"/>
      <c r="E1466" s="1"/>
    </row>
    <row r="1467" spans="4:5" x14ac:dyDescent="0.25">
      <c r="D1467" s="1"/>
      <c r="E1467" s="1"/>
    </row>
    <row r="1468" spans="4:5" x14ac:dyDescent="0.25">
      <c r="D1468" s="1"/>
      <c r="E1468" s="1"/>
    </row>
    <row r="1469" spans="4:5" x14ac:dyDescent="0.25">
      <c r="D1469" s="1"/>
      <c r="E1469" s="1"/>
    </row>
    <row r="1470" spans="4:5" x14ac:dyDescent="0.25">
      <c r="D1470" s="1"/>
      <c r="E1470" s="1"/>
    </row>
    <row r="1471" spans="4:5" x14ac:dyDescent="0.25">
      <c r="D1471" s="1"/>
      <c r="E1471" s="1"/>
    </row>
    <row r="1472" spans="4:5" x14ac:dyDescent="0.25">
      <c r="D1472" s="1"/>
      <c r="E1472" s="1"/>
    </row>
    <row r="1473" spans="4:5" x14ac:dyDescent="0.25">
      <c r="D1473" s="1"/>
      <c r="E1473" s="1"/>
    </row>
    <row r="1474" spans="4:5" x14ac:dyDescent="0.25">
      <c r="D1474" s="1"/>
      <c r="E1474" s="1"/>
    </row>
    <row r="1475" spans="4:5" x14ac:dyDescent="0.25">
      <c r="D1475" s="1"/>
      <c r="E1475" s="1"/>
    </row>
    <row r="1476" spans="4:5" x14ac:dyDescent="0.25">
      <c r="D1476" s="1"/>
      <c r="E1476" s="1"/>
    </row>
    <row r="1477" spans="4:5" x14ac:dyDescent="0.25">
      <c r="D1477" s="1"/>
      <c r="E1477" s="1"/>
    </row>
    <row r="1478" spans="4:5" x14ac:dyDescent="0.25">
      <c r="D1478" s="1"/>
      <c r="E1478" s="1"/>
    </row>
    <row r="1479" spans="4:5" x14ac:dyDescent="0.25">
      <c r="D1479" s="1"/>
      <c r="E1479" s="1"/>
    </row>
    <row r="1480" spans="4:5" x14ac:dyDescent="0.25">
      <c r="D1480" s="1"/>
      <c r="E1480" s="1"/>
    </row>
    <row r="1481" spans="4:5" x14ac:dyDescent="0.25">
      <c r="D1481" s="1"/>
      <c r="E1481" s="1"/>
    </row>
    <row r="1482" spans="4:5" x14ac:dyDescent="0.25">
      <c r="D1482" s="1"/>
      <c r="E1482" s="1"/>
    </row>
    <row r="1483" spans="4:5" x14ac:dyDescent="0.25">
      <c r="D1483" s="1"/>
      <c r="E1483" s="1"/>
    </row>
    <row r="1484" spans="4:5" x14ac:dyDescent="0.25">
      <c r="D1484" s="1"/>
      <c r="E1484" s="1"/>
    </row>
    <row r="1485" spans="4:5" x14ac:dyDescent="0.25">
      <c r="D1485" s="1"/>
      <c r="E1485" s="1"/>
    </row>
    <row r="1486" spans="4:5" x14ac:dyDescent="0.25">
      <c r="D1486" s="1"/>
      <c r="E1486" s="1"/>
    </row>
    <row r="1487" spans="4:5" x14ac:dyDescent="0.25">
      <c r="D1487" s="1"/>
      <c r="E1487" s="1"/>
    </row>
    <row r="1488" spans="4:5" x14ac:dyDescent="0.25">
      <c r="D1488" s="1"/>
      <c r="E1488" s="1"/>
    </row>
    <row r="1489" spans="4:5" x14ac:dyDescent="0.25">
      <c r="D1489" s="1"/>
      <c r="E1489" s="1"/>
    </row>
    <row r="1490" spans="4:5" x14ac:dyDescent="0.25">
      <c r="D1490" s="1"/>
      <c r="E1490" s="1"/>
    </row>
    <row r="1491" spans="4:5" x14ac:dyDescent="0.25">
      <c r="D1491" s="1"/>
      <c r="E1491" s="1"/>
    </row>
    <row r="1492" spans="4:5" x14ac:dyDescent="0.25">
      <c r="D1492" s="1"/>
      <c r="E1492" s="1"/>
    </row>
    <row r="1493" spans="4:5" x14ac:dyDescent="0.25">
      <c r="D1493" s="1"/>
      <c r="E1493" s="1"/>
    </row>
    <row r="1494" spans="4:5" x14ac:dyDescent="0.25">
      <c r="D1494" s="1"/>
      <c r="E1494" s="1"/>
    </row>
    <row r="1495" spans="4:5" x14ac:dyDescent="0.25">
      <c r="D1495" s="1"/>
      <c r="E1495" s="1"/>
    </row>
    <row r="1496" spans="4:5" x14ac:dyDescent="0.25">
      <c r="D1496" s="1"/>
      <c r="E1496" s="1"/>
    </row>
    <row r="1497" spans="4:5" x14ac:dyDescent="0.25">
      <c r="D1497" s="1"/>
      <c r="E1497" s="1"/>
    </row>
    <row r="1498" spans="4:5" x14ac:dyDescent="0.25">
      <c r="D1498" s="1"/>
      <c r="E1498" s="1"/>
    </row>
    <row r="1499" spans="4:5" x14ac:dyDescent="0.25">
      <c r="D1499" s="1"/>
      <c r="E1499" s="1"/>
    </row>
    <row r="1500" spans="4:5" x14ac:dyDescent="0.25">
      <c r="D1500" s="1"/>
      <c r="E1500" s="1"/>
    </row>
    <row r="1501" spans="4:5" x14ac:dyDescent="0.25">
      <c r="D1501" s="1"/>
      <c r="E1501" s="1"/>
    </row>
    <row r="1502" spans="4:5" x14ac:dyDescent="0.25">
      <c r="D1502" s="1"/>
      <c r="E1502" s="1"/>
    </row>
    <row r="1503" spans="4:5" x14ac:dyDescent="0.25">
      <c r="D1503" s="1"/>
      <c r="E1503" s="1"/>
    </row>
    <row r="1504" spans="4:5" x14ac:dyDescent="0.25">
      <c r="D1504" s="1"/>
      <c r="E1504" s="1"/>
    </row>
    <row r="1505" spans="4:5" x14ac:dyDescent="0.25">
      <c r="D1505" s="1"/>
      <c r="E1505" s="1"/>
    </row>
    <row r="1506" spans="4:5" x14ac:dyDescent="0.25">
      <c r="D1506" s="1"/>
      <c r="E1506" s="1"/>
    </row>
    <row r="1507" spans="4:5" x14ac:dyDescent="0.25">
      <c r="D1507" s="1"/>
      <c r="E1507" s="1"/>
    </row>
    <row r="1508" spans="4:5" x14ac:dyDescent="0.25">
      <c r="D1508" s="1"/>
      <c r="E1508" s="1"/>
    </row>
    <row r="1509" spans="4:5" x14ac:dyDescent="0.25">
      <c r="D1509" s="1"/>
      <c r="E1509" s="1"/>
    </row>
    <row r="1510" spans="4:5" x14ac:dyDescent="0.25">
      <c r="D1510" s="1"/>
      <c r="E1510" s="1"/>
    </row>
    <row r="1511" spans="4:5" x14ac:dyDescent="0.25">
      <c r="D1511" s="1"/>
      <c r="E1511" s="1"/>
    </row>
    <row r="1512" spans="4:5" x14ac:dyDescent="0.25">
      <c r="D1512" s="1"/>
      <c r="E1512" s="1"/>
    </row>
    <row r="1513" spans="4:5" x14ac:dyDescent="0.25">
      <c r="D1513" s="1"/>
      <c r="E1513" s="1"/>
    </row>
    <row r="1514" spans="4:5" x14ac:dyDescent="0.25">
      <c r="D1514" s="1"/>
      <c r="E1514" s="1"/>
    </row>
    <row r="1515" spans="4:5" x14ac:dyDescent="0.25">
      <c r="D1515" s="1"/>
      <c r="E1515" s="1"/>
    </row>
    <row r="1516" spans="4:5" x14ac:dyDescent="0.25">
      <c r="D1516" s="1"/>
      <c r="E1516" s="1"/>
    </row>
    <row r="1517" spans="4:5" x14ac:dyDescent="0.25">
      <c r="D1517" s="1"/>
      <c r="E1517" s="1"/>
    </row>
    <row r="1518" spans="4:5" x14ac:dyDescent="0.25">
      <c r="D1518" s="1"/>
      <c r="E1518" s="1"/>
    </row>
    <row r="1519" spans="4:5" x14ac:dyDescent="0.25">
      <c r="D1519" s="1"/>
      <c r="E1519" s="1"/>
    </row>
    <row r="1520" spans="4:5" x14ac:dyDescent="0.25">
      <c r="D1520" s="1"/>
      <c r="E1520" s="1"/>
    </row>
    <row r="1521" spans="4:5" x14ac:dyDescent="0.25">
      <c r="D1521" s="1"/>
      <c r="E1521" s="1"/>
    </row>
    <row r="1522" spans="4:5" x14ac:dyDescent="0.25">
      <c r="D1522" s="1"/>
      <c r="E1522" s="1"/>
    </row>
    <row r="1523" spans="4:5" x14ac:dyDescent="0.25">
      <c r="D1523" s="1"/>
      <c r="E1523" s="1"/>
    </row>
    <row r="1524" spans="4:5" x14ac:dyDescent="0.25">
      <c r="D1524" s="1"/>
      <c r="E1524" s="1"/>
    </row>
    <row r="1525" spans="4:5" x14ac:dyDescent="0.25">
      <c r="D1525" s="1"/>
      <c r="E1525" s="1"/>
    </row>
    <row r="1526" spans="4:5" x14ac:dyDescent="0.25">
      <c r="D1526" s="1"/>
      <c r="E1526" s="1"/>
    </row>
    <row r="1527" spans="4:5" x14ac:dyDescent="0.25">
      <c r="D1527" s="1"/>
      <c r="E1527" s="1"/>
    </row>
    <row r="1528" spans="4:5" x14ac:dyDescent="0.25">
      <c r="D1528" s="1"/>
      <c r="E1528" s="1"/>
    </row>
    <row r="1529" spans="4:5" x14ac:dyDescent="0.25">
      <c r="D1529" s="1"/>
      <c r="E1529" s="1"/>
    </row>
    <row r="1530" spans="4:5" x14ac:dyDescent="0.25">
      <c r="D1530" s="1"/>
      <c r="E1530" s="1"/>
    </row>
    <row r="1531" spans="4:5" x14ac:dyDescent="0.25">
      <c r="D1531" s="1"/>
      <c r="E1531" s="1"/>
    </row>
    <row r="1532" spans="4:5" x14ac:dyDescent="0.25">
      <c r="D1532" s="1"/>
      <c r="E1532" s="1"/>
    </row>
    <row r="1533" spans="4:5" x14ac:dyDescent="0.25">
      <c r="D1533" s="1"/>
      <c r="E1533" s="1"/>
    </row>
    <row r="1534" spans="4:5" x14ac:dyDescent="0.25">
      <c r="D1534" s="1"/>
      <c r="E1534" s="1"/>
    </row>
    <row r="1535" spans="4:5" x14ac:dyDescent="0.25">
      <c r="D1535" s="1"/>
      <c r="E1535" s="1"/>
    </row>
    <row r="1536" spans="4:5" x14ac:dyDescent="0.25">
      <c r="D1536" s="1"/>
      <c r="E1536" s="1"/>
    </row>
    <row r="1537" spans="4:5" x14ac:dyDescent="0.25">
      <c r="D1537" s="1"/>
      <c r="E1537" s="1"/>
    </row>
    <row r="1538" spans="4:5" x14ac:dyDescent="0.25">
      <c r="D1538" s="1"/>
      <c r="E1538" s="1"/>
    </row>
    <row r="1539" spans="4:5" x14ac:dyDescent="0.25">
      <c r="D1539" s="1"/>
      <c r="E1539" s="1"/>
    </row>
    <row r="1540" spans="4:5" x14ac:dyDescent="0.25">
      <c r="D1540" s="1"/>
      <c r="E1540" s="1"/>
    </row>
    <row r="1541" spans="4:5" x14ac:dyDescent="0.25">
      <c r="D1541" s="1"/>
      <c r="E1541" s="1"/>
    </row>
    <row r="1542" spans="4:5" x14ac:dyDescent="0.25">
      <c r="D1542" s="1"/>
      <c r="E1542" s="1"/>
    </row>
    <row r="1543" spans="4:5" x14ac:dyDescent="0.25">
      <c r="D1543" s="1"/>
      <c r="E1543" s="1"/>
    </row>
    <row r="1544" spans="4:5" x14ac:dyDescent="0.25">
      <c r="D1544" s="1"/>
      <c r="E1544" s="1"/>
    </row>
    <row r="1545" spans="4:5" x14ac:dyDescent="0.25">
      <c r="D1545" s="1"/>
      <c r="E1545" s="1"/>
    </row>
    <row r="1546" spans="4:5" x14ac:dyDescent="0.25">
      <c r="D1546" s="1"/>
      <c r="E1546" s="1"/>
    </row>
    <row r="1547" spans="4:5" x14ac:dyDescent="0.25">
      <c r="D1547" s="1"/>
      <c r="E1547" s="1"/>
    </row>
    <row r="1548" spans="4:5" x14ac:dyDescent="0.25">
      <c r="D1548" s="1"/>
      <c r="E1548" s="1"/>
    </row>
    <row r="1549" spans="4:5" x14ac:dyDescent="0.25">
      <c r="D1549" s="1"/>
      <c r="E1549" s="1"/>
    </row>
    <row r="1550" spans="4:5" x14ac:dyDescent="0.25">
      <c r="D1550" s="1"/>
      <c r="E1550" s="1"/>
    </row>
    <row r="1551" spans="4:5" x14ac:dyDescent="0.25">
      <c r="D1551" s="1"/>
      <c r="E1551" s="1"/>
    </row>
    <row r="1552" spans="4:5" x14ac:dyDescent="0.25">
      <c r="D1552" s="1"/>
      <c r="E1552" s="1"/>
    </row>
    <row r="1553" spans="4:5" x14ac:dyDescent="0.25">
      <c r="D1553" s="1"/>
      <c r="E1553" s="1"/>
    </row>
    <row r="1554" spans="4:5" x14ac:dyDescent="0.25">
      <c r="D1554" s="1"/>
      <c r="E1554" s="1"/>
    </row>
    <row r="1555" spans="4:5" x14ac:dyDescent="0.25">
      <c r="D1555" s="1"/>
      <c r="E1555" s="1"/>
    </row>
    <row r="1556" spans="4:5" x14ac:dyDescent="0.25">
      <c r="D1556" s="1"/>
      <c r="E1556" s="1"/>
    </row>
    <row r="1557" spans="4:5" x14ac:dyDescent="0.25">
      <c r="D1557" s="1"/>
      <c r="E1557" s="1"/>
    </row>
    <row r="1558" spans="4:5" x14ac:dyDescent="0.25">
      <c r="D1558" s="1"/>
      <c r="E1558" s="1"/>
    </row>
    <row r="1559" spans="4:5" x14ac:dyDescent="0.25">
      <c r="D1559" s="1"/>
      <c r="E1559" s="1"/>
    </row>
    <row r="1560" spans="4:5" x14ac:dyDescent="0.25">
      <c r="D1560" s="1"/>
      <c r="E1560" s="1"/>
    </row>
    <row r="1561" spans="4:5" x14ac:dyDescent="0.25">
      <c r="D1561" s="1"/>
      <c r="E1561" s="1"/>
    </row>
    <row r="1562" spans="4:5" x14ac:dyDescent="0.25">
      <c r="D1562" s="1"/>
      <c r="E1562" s="1"/>
    </row>
    <row r="1563" spans="4:5" x14ac:dyDescent="0.25">
      <c r="D1563" s="1"/>
      <c r="E1563" s="1"/>
    </row>
    <row r="1564" spans="4:5" x14ac:dyDescent="0.25">
      <c r="D1564" s="1"/>
      <c r="E1564" s="1"/>
    </row>
    <row r="1565" spans="4:5" x14ac:dyDescent="0.25">
      <c r="D1565" s="1"/>
      <c r="E1565" s="1"/>
    </row>
    <row r="1566" spans="4:5" x14ac:dyDescent="0.25">
      <c r="D1566" s="1"/>
      <c r="E1566" s="1"/>
    </row>
    <row r="1567" spans="4:5" x14ac:dyDescent="0.25">
      <c r="D1567" s="1"/>
      <c r="E1567" s="1"/>
    </row>
    <row r="1568" spans="4:5" x14ac:dyDescent="0.25">
      <c r="D1568" s="1"/>
      <c r="E1568" s="1"/>
    </row>
    <row r="1569" spans="4:5" x14ac:dyDescent="0.25">
      <c r="D1569" s="1"/>
      <c r="E1569" s="1"/>
    </row>
    <row r="1570" spans="4:5" x14ac:dyDescent="0.25">
      <c r="D1570" s="1"/>
      <c r="E1570" s="1"/>
    </row>
    <row r="1571" spans="4:5" x14ac:dyDescent="0.25">
      <c r="D1571" s="1"/>
      <c r="E1571" s="1"/>
    </row>
    <row r="1572" spans="4:5" x14ac:dyDescent="0.25">
      <c r="D1572" s="1"/>
      <c r="E1572" s="1"/>
    </row>
    <row r="1573" spans="4:5" x14ac:dyDescent="0.25">
      <c r="D1573" s="1"/>
      <c r="E1573" s="1"/>
    </row>
    <row r="1574" spans="4:5" x14ac:dyDescent="0.25">
      <c r="D1574" s="1"/>
      <c r="E1574" s="1"/>
    </row>
    <row r="1575" spans="4:5" x14ac:dyDescent="0.25">
      <c r="D1575" s="1"/>
      <c r="E1575" s="1"/>
    </row>
    <row r="1576" spans="4:5" x14ac:dyDescent="0.25">
      <c r="D1576" s="1"/>
      <c r="E1576" s="1"/>
    </row>
    <row r="1577" spans="4:5" x14ac:dyDescent="0.25">
      <c r="D1577" s="1"/>
      <c r="E1577" s="1"/>
    </row>
    <row r="1578" spans="4:5" x14ac:dyDescent="0.25">
      <c r="D1578" s="1"/>
      <c r="E1578" s="1"/>
    </row>
    <row r="1579" spans="4:5" x14ac:dyDescent="0.25">
      <c r="D1579" s="1"/>
      <c r="E1579" s="1"/>
    </row>
    <row r="1580" spans="4:5" x14ac:dyDescent="0.25">
      <c r="D1580" s="1"/>
      <c r="E1580" s="1"/>
    </row>
    <row r="1581" spans="4:5" x14ac:dyDescent="0.25">
      <c r="D1581" s="1"/>
      <c r="E1581" s="1"/>
    </row>
    <row r="1582" spans="4:5" x14ac:dyDescent="0.25">
      <c r="D1582" s="1"/>
      <c r="E1582" s="1"/>
    </row>
    <row r="1583" spans="4:5" x14ac:dyDescent="0.25">
      <c r="D1583" s="1"/>
      <c r="E1583" s="1"/>
    </row>
    <row r="1584" spans="4:5" x14ac:dyDescent="0.25">
      <c r="D1584" s="1"/>
      <c r="E1584" s="1"/>
    </row>
    <row r="1585" spans="4:5" x14ac:dyDescent="0.25">
      <c r="D1585" s="1"/>
      <c r="E1585" s="1"/>
    </row>
    <row r="1586" spans="4:5" x14ac:dyDescent="0.25">
      <c r="D1586" s="1"/>
      <c r="E1586" s="1"/>
    </row>
    <row r="1587" spans="4:5" x14ac:dyDescent="0.25">
      <c r="D1587" s="1"/>
      <c r="E1587" s="1"/>
    </row>
    <row r="1588" spans="4:5" x14ac:dyDescent="0.25">
      <c r="D1588" s="1"/>
      <c r="E1588" s="1"/>
    </row>
    <row r="1589" spans="4:5" x14ac:dyDescent="0.25">
      <c r="D1589" s="1"/>
      <c r="E1589" s="1"/>
    </row>
    <row r="1590" spans="4:5" x14ac:dyDescent="0.25">
      <c r="D1590" s="1"/>
      <c r="E1590" s="1"/>
    </row>
    <row r="1591" spans="4:5" x14ac:dyDescent="0.25">
      <c r="D1591" s="1"/>
      <c r="E1591" s="1"/>
    </row>
    <row r="1592" spans="4:5" x14ac:dyDescent="0.25">
      <c r="D1592" s="1"/>
      <c r="E1592" s="1"/>
    </row>
    <row r="1593" spans="4:5" x14ac:dyDescent="0.25">
      <c r="D1593" s="1"/>
      <c r="E1593" s="1"/>
    </row>
    <row r="1594" spans="4:5" x14ac:dyDescent="0.25">
      <c r="D1594" s="1"/>
      <c r="E1594" s="1"/>
    </row>
    <row r="1595" spans="4:5" x14ac:dyDescent="0.25">
      <c r="D1595" s="1"/>
      <c r="E1595" s="1"/>
    </row>
    <row r="1596" spans="4:5" x14ac:dyDescent="0.25">
      <c r="D1596" s="1"/>
      <c r="E1596" s="1"/>
    </row>
    <row r="1597" spans="4:5" x14ac:dyDescent="0.25">
      <c r="D1597" s="1"/>
      <c r="E1597" s="1"/>
    </row>
    <row r="1598" spans="4:5" x14ac:dyDescent="0.25">
      <c r="D1598" s="1"/>
      <c r="E1598" s="1"/>
    </row>
    <row r="1599" spans="4:5" x14ac:dyDescent="0.25">
      <c r="D1599" s="1"/>
      <c r="E1599" s="1"/>
    </row>
    <row r="1600" spans="4:5" x14ac:dyDescent="0.25">
      <c r="D1600" s="1"/>
      <c r="E1600" s="1"/>
    </row>
    <row r="1601" spans="4:5" x14ac:dyDescent="0.25">
      <c r="D1601" s="1"/>
      <c r="E1601" s="1"/>
    </row>
    <row r="1602" spans="4:5" x14ac:dyDescent="0.25">
      <c r="D1602" s="1"/>
      <c r="E1602" s="1"/>
    </row>
    <row r="1603" spans="4:5" x14ac:dyDescent="0.25">
      <c r="D1603" s="1"/>
      <c r="E1603" s="1"/>
    </row>
    <row r="1604" spans="4:5" x14ac:dyDescent="0.25">
      <c r="D1604" s="1"/>
      <c r="E1604" s="1"/>
    </row>
    <row r="1605" spans="4:5" x14ac:dyDescent="0.25">
      <c r="D1605" s="1"/>
      <c r="E1605" s="1"/>
    </row>
    <row r="1606" spans="4:5" x14ac:dyDescent="0.25">
      <c r="D1606" s="1"/>
      <c r="E1606" s="1"/>
    </row>
    <row r="1607" spans="4:5" x14ac:dyDescent="0.25">
      <c r="D1607" s="1"/>
      <c r="E1607" s="1"/>
    </row>
    <row r="1608" spans="4:5" x14ac:dyDescent="0.25">
      <c r="D1608" s="1"/>
      <c r="E1608" s="1"/>
    </row>
    <row r="1609" spans="4:5" x14ac:dyDescent="0.25">
      <c r="D1609" s="1"/>
      <c r="E1609" s="1"/>
    </row>
    <row r="1610" spans="4:5" x14ac:dyDescent="0.25">
      <c r="D1610" s="1"/>
      <c r="E1610" s="1"/>
    </row>
    <row r="1611" spans="4:5" x14ac:dyDescent="0.25">
      <c r="D1611" s="1"/>
      <c r="E1611" s="1"/>
    </row>
    <row r="1612" spans="4:5" x14ac:dyDescent="0.25">
      <c r="D1612" s="1"/>
      <c r="E1612" s="1"/>
    </row>
    <row r="1613" spans="4:5" x14ac:dyDescent="0.25">
      <c r="D1613" s="1"/>
      <c r="E1613" s="1"/>
    </row>
    <row r="1614" spans="4:5" x14ac:dyDescent="0.25">
      <c r="D1614" s="1"/>
      <c r="E1614" s="1"/>
    </row>
    <row r="1615" spans="4:5" x14ac:dyDescent="0.25">
      <c r="D1615" s="1"/>
      <c r="E1615" s="1"/>
    </row>
    <row r="1616" spans="4:5" x14ac:dyDescent="0.25">
      <c r="D1616" s="1"/>
      <c r="E1616" s="1"/>
    </row>
    <row r="1617" spans="4:5" x14ac:dyDescent="0.25">
      <c r="D1617" s="1"/>
      <c r="E1617" s="1"/>
    </row>
    <row r="1618" spans="4:5" x14ac:dyDescent="0.25">
      <c r="D1618" s="1"/>
      <c r="E1618" s="1"/>
    </row>
    <row r="1619" spans="4:5" x14ac:dyDescent="0.25">
      <c r="D1619" s="1"/>
      <c r="E1619" s="1"/>
    </row>
    <row r="1620" spans="4:5" x14ac:dyDescent="0.25">
      <c r="D1620" s="1"/>
      <c r="E1620" s="1"/>
    </row>
    <row r="1621" spans="4:5" x14ac:dyDescent="0.25">
      <c r="D1621" s="1"/>
      <c r="E1621" s="1"/>
    </row>
    <row r="1622" spans="4:5" x14ac:dyDescent="0.25">
      <c r="D1622" s="1"/>
      <c r="E1622" s="1"/>
    </row>
    <row r="1623" spans="4:5" x14ac:dyDescent="0.25">
      <c r="D1623" s="1"/>
      <c r="E1623" s="1"/>
    </row>
    <row r="1624" spans="4:5" x14ac:dyDescent="0.25">
      <c r="D1624" s="1"/>
      <c r="E1624" s="1"/>
    </row>
    <row r="1625" spans="4:5" x14ac:dyDescent="0.25">
      <c r="D1625" s="1"/>
      <c r="E1625" s="1"/>
    </row>
    <row r="1626" spans="4:5" x14ac:dyDescent="0.25">
      <c r="D1626" s="1"/>
      <c r="E1626" s="1"/>
    </row>
    <row r="1627" spans="4:5" x14ac:dyDescent="0.25">
      <c r="D1627" s="1"/>
      <c r="E1627" s="1"/>
    </row>
    <row r="1628" spans="4:5" x14ac:dyDescent="0.25">
      <c r="D1628" s="1"/>
      <c r="E1628" s="1"/>
    </row>
    <row r="1629" spans="4:5" x14ac:dyDescent="0.25">
      <c r="D1629" s="1"/>
      <c r="E1629" s="1"/>
    </row>
    <row r="1630" spans="4:5" x14ac:dyDescent="0.25">
      <c r="D1630" s="1"/>
      <c r="E1630" s="1"/>
    </row>
    <row r="1631" spans="4:5" x14ac:dyDescent="0.25">
      <c r="D1631" s="1"/>
      <c r="E1631" s="1"/>
    </row>
    <row r="1632" spans="4:5" x14ac:dyDescent="0.25">
      <c r="D1632" s="1"/>
      <c r="E1632" s="1"/>
    </row>
    <row r="1633" spans="4:5" x14ac:dyDescent="0.25">
      <c r="D1633" s="1"/>
      <c r="E1633" s="1"/>
    </row>
    <row r="1634" spans="4:5" x14ac:dyDescent="0.25">
      <c r="D1634" s="1"/>
      <c r="E1634" s="1"/>
    </row>
    <row r="1635" spans="4:5" x14ac:dyDescent="0.25">
      <c r="D1635" s="1"/>
      <c r="E1635" s="1"/>
    </row>
    <row r="1636" spans="4:5" x14ac:dyDescent="0.25">
      <c r="D1636" s="1"/>
      <c r="E1636" s="1"/>
    </row>
    <row r="1637" spans="4:5" x14ac:dyDescent="0.25">
      <c r="D1637" s="1"/>
      <c r="E1637" s="1"/>
    </row>
    <row r="1638" spans="4:5" x14ac:dyDescent="0.25">
      <c r="D1638" s="1"/>
      <c r="E1638" s="1"/>
    </row>
    <row r="1639" spans="4:5" x14ac:dyDescent="0.25">
      <c r="D1639" s="1"/>
      <c r="E1639" s="1"/>
    </row>
    <row r="1640" spans="4:5" x14ac:dyDescent="0.25">
      <c r="D1640" s="1"/>
      <c r="E1640" s="1"/>
    </row>
    <row r="1641" spans="4:5" x14ac:dyDescent="0.25">
      <c r="D1641" s="1"/>
      <c r="E1641" s="1"/>
    </row>
    <row r="1642" spans="4:5" x14ac:dyDescent="0.25">
      <c r="D1642" s="1"/>
      <c r="E1642" s="1"/>
    </row>
    <row r="1643" spans="4:5" x14ac:dyDescent="0.25">
      <c r="D1643" s="1"/>
      <c r="E1643" s="1"/>
    </row>
    <row r="1644" spans="4:5" x14ac:dyDescent="0.25">
      <c r="D1644" s="1"/>
      <c r="E1644" s="1"/>
    </row>
    <row r="1645" spans="4:5" x14ac:dyDescent="0.25">
      <c r="D1645" s="1"/>
      <c r="E1645" s="1"/>
    </row>
    <row r="1646" spans="4:5" x14ac:dyDescent="0.25">
      <c r="D1646" s="1"/>
      <c r="E1646" s="1"/>
    </row>
    <row r="1647" spans="4:5" x14ac:dyDescent="0.25">
      <c r="D1647" s="1"/>
      <c r="E1647" s="1"/>
    </row>
    <row r="1648" spans="4:5" x14ac:dyDescent="0.25">
      <c r="D1648" s="1"/>
      <c r="E1648" s="1"/>
    </row>
    <row r="1649" spans="4:5" x14ac:dyDescent="0.25">
      <c r="D1649" s="1"/>
      <c r="E1649" s="1"/>
    </row>
    <row r="1650" spans="4:5" x14ac:dyDescent="0.25">
      <c r="D1650" s="1"/>
      <c r="E1650" s="1"/>
    </row>
    <row r="1651" spans="4:5" x14ac:dyDescent="0.25">
      <c r="D1651" s="1"/>
      <c r="E1651" s="1"/>
    </row>
    <row r="1652" spans="4:5" x14ac:dyDescent="0.25">
      <c r="D1652" s="1"/>
      <c r="E1652" s="1"/>
    </row>
    <row r="1653" spans="4:5" x14ac:dyDescent="0.25">
      <c r="D1653" s="1"/>
      <c r="E1653" s="1"/>
    </row>
    <row r="1654" spans="4:5" x14ac:dyDescent="0.25">
      <c r="D1654" s="1"/>
      <c r="E1654" s="1"/>
    </row>
    <row r="1655" spans="4:5" x14ac:dyDescent="0.25">
      <c r="D1655" s="1"/>
      <c r="E1655" s="1"/>
    </row>
    <row r="1656" spans="4:5" x14ac:dyDescent="0.25">
      <c r="D1656" s="1"/>
      <c r="E1656" s="1"/>
    </row>
    <row r="1657" spans="4:5" x14ac:dyDescent="0.25">
      <c r="D1657" s="1"/>
      <c r="E1657" s="1"/>
    </row>
    <row r="1658" spans="4:5" x14ac:dyDescent="0.25">
      <c r="D1658" s="1"/>
      <c r="E1658" s="1"/>
    </row>
    <row r="1659" spans="4:5" x14ac:dyDescent="0.25">
      <c r="D1659" s="1"/>
      <c r="E1659" s="1"/>
    </row>
    <row r="1660" spans="4:5" x14ac:dyDescent="0.25">
      <c r="D1660" s="1"/>
      <c r="E1660" s="1"/>
    </row>
    <row r="1661" spans="4:5" x14ac:dyDescent="0.25">
      <c r="D1661" s="1"/>
      <c r="E1661" s="1"/>
    </row>
    <row r="1662" spans="4:5" x14ac:dyDescent="0.25">
      <c r="D1662" s="1"/>
      <c r="E1662" s="1"/>
    </row>
    <row r="1663" spans="4:5" x14ac:dyDescent="0.25">
      <c r="D1663" s="1"/>
      <c r="E1663" s="1"/>
    </row>
    <row r="1664" spans="4:5" x14ac:dyDescent="0.25">
      <c r="D1664" s="1"/>
      <c r="E1664" s="1"/>
    </row>
    <row r="1665" spans="4:5" x14ac:dyDescent="0.25">
      <c r="D1665" s="1"/>
      <c r="E1665" s="1"/>
    </row>
    <row r="1666" spans="4:5" x14ac:dyDescent="0.25">
      <c r="D1666" s="1"/>
      <c r="E1666" s="1"/>
    </row>
    <row r="1667" spans="4:5" x14ac:dyDescent="0.25">
      <c r="D1667" s="1"/>
      <c r="E1667" s="1"/>
    </row>
    <row r="1668" spans="4:5" x14ac:dyDescent="0.25">
      <c r="D1668" s="1"/>
      <c r="E1668" s="1"/>
    </row>
    <row r="1669" spans="4:5" x14ac:dyDescent="0.25">
      <c r="D1669" s="1"/>
      <c r="E1669" s="1"/>
    </row>
    <row r="1670" spans="4:5" x14ac:dyDescent="0.25">
      <c r="D1670" s="1"/>
      <c r="E1670" s="1"/>
    </row>
    <row r="1671" spans="4:5" x14ac:dyDescent="0.25">
      <c r="D1671" s="1"/>
      <c r="E1671" s="1"/>
    </row>
    <row r="1672" spans="4:5" x14ac:dyDescent="0.25">
      <c r="D1672" s="1"/>
      <c r="E1672" s="1"/>
    </row>
    <row r="1673" spans="4:5" x14ac:dyDescent="0.25">
      <c r="D1673" s="1"/>
      <c r="E1673" s="1"/>
    </row>
    <row r="1674" spans="4:5" x14ac:dyDescent="0.25">
      <c r="D1674" s="1"/>
      <c r="E1674" s="1"/>
    </row>
    <row r="1675" spans="4:5" x14ac:dyDescent="0.25">
      <c r="D1675" s="1"/>
      <c r="E1675" s="1"/>
    </row>
    <row r="1676" spans="4:5" x14ac:dyDescent="0.25">
      <c r="D1676" s="1"/>
      <c r="E1676" s="1"/>
    </row>
    <row r="1677" spans="4:5" x14ac:dyDescent="0.25">
      <c r="D1677" s="1"/>
      <c r="E1677" s="1"/>
    </row>
    <row r="1678" spans="4:5" x14ac:dyDescent="0.25">
      <c r="D1678" s="1"/>
      <c r="E1678" s="1"/>
    </row>
    <row r="1679" spans="4:5" x14ac:dyDescent="0.25">
      <c r="D1679" s="1"/>
      <c r="E1679" s="1"/>
    </row>
    <row r="1680" spans="4:5" x14ac:dyDescent="0.25">
      <c r="D1680" s="1"/>
      <c r="E1680" s="1"/>
    </row>
    <row r="1681" spans="4:5" x14ac:dyDescent="0.25">
      <c r="D1681" s="1"/>
      <c r="E1681" s="1"/>
    </row>
    <row r="1682" spans="4:5" x14ac:dyDescent="0.25">
      <c r="D1682" s="1"/>
      <c r="E1682" s="1"/>
    </row>
    <row r="1683" spans="4:5" x14ac:dyDescent="0.25">
      <c r="D1683" s="1"/>
      <c r="E1683" s="1"/>
    </row>
    <row r="1684" spans="4:5" x14ac:dyDescent="0.25">
      <c r="D1684" s="1"/>
      <c r="E1684" s="1"/>
    </row>
    <row r="1685" spans="4:5" x14ac:dyDescent="0.25">
      <c r="D1685" s="1"/>
      <c r="E1685" s="1"/>
    </row>
    <row r="1686" spans="4:5" x14ac:dyDescent="0.25">
      <c r="D1686" s="1"/>
      <c r="E1686" s="1"/>
    </row>
    <row r="1687" spans="4:5" x14ac:dyDescent="0.25">
      <c r="D1687" s="1"/>
      <c r="E1687" s="1"/>
    </row>
    <row r="1688" spans="4:5" x14ac:dyDescent="0.25">
      <c r="D1688" s="1"/>
      <c r="E1688" s="1"/>
    </row>
    <row r="1689" spans="4:5" x14ac:dyDescent="0.25">
      <c r="D1689" s="1"/>
      <c r="E1689" s="1"/>
    </row>
    <row r="1690" spans="4:5" x14ac:dyDescent="0.25">
      <c r="D1690" s="1"/>
      <c r="E1690" s="1"/>
    </row>
    <row r="1691" spans="4:5" x14ac:dyDescent="0.25">
      <c r="D1691" s="1"/>
      <c r="E1691" s="1"/>
    </row>
    <row r="1692" spans="4:5" x14ac:dyDescent="0.25">
      <c r="D1692" s="1"/>
      <c r="E1692" s="1"/>
    </row>
    <row r="1693" spans="4:5" x14ac:dyDescent="0.25">
      <c r="D1693" s="1"/>
      <c r="E1693" s="1"/>
    </row>
    <row r="1694" spans="4:5" x14ac:dyDescent="0.25">
      <c r="D1694" s="1"/>
      <c r="E1694" s="1"/>
    </row>
    <row r="1695" spans="4:5" x14ac:dyDescent="0.25">
      <c r="D1695" s="1"/>
      <c r="E1695" s="1"/>
    </row>
    <row r="1696" spans="4:5" x14ac:dyDescent="0.25">
      <c r="D1696" s="1"/>
      <c r="E1696" s="1"/>
    </row>
    <row r="1697" spans="4:5" x14ac:dyDescent="0.25">
      <c r="D1697" s="1"/>
      <c r="E1697" s="1"/>
    </row>
    <row r="1698" spans="4:5" x14ac:dyDescent="0.25">
      <c r="D1698" s="1"/>
      <c r="E1698" s="1"/>
    </row>
    <row r="1699" spans="4:5" x14ac:dyDescent="0.25">
      <c r="D1699" s="1"/>
      <c r="E1699" s="1"/>
    </row>
    <row r="1700" spans="4:5" x14ac:dyDescent="0.25">
      <c r="D1700" s="1"/>
      <c r="E1700" s="1"/>
    </row>
    <row r="1701" spans="4:5" x14ac:dyDescent="0.25">
      <c r="D1701" s="1"/>
      <c r="E1701" s="1"/>
    </row>
    <row r="1702" spans="4:5" x14ac:dyDescent="0.25">
      <c r="D1702" s="1"/>
      <c r="E1702" s="1"/>
    </row>
    <row r="1703" spans="4:5" x14ac:dyDescent="0.25">
      <c r="D1703" s="1"/>
      <c r="E1703" s="1"/>
    </row>
    <row r="1704" spans="4:5" x14ac:dyDescent="0.25">
      <c r="D1704" s="1"/>
      <c r="E1704" s="1"/>
    </row>
    <row r="1705" spans="4:5" x14ac:dyDescent="0.25">
      <c r="D1705" s="1"/>
      <c r="E1705" s="1"/>
    </row>
    <row r="1706" spans="4:5" x14ac:dyDescent="0.25">
      <c r="D1706" s="1"/>
      <c r="E1706" s="1"/>
    </row>
    <row r="1707" spans="4:5" x14ac:dyDescent="0.25">
      <c r="D1707" s="1"/>
      <c r="E1707" s="1"/>
    </row>
    <row r="1708" spans="4:5" x14ac:dyDescent="0.25">
      <c r="D1708" s="1"/>
      <c r="E1708" s="1"/>
    </row>
    <row r="1709" spans="4:5" x14ac:dyDescent="0.25">
      <c r="D1709" s="1"/>
      <c r="E1709" s="1"/>
    </row>
    <row r="1710" spans="4:5" x14ac:dyDescent="0.25">
      <c r="D1710" s="1"/>
      <c r="E1710" s="1"/>
    </row>
    <row r="1711" spans="4:5" x14ac:dyDescent="0.25">
      <c r="D1711" s="1"/>
      <c r="E1711" s="1"/>
    </row>
    <row r="1712" spans="4:5" x14ac:dyDescent="0.25">
      <c r="D1712" s="1"/>
      <c r="E1712" s="1"/>
    </row>
    <row r="1713" spans="4:5" x14ac:dyDescent="0.25">
      <c r="D1713" s="1"/>
      <c r="E1713" s="1"/>
    </row>
    <row r="1714" spans="4:5" x14ac:dyDescent="0.25">
      <c r="D1714" s="1"/>
      <c r="E1714" s="1"/>
    </row>
    <row r="1715" spans="4:5" x14ac:dyDescent="0.25">
      <c r="D1715" s="1"/>
      <c r="E1715" s="1"/>
    </row>
    <row r="1716" spans="4:5" x14ac:dyDescent="0.25">
      <c r="D1716" s="1"/>
      <c r="E1716" s="1"/>
    </row>
    <row r="1717" spans="4:5" x14ac:dyDescent="0.25">
      <c r="D1717" s="1"/>
      <c r="E1717" s="1"/>
    </row>
    <row r="1718" spans="4:5" x14ac:dyDescent="0.25">
      <c r="D1718" s="1"/>
      <c r="E1718" s="1"/>
    </row>
    <row r="1719" spans="4:5" x14ac:dyDescent="0.25">
      <c r="D1719" s="1"/>
      <c r="E1719" s="1"/>
    </row>
    <row r="1720" spans="4:5" x14ac:dyDescent="0.25">
      <c r="D1720" s="1"/>
      <c r="E1720" s="1"/>
    </row>
    <row r="1721" spans="4:5" x14ac:dyDescent="0.25">
      <c r="D1721" s="1"/>
      <c r="E1721" s="1"/>
    </row>
    <row r="1722" spans="4:5" x14ac:dyDescent="0.25">
      <c r="D1722" s="1"/>
      <c r="E1722" s="1"/>
    </row>
    <row r="1723" spans="4:5" x14ac:dyDescent="0.25">
      <c r="D1723" s="1"/>
      <c r="E1723" s="1"/>
    </row>
    <row r="1724" spans="4:5" x14ac:dyDescent="0.25">
      <c r="D1724" s="1"/>
      <c r="E1724" s="1"/>
    </row>
    <row r="1725" spans="4:5" x14ac:dyDescent="0.25">
      <c r="D1725" s="1"/>
      <c r="E1725" s="1"/>
    </row>
    <row r="1726" spans="4:5" x14ac:dyDescent="0.25">
      <c r="D1726" s="1"/>
      <c r="E1726" s="1"/>
    </row>
    <row r="1727" spans="4:5" x14ac:dyDescent="0.25">
      <c r="D1727" s="1"/>
      <c r="E1727" s="1"/>
    </row>
    <row r="1728" spans="4:5" x14ac:dyDescent="0.25">
      <c r="D1728" s="1"/>
      <c r="E1728" s="1"/>
    </row>
    <row r="1729" spans="4:5" x14ac:dyDescent="0.25">
      <c r="D1729" s="1"/>
      <c r="E1729" s="1"/>
    </row>
    <row r="1730" spans="4:5" x14ac:dyDescent="0.25">
      <c r="D1730" s="1"/>
      <c r="E1730" s="1"/>
    </row>
    <row r="1731" spans="4:5" x14ac:dyDescent="0.25">
      <c r="D1731" s="1"/>
      <c r="E1731" s="1"/>
    </row>
    <row r="1732" spans="4:5" x14ac:dyDescent="0.25">
      <c r="D1732" s="1"/>
      <c r="E1732" s="1"/>
    </row>
    <row r="1733" spans="4:5" x14ac:dyDescent="0.25">
      <c r="D1733" s="1"/>
      <c r="E1733" s="1"/>
    </row>
    <row r="1734" spans="4:5" x14ac:dyDescent="0.25">
      <c r="D1734" s="1"/>
      <c r="E1734" s="1"/>
    </row>
    <row r="1735" spans="4:5" x14ac:dyDescent="0.25">
      <c r="D1735" s="1"/>
      <c r="E1735" s="1"/>
    </row>
    <row r="1736" spans="4:5" x14ac:dyDescent="0.25">
      <c r="D1736" s="1"/>
      <c r="E1736" s="1"/>
    </row>
    <row r="1737" spans="4:5" x14ac:dyDescent="0.25">
      <c r="D1737" s="1"/>
      <c r="E1737" s="1"/>
    </row>
    <row r="1738" spans="4:5" x14ac:dyDescent="0.25">
      <c r="D1738" s="1"/>
      <c r="E1738" s="1"/>
    </row>
    <row r="1739" spans="4:5" x14ac:dyDescent="0.25">
      <c r="D1739" s="1"/>
      <c r="E1739" s="1"/>
    </row>
    <row r="1740" spans="4:5" x14ac:dyDescent="0.25">
      <c r="D1740" s="1"/>
      <c r="E1740" s="1"/>
    </row>
    <row r="1741" spans="4:5" x14ac:dyDescent="0.25">
      <c r="D1741" s="1"/>
      <c r="E1741" s="1"/>
    </row>
    <row r="1742" spans="4:5" x14ac:dyDescent="0.25">
      <c r="D1742" s="1"/>
      <c r="E1742" s="1"/>
    </row>
    <row r="1743" spans="4:5" x14ac:dyDescent="0.25">
      <c r="D1743" s="1"/>
      <c r="E1743" s="1"/>
    </row>
    <row r="1744" spans="4:5" x14ac:dyDescent="0.25">
      <c r="D1744" s="1"/>
      <c r="E1744" s="1"/>
    </row>
    <row r="1745" spans="4:5" x14ac:dyDescent="0.25">
      <c r="D1745" s="1"/>
      <c r="E1745" s="1"/>
    </row>
    <row r="1746" spans="4:5" x14ac:dyDescent="0.25">
      <c r="D1746" s="1"/>
      <c r="E1746" s="1"/>
    </row>
    <row r="1747" spans="4:5" x14ac:dyDescent="0.25">
      <c r="D1747" s="1"/>
      <c r="E1747" s="1"/>
    </row>
    <row r="1748" spans="4:5" x14ac:dyDescent="0.25">
      <c r="D1748" s="1"/>
      <c r="E1748" s="1"/>
    </row>
    <row r="1749" spans="4:5" x14ac:dyDescent="0.25">
      <c r="D1749" s="1"/>
      <c r="E1749" s="1"/>
    </row>
    <row r="1750" spans="4:5" x14ac:dyDescent="0.25">
      <c r="D1750" s="1"/>
      <c r="E1750" s="1"/>
    </row>
    <row r="1751" spans="4:5" x14ac:dyDescent="0.25">
      <c r="D1751" s="1"/>
      <c r="E1751" s="1"/>
    </row>
    <row r="1752" spans="4:5" x14ac:dyDescent="0.25">
      <c r="D1752" s="1"/>
      <c r="E1752" s="1"/>
    </row>
    <row r="1753" spans="4:5" x14ac:dyDescent="0.25">
      <c r="D1753" s="1"/>
      <c r="E1753" s="1"/>
    </row>
    <row r="1754" spans="4:5" x14ac:dyDescent="0.25">
      <c r="D1754" s="1"/>
      <c r="E1754" s="1"/>
    </row>
    <row r="1755" spans="4:5" x14ac:dyDescent="0.25">
      <c r="D1755" s="1"/>
      <c r="E1755" s="1"/>
    </row>
    <row r="1756" spans="4:5" x14ac:dyDescent="0.25">
      <c r="D1756" s="1"/>
      <c r="E1756" s="1"/>
    </row>
    <row r="1757" spans="4:5" x14ac:dyDescent="0.25">
      <c r="D1757" s="1"/>
      <c r="E1757" s="1"/>
    </row>
    <row r="1758" spans="4:5" x14ac:dyDescent="0.25">
      <c r="D1758" s="1"/>
      <c r="E1758" s="1"/>
    </row>
    <row r="1759" spans="4:5" x14ac:dyDescent="0.25">
      <c r="D1759" s="1"/>
      <c r="E1759" s="1"/>
    </row>
    <row r="1760" spans="4:5" x14ac:dyDescent="0.25">
      <c r="D1760" s="1"/>
      <c r="E1760" s="1"/>
    </row>
    <row r="1761" spans="4:5" x14ac:dyDescent="0.25">
      <c r="D1761" s="1"/>
      <c r="E1761" s="1"/>
    </row>
    <row r="1762" spans="4:5" x14ac:dyDescent="0.25">
      <c r="D1762" s="1"/>
      <c r="E1762" s="1"/>
    </row>
    <row r="1763" spans="4:5" x14ac:dyDescent="0.25">
      <c r="D1763" s="1"/>
      <c r="E1763" s="1"/>
    </row>
    <row r="1764" spans="4:5" x14ac:dyDescent="0.25">
      <c r="D1764" s="1"/>
      <c r="E1764" s="1"/>
    </row>
    <row r="1765" spans="4:5" x14ac:dyDescent="0.25">
      <c r="D1765" s="1"/>
      <c r="E1765" s="1"/>
    </row>
    <row r="1766" spans="4:5" x14ac:dyDescent="0.25">
      <c r="D1766" s="1"/>
      <c r="E1766" s="1"/>
    </row>
    <row r="1767" spans="4:5" x14ac:dyDescent="0.25">
      <c r="D1767" s="1"/>
      <c r="E1767" s="1"/>
    </row>
    <row r="1768" spans="4:5" x14ac:dyDescent="0.25">
      <c r="D1768" s="1"/>
      <c r="E1768" s="1"/>
    </row>
    <row r="1769" spans="4:5" x14ac:dyDescent="0.25">
      <c r="D1769" s="1"/>
      <c r="E1769" s="1"/>
    </row>
    <row r="1770" spans="4:5" x14ac:dyDescent="0.25">
      <c r="D1770" s="1"/>
      <c r="E1770" s="1"/>
    </row>
    <row r="1771" spans="4:5" x14ac:dyDescent="0.25">
      <c r="D1771" s="1"/>
      <c r="E1771" s="1"/>
    </row>
    <row r="1772" spans="4:5" x14ac:dyDescent="0.25">
      <c r="D1772" s="1"/>
      <c r="E1772" s="1"/>
    </row>
    <row r="1773" spans="4:5" x14ac:dyDescent="0.25">
      <c r="D1773" s="1"/>
      <c r="E1773" s="1"/>
    </row>
    <row r="1774" spans="4:5" x14ac:dyDescent="0.25">
      <c r="D1774" s="1"/>
      <c r="E1774" s="1"/>
    </row>
    <row r="1775" spans="4:5" x14ac:dyDescent="0.25">
      <c r="D1775" s="1"/>
      <c r="E1775" s="1"/>
    </row>
    <row r="1776" spans="4:5" x14ac:dyDescent="0.25">
      <c r="D1776" s="1"/>
      <c r="E1776" s="1"/>
    </row>
    <row r="1777" spans="4:5" x14ac:dyDescent="0.25">
      <c r="D1777" s="1"/>
      <c r="E1777" s="1"/>
    </row>
    <row r="1778" spans="4:5" x14ac:dyDescent="0.25">
      <c r="D1778" s="1"/>
      <c r="E1778" s="1"/>
    </row>
    <row r="1779" spans="4:5" x14ac:dyDescent="0.25">
      <c r="D1779" s="1"/>
      <c r="E1779" s="1"/>
    </row>
    <row r="1780" spans="4:5" x14ac:dyDescent="0.25">
      <c r="D1780" s="1"/>
      <c r="E1780" s="1"/>
    </row>
    <row r="1781" spans="4:5" x14ac:dyDescent="0.25">
      <c r="D1781" s="1"/>
      <c r="E1781" s="1"/>
    </row>
    <row r="1782" spans="4:5" x14ac:dyDescent="0.25">
      <c r="D1782" s="1"/>
      <c r="E1782" s="1"/>
    </row>
    <row r="1783" spans="4:5" x14ac:dyDescent="0.25">
      <c r="D1783" s="1"/>
      <c r="E1783" s="1"/>
    </row>
    <row r="1784" spans="4:5" x14ac:dyDescent="0.25">
      <c r="D1784" s="1"/>
      <c r="E1784" s="1"/>
    </row>
    <row r="1785" spans="4:5" x14ac:dyDescent="0.25">
      <c r="D1785" s="1"/>
      <c r="E1785" s="1"/>
    </row>
    <row r="1786" spans="4:5" x14ac:dyDescent="0.25">
      <c r="D1786" s="1"/>
      <c r="E1786" s="1"/>
    </row>
    <row r="1787" spans="4:5" x14ac:dyDescent="0.25">
      <c r="D1787" s="1"/>
      <c r="E1787" s="1"/>
    </row>
    <row r="1788" spans="4:5" x14ac:dyDescent="0.25">
      <c r="D1788" s="1"/>
      <c r="E1788" s="1"/>
    </row>
    <row r="1789" spans="4:5" x14ac:dyDescent="0.25">
      <c r="D1789" s="1"/>
      <c r="E1789" s="1"/>
    </row>
    <row r="1790" spans="4:5" x14ac:dyDescent="0.25">
      <c r="D1790" s="1"/>
      <c r="E1790" s="1"/>
    </row>
    <row r="1791" spans="4:5" x14ac:dyDescent="0.25">
      <c r="D1791" s="1"/>
      <c r="E1791" s="1"/>
    </row>
    <row r="1792" spans="4:5" x14ac:dyDescent="0.25">
      <c r="D1792" s="1"/>
      <c r="E1792" s="1"/>
    </row>
    <row r="1793" spans="4:5" x14ac:dyDescent="0.25">
      <c r="D1793" s="1"/>
      <c r="E1793" s="1"/>
    </row>
    <row r="1794" spans="4:5" x14ac:dyDescent="0.25">
      <c r="D1794" s="1"/>
      <c r="E1794" s="1"/>
    </row>
    <row r="1795" spans="4:5" x14ac:dyDescent="0.25">
      <c r="D1795" s="1"/>
      <c r="E1795" s="1"/>
    </row>
    <row r="1796" spans="4:5" x14ac:dyDescent="0.25">
      <c r="D1796" s="1"/>
      <c r="E1796" s="1"/>
    </row>
    <row r="1797" spans="4:5" x14ac:dyDescent="0.25">
      <c r="D1797" s="1"/>
      <c r="E1797" s="1"/>
    </row>
    <row r="1798" spans="4:5" x14ac:dyDescent="0.25">
      <c r="D1798" s="1"/>
      <c r="E1798" s="1"/>
    </row>
    <row r="1799" spans="4:5" x14ac:dyDescent="0.25">
      <c r="D1799" s="1"/>
      <c r="E1799" s="1"/>
    </row>
    <row r="1800" spans="4:5" x14ac:dyDescent="0.25">
      <c r="D1800" s="1"/>
      <c r="E1800" s="1"/>
    </row>
    <row r="1801" spans="4:5" x14ac:dyDescent="0.25">
      <c r="D1801" s="1"/>
      <c r="E1801" s="1"/>
    </row>
    <row r="1802" spans="4:5" x14ac:dyDescent="0.25">
      <c r="D1802" s="1"/>
      <c r="E1802" s="1"/>
    </row>
    <row r="1803" spans="4:5" x14ac:dyDescent="0.25">
      <c r="D1803" s="1"/>
      <c r="E1803" s="1"/>
    </row>
    <row r="1804" spans="4:5" x14ac:dyDescent="0.25">
      <c r="D1804" s="1"/>
      <c r="E1804" s="1"/>
    </row>
    <row r="1805" spans="4:5" x14ac:dyDescent="0.25">
      <c r="D1805" s="1"/>
      <c r="E1805" s="1"/>
    </row>
    <row r="1806" spans="4:5" x14ac:dyDescent="0.25">
      <c r="D1806" s="1"/>
      <c r="E1806" s="1"/>
    </row>
    <row r="1807" spans="4:5" x14ac:dyDescent="0.25">
      <c r="D1807" s="1"/>
      <c r="E1807" s="1"/>
    </row>
    <row r="1808" spans="4:5" x14ac:dyDescent="0.25">
      <c r="D1808" s="1"/>
      <c r="E1808" s="1"/>
    </row>
    <row r="1809" spans="4:5" x14ac:dyDescent="0.25">
      <c r="D1809" s="1"/>
      <c r="E1809" s="1"/>
    </row>
    <row r="1810" spans="4:5" x14ac:dyDescent="0.25">
      <c r="D1810" s="1"/>
      <c r="E1810" s="1"/>
    </row>
    <row r="1811" spans="4:5" x14ac:dyDescent="0.25">
      <c r="D1811" s="1"/>
      <c r="E1811" s="1"/>
    </row>
    <row r="1812" spans="4:5" x14ac:dyDescent="0.25">
      <c r="D1812" s="1"/>
      <c r="E1812" s="1"/>
    </row>
    <row r="1813" spans="4:5" x14ac:dyDescent="0.25">
      <c r="D1813" s="1"/>
      <c r="E1813" s="1"/>
    </row>
    <row r="1814" spans="4:5" x14ac:dyDescent="0.25">
      <c r="D1814" s="1"/>
      <c r="E1814" s="1"/>
    </row>
    <row r="1815" spans="4:5" x14ac:dyDescent="0.25">
      <c r="D1815" s="1"/>
      <c r="E1815" s="1"/>
    </row>
    <row r="1816" spans="4:5" x14ac:dyDescent="0.25">
      <c r="D1816" s="1"/>
      <c r="E1816" s="1"/>
    </row>
    <row r="1817" spans="4:5" x14ac:dyDescent="0.25">
      <c r="D1817" s="1"/>
      <c r="E1817" s="1"/>
    </row>
    <row r="1818" spans="4:5" x14ac:dyDescent="0.25">
      <c r="D1818" s="1"/>
      <c r="E1818" s="1"/>
    </row>
    <row r="1819" spans="4:5" x14ac:dyDescent="0.25">
      <c r="D1819" s="1"/>
      <c r="E1819" s="1"/>
    </row>
    <row r="1820" spans="4:5" x14ac:dyDescent="0.25">
      <c r="D1820" s="1"/>
      <c r="E1820" s="1"/>
    </row>
    <row r="1821" spans="4:5" x14ac:dyDescent="0.25">
      <c r="D1821" s="1"/>
      <c r="E1821" s="1"/>
    </row>
    <row r="1822" spans="4:5" x14ac:dyDescent="0.25">
      <c r="D1822" s="1"/>
      <c r="E1822" s="1"/>
    </row>
    <row r="1823" spans="4:5" x14ac:dyDescent="0.25">
      <c r="D1823" s="1"/>
      <c r="E1823" s="1"/>
    </row>
    <row r="1824" spans="4:5" x14ac:dyDescent="0.25">
      <c r="D1824" s="1"/>
      <c r="E1824" s="1"/>
    </row>
    <row r="1825" spans="4:5" x14ac:dyDescent="0.25">
      <c r="D1825" s="1"/>
      <c r="E1825" s="1"/>
    </row>
    <row r="1826" spans="4:5" x14ac:dyDescent="0.25">
      <c r="D1826" s="1"/>
      <c r="E1826" s="1"/>
    </row>
    <row r="1827" spans="4:5" x14ac:dyDescent="0.25">
      <c r="D1827" s="1"/>
      <c r="E1827" s="1"/>
    </row>
    <row r="1828" spans="4:5" x14ac:dyDescent="0.25">
      <c r="D1828" s="1"/>
      <c r="E1828" s="1"/>
    </row>
    <row r="1829" spans="4:5" x14ac:dyDescent="0.25">
      <c r="D1829" s="1"/>
      <c r="E1829" s="1"/>
    </row>
    <row r="1830" spans="4:5" x14ac:dyDescent="0.25">
      <c r="D1830" s="1"/>
      <c r="E1830" s="1"/>
    </row>
    <row r="1831" spans="4:5" x14ac:dyDescent="0.25">
      <c r="D1831" s="1"/>
      <c r="E1831" s="1"/>
    </row>
    <row r="1832" spans="4:5" x14ac:dyDescent="0.25">
      <c r="D1832" s="1"/>
      <c r="E1832" s="1"/>
    </row>
    <row r="1833" spans="4:5" x14ac:dyDescent="0.25">
      <c r="D1833" s="1"/>
      <c r="E1833" s="1"/>
    </row>
    <row r="1834" spans="4:5" x14ac:dyDescent="0.25">
      <c r="D1834" s="1"/>
      <c r="E1834" s="1"/>
    </row>
    <row r="1835" spans="4:5" x14ac:dyDescent="0.25">
      <c r="D1835" s="1"/>
      <c r="E1835" s="1"/>
    </row>
    <row r="1836" spans="4:5" x14ac:dyDescent="0.25">
      <c r="D1836" s="1"/>
      <c r="E1836" s="1"/>
    </row>
    <row r="1837" spans="4:5" x14ac:dyDescent="0.25">
      <c r="D1837" s="1"/>
      <c r="E1837" s="1"/>
    </row>
    <row r="1838" spans="4:5" x14ac:dyDescent="0.25">
      <c r="D1838" s="1"/>
      <c r="E1838" s="1"/>
    </row>
    <row r="1839" spans="4:5" x14ac:dyDescent="0.25">
      <c r="D1839" s="1"/>
      <c r="E1839" s="1"/>
    </row>
    <row r="1840" spans="4:5" x14ac:dyDescent="0.25">
      <c r="D1840" s="1"/>
      <c r="E1840" s="1"/>
    </row>
    <row r="1841" spans="4:5" x14ac:dyDescent="0.25">
      <c r="D1841" s="1"/>
      <c r="E1841" s="1"/>
    </row>
    <row r="1842" spans="4:5" x14ac:dyDescent="0.25">
      <c r="D1842" s="1"/>
      <c r="E1842" s="1"/>
    </row>
    <row r="1843" spans="4:5" x14ac:dyDescent="0.25">
      <c r="D1843" s="1"/>
      <c r="E1843" s="1"/>
    </row>
    <row r="1844" spans="4:5" x14ac:dyDescent="0.25">
      <c r="D1844" s="1"/>
      <c r="E1844" s="1"/>
    </row>
    <row r="1845" spans="4:5" x14ac:dyDescent="0.25">
      <c r="D1845" s="1"/>
      <c r="E1845" s="1"/>
    </row>
    <row r="1846" spans="4:5" x14ac:dyDescent="0.25">
      <c r="D1846" s="1"/>
      <c r="E1846" s="1"/>
    </row>
    <row r="1847" spans="4:5" x14ac:dyDescent="0.25">
      <c r="D1847" s="1"/>
      <c r="E1847" s="1"/>
    </row>
    <row r="1848" spans="4:5" x14ac:dyDescent="0.25">
      <c r="D1848" s="1"/>
      <c r="E1848" s="1"/>
    </row>
    <row r="1849" spans="4:5" x14ac:dyDescent="0.25">
      <c r="D1849" s="1"/>
      <c r="E1849" s="1"/>
    </row>
    <row r="1850" spans="4:5" x14ac:dyDescent="0.25">
      <c r="D1850" s="1"/>
      <c r="E1850" s="1"/>
    </row>
    <row r="1851" spans="4:5" x14ac:dyDescent="0.25">
      <c r="D1851" s="1"/>
      <c r="E1851" s="1"/>
    </row>
    <row r="1852" spans="4:5" x14ac:dyDescent="0.25">
      <c r="D1852" s="1"/>
      <c r="E1852" s="1"/>
    </row>
    <row r="1853" spans="4:5" x14ac:dyDescent="0.25">
      <c r="D1853" s="1"/>
      <c r="E1853" s="1"/>
    </row>
    <row r="1854" spans="4:5" x14ac:dyDescent="0.25">
      <c r="D1854" s="1"/>
      <c r="E1854" s="1"/>
    </row>
    <row r="1855" spans="4:5" x14ac:dyDescent="0.25">
      <c r="D1855" s="1"/>
      <c r="E1855" s="1"/>
    </row>
    <row r="1856" spans="4:5" x14ac:dyDescent="0.25">
      <c r="D1856" s="1"/>
      <c r="E1856" s="1"/>
    </row>
    <row r="1857" spans="4:5" x14ac:dyDescent="0.25">
      <c r="D1857" s="1"/>
      <c r="E1857" s="1"/>
    </row>
    <row r="1858" spans="4:5" x14ac:dyDescent="0.25">
      <c r="D1858" s="1"/>
      <c r="E1858" s="1"/>
    </row>
    <row r="1859" spans="4:5" x14ac:dyDescent="0.25">
      <c r="D1859" s="1"/>
      <c r="E1859" s="1"/>
    </row>
    <row r="1860" spans="4:5" x14ac:dyDescent="0.25">
      <c r="D1860" s="1"/>
      <c r="E1860" s="1"/>
    </row>
    <row r="1861" spans="4:5" x14ac:dyDescent="0.25">
      <c r="D1861" s="1"/>
      <c r="E1861" s="1"/>
    </row>
    <row r="1862" spans="4:5" x14ac:dyDescent="0.25">
      <c r="D1862" s="1"/>
      <c r="E1862" s="1"/>
    </row>
    <row r="1863" spans="4:5" x14ac:dyDescent="0.25">
      <c r="D1863" s="1"/>
      <c r="E1863" s="1"/>
    </row>
    <row r="1864" spans="4:5" x14ac:dyDescent="0.25">
      <c r="D1864" s="1"/>
      <c r="E1864" s="1"/>
    </row>
    <row r="1865" spans="4:5" x14ac:dyDescent="0.25">
      <c r="D1865" s="1"/>
      <c r="E1865" s="1"/>
    </row>
    <row r="1866" spans="4:5" x14ac:dyDescent="0.25">
      <c r="D1866" s="1"/>
      <c r="E1866" s="1"/>
    </row>
    <row r="1867" spans="4:5" x14ac:dyDescent="0.25">
      <c r="D1867" s="1"/>
      <c r="E1867" s="1"/>
    </row>
    <row r="1868" spans="4:5" x14ac:dyDescent="0.25">
      <c r="D1868" s="1"/>
      <c r="E1868" s="1"/>
    </row>
    <row r="1869" spans="4:5" x14ac:dyDescent="0.25">
      <c r="D1869" s="1"/>
      <c r="E1869" s="1"/>
    </row>
    <row r="1870" spans="4:5" x14ac:dyDescent="0.25">
      <c r="D1870" s="1"/>
      <c r="E1870" s="1"/>
    </row>
    <row r="1871" spans="4:5" x14ac:dyDescent="0.25">
      <c r="D1871" s="1"/>
      <c r="E1871" s="1"/>
    </row>
    <row r="1872" spans="4:5" x14ac:dyDescent="0.25">
      <c r="D1872" s="1"/>
      <c r="E1872" s="1"/>
    </row>
    <row r="1873" spans="4:5" x14ac:dyDescent="0.25">
      <c r="D1873" s="1"/>
      <c r="E1873" s="1"/>
    </row>
    <row r="1874" spans="4:5" x14ac:dyDescent="0.25">
      <c r="D1874" s="1"/>
      <c r="E1874" s="1"/>
    </row>
    <row r="1875" spans="4:5" x14ac:dyDescent="0.25">
      <c r="D1875" s="1"/>
      <c r="E1875" s="1"/>
    </row>
    <row r="1876" spans="4:5" x14ac:dyDescent="0.25">
      <c r="D1876" s="1"/>
      <c r="E1876" s="1"/>
    </row>
    <row r="1877" spans="4:5" x14ac:dyDescent="0.25">
      <c r="D1877" s="1"/>
      <c r="E1877" s="1"/>
    </row>
    <row r="1878" spans="4:5" x14ac:dyDescent="0.25">
      <c r="D1878" s="1"/>
      <c r="E1878" s="1"/>
    </row>
    <row r="1879" spans="4:5" x14ac:dyDescent="0.25">
      <c r="D1879" s="1"/>
      <c r="E1879" s="1"/>
    </row>
    <row r="1880" spans="4:5" x14ac:dyDescent="0.25">
      <c r="D1880" s="1"/>
      <c r="E1880" s="1"/>
    </row>
    <row r="1881" spans="4:5" x14ac:dyDescent="0.25">
      <c r="D1881" s="1"/>
      <c r="E1881" s="1"/>
    </row>
    <row r="1882" spans="4:5" x14ac:dyDescent="0.25">
      <c r="D1882" s="1"/>
      <c r="E1882" s="1"/>
    </row>
    <row r="1883" spans="4:5" x14ac:dyDescent="0.25">
      <c r="D1883" s="1"/>
      <c r="E1883" s="1"/>
    </row>
    <row r="1884" spans="4:5" x14ac:dyDescent="0.25">
      <c r="D1884" s="1"/>
      <c r="E1884" s="1"/>
    </row>
    <row r="1885" spans="4:5" x14ac:dyDescent="0.25">
      <c r="D1885" s="1"/>
      <c r="E1885" s="1"/>
    </row>
    <row r="1886" spans="4:5" x14ac:dyDescent="0.25">
      <c r="D1886" s="1"/>
      <c r="E1886" s="1"/>
    </row>
    <row r="1887" spans="4:5" x14ac:dyDescent="0.25">
      <c r="D1887" s="1"/>
      <c r="E1887" s="1"/>
    </row>
    <row r="1888" spans="4:5" x14ac:dyDescent="0.25">
      <c r="D1888" s="1"/>
      <c r="E1888" s="1"/>
    </row>
    <row r="1889" spans="4:5" x14ac:dyDescent="0.25">
      <c r="D1889" s="1"/>
      <c r="E1889" s="1"/>
    </row>
    <row r="1890" spans="4:5" x14ac:dyDescent="0.25">
      <c r="D1890" s="1"/>
      <c r="E1890" s="1"/>
    </row>
    <row r="1891" spans="4:5" x14ac:dyDescent="0.25">
      <c r="D1891" s="1"/>
      <c r="E1891" s="1"/>
    </row>
    <row r="1892" spans="4:5" x14ac:dyDescent="0.25">
      <c r="D1892" s="1"/>
      <c r="E1892" s="1"/>
    </row>
    <row r="1893" spans="4:5" x14ac:dyDescent="0.25">
      <c r="D1893" s="1"/>
      <c r="E1893" s="1"/>
    </row>
    <row r="1894" spans="4:5" x14ac:dyDescent="0.25">
      <c r="D1894" s="1"/>
      <c r="E1894" s="1"/>
    </row>
    <row r="1895" spans="4:5" x14ac:dyDescent="0.25">
      <c r="D1895" s="1"/>
      <c r="E1895" s="1"/>
    </row>
    <row r="1896" spans="4:5" x14ac:dyDescent="0.25">
      <c r="D1896" s="1"/>
      <c r="E1896" s="1"/>
    </row>
    <row r="1897" spans="4:5" x14ac:dyDescent="0.25">
      <c r="D1897" s="1"/>
      <c r="E1897" s="1"/>
    </row>
    <row r="1898" spans="4:5" x14ac:dyDescent="0.25">
      <c r="D1898" s="1"/>
      <c r="E1898" s="1"/>
    </row>
    <row r="1899" spans="4:5" x14ac:dyDescent="0.25">
      <c r="D1899" s="1"/>
      <c r="E1899" s="1"/>
    </row>
    <row r="1900" spans="4:5" x14ac:dyDescent="0.25">
      <c r="D1900" s="1"/>
      <c r="E1900" s="1"/>
    </row>
    <row r="1901" spans="4:5" x14ac:dyDescent="0.25">
      <c r="D1901" s="1"/>
      <c r="E1901" s="1"/>
    </row>
    <row r="1902" spans="4:5" x14ac:dyDescent="0.25">
      <c r="D1902" s="1"/>
      <c r="E1902" s="1"/>
    </row>
    <row r="1903" spans="4:5" x14ac:dyDescent="0.25">
      <c r="D1903" s="1"/>
      <c r="E1903" s="1"/>
    </row>
    <row r="1904" spans="4:5" x14ac:dyDescent="0.25">
      <c r="D1904" s="1"/>
      <c r="E1904" s="1"/>
    </row>
    <row r="1905" spans="4:5" x14ac:dyDescent="0.25">
      <c r="D1905" s="1"/>
      <c r="E1905" s="1"/>
    </row>
    <row r="1906" spans="4:5" x14ac:dyDescent="0.25">
      <c r="D1906" s="1"/>
      <c r="E1906" s="1"/>
    </row>
    <row r="1907" spans="4:5" x14ac:dyDescent="0.25">
      <c r="D1907" s="1"/>
      <c r="E1907" s="1"/>
    </row>
    <row r="1908" spans="4:5" x14ac:dyDescent="0.25">
      <c r="D1908" s="1"/>
      <c r="E1908" s="1"/>
    </row>
    <row r="1909" spans="4:5" x14ac:dyDescent="0.25">
      <c r="D1909" s="1"/>
      <c r="E1909" s="1"/>
    </row>
    <row r="1910" spans="4:5" x14ac:dyDescent="0.25">
      <c r="D1910" s="1"/>
      <c r="E1910" s="1"/>
    </row>
    <row r="1911" spans="4:5" x14ac:dyDescent="0.25">
      <c r="D1911" s="1"/>
      <c r="E1911" s="1"/>
    </row>
    <row r="1912" spans="4:5" x14ac:dyDescent="0.25">
      <c r="D1912" s="1"/>
      <c r="E1912" s="1"/>
    </row>
    <row r="1913" spans="4:5" x14ac:dyDescent="0.25">
      <c r="D1913" s="1"/>
      <c r="E1913" s="1"/>
    </row>
    <row r="1914" spans="4:5" x14ac:dyDescent="0.25">
      <c r="D1914" s="1"/>
      <c r="E1914" s="1"/>
    </row>
    <row r="1915" spans="4:5" x14ac:dyDescent="0.25">
      <c r="D1915" s="1"/>
      <c r="E1915" s="1"/>
    </row>
    <row r="1916" spans="4:5" x14ac:dyDescent="0.25">
      <c r="D1916" s="1"/>
      <c r="E1916" s="1"/>
    </row>
    <row r="1917" spans="4:5" x14ac:dyDescent="0.25">
      <c r="D1917" s="1"/>
      <c r="E1917" s="1"/>
    </row>
    <row r="1918" spans="4:5" x14ac:dyDescent="0.25">
      <c r="D1918" s="1"/>
      <c r="E1918" s="1"/>
    </row>
    <row r="1919" spans="4:5" x14ac:dyDescent="0.25">
      <c r="D1919" s="1"/>
      <c r="E1919" s="1"/>
    </row>
    <row r="1920" spans="4:5" x14ac:dyDescent="0.25">
      <c r="D1920" s="1"/>
      <c r="E1920" s="1"/>
    </row>
    <row r="1921" spans="4:5" x14ac:dyDescent="0.25">
      <c r="D1921" s="1"/>
      <c r="E1921" s="1"/>
    </row>
    <row r="1922" spans="4:5" x14ac:dyDescent="0.25">
      <c r="D1922" s="1"/>
      <c r="E1922" s="1"/>
    </row>
    <row r="1923" spans="4:5" x14ac:dyDescent="0.25">
      <c r="D1923" s="1"/>
      <c r="E1923" s="1"/>
    </row>
    <row r="1924" spans="4:5" x14ac:dyDescent="0.25">
      <c r="D1924" s="1"/>
      <c r="E1924" s="1"/>
    </row>
    <row r="1925" spans="4:5" x14ac:dyDescent="0.25">
      <c r="D1925" s="1"/>
      <c r="E1925" s="1"/>
    </row>
    <row r="1926" spans="4:5" x14ac:dyDescent="0.25">
      <c r="D1926" s="1"/>
      <c r="E1926" s="1"/>
    </row>
    <row r="1927" spans="4:5" x14ac:dyDescent="0.25">
      <c r="D1927" s="1"/>
      <c r="E1927" s="1"/>
    </row>
    <row r="1928" spans="4:5" x14ac:dyDescent="0.25">
      <c r="D1928" s="1"/>
      <c r="E1928" s="1"/>
    </row>
    <row r="1929" spans="4:5" x14ac:dyDescent="0.25">
      <c r="D1929" s="1"/>
      <c r="E1929" s="1"/>
    </row>
    <row r="1930" spans="4:5" x14ac:dyDescent="0.25">
      <c r="D1930" s="1"/>
      <c r="E1930" s="1"/>
    </row>
    <row r="1931" spans="4:5" x14ac:dyDescent="0.25">
      <c r="D1931" s="1"/>
      <c r="E1931" s="1"/>
    </row>
    <row r="1932" spans="4:5" x14ac:dyDescent="0.25">
      <c r="D1932" s="1"/>
      <c r="E1932" s="1"/>
    </row>
    <row r="1933" spans="4:5" x14ac:dyDescent="0.25">
      <c r="D1933" s="1"/>
      <c r="E1933" s="1"/>
    </row>
    <row r="1934" spans="4:5" x14ac:dyDescent="0.25">
      <c r="D1934" s="1"/>
      <c r="E1934" s="1"/>
    </row>
    <row r="1935" spans="4:5" x14ac:dyDescent="0.25">
      <c r="D1935" s="1"/>
      <c r="E1935" s="1"/>
    </row>
    <row r="1936" spans="4:5" x14ac:dyDescent="0.25">
      <c r="D1936" s="1"/>
      <c r="E1936" s="1"/>
    </row>
    <row r="1937" spans="4:5" x14ac:dyDescent="0.25">
      <c r="D1937" s="1"/>
      <c r="E1937" s="1"/>
    </row>
    <row r="1938" spans="4:5" x14ac:dyDescent="0.25">
      <c r="D1938" s="1"/>
      <c r="E1938" s="1"/>
    </row>
    <row r="1939" spans="4:5" x14ac:dyDescent="0.25">
      <c r="D1939" s="1"/>
      <c r="E1939" s="1"/>
    </row>
    <row r="1940" spans="4:5" x14ac:dyDescent="0.25">
      <c r="D1940" s="1"/>
      <c r="E1940" s="1"/>
    </row>
    <row r="1941" spans="4:5" x14ac:dyDescent="0.25">
      <c r="D1941" s="1"/>
      <c r="E1941" s="1"/>
    </row>
    <row r="1942" spans="4:5" x14ac:dyDescent="0.25">
      <c r="D1942" s="1"/>
      <c r="E1942" s="1"/>
    </row>
    <row r="1943" spans="4:5" x14ac:dyDescent="0.25">
      <c r="D1943" s="1"/>
      <c r="E1943" s="1"/>
    </row>
    <row r="1944" spans="4:5" x14ac:dyDescent="0.25">
      <c r="D1944" s="1"/>
      <c r="E1944" s="1"/>
    </row>
    <row r="1945" spans="4:5" x14ac:dyDescent="0.25">
      <c r="D1945" s="1"/>
      <c r="E1945" s="1"/>
    </row>
    <row r="1946" spans="4:5" x14ac:dyDescent="0.25">
      <c r="D1946" s="1"/>
      <c r="E1946" s="1"/>
    </row>
    <row r="1947" spans="4:5" x14ac:dyDescent="0.25">
      <c r="D1947" s="1"/>
      <c r="E1947" s="1"/>
    </row>
    <row r="1948" spans="4:5" x14ac:dyDescent="0.25">
      <c r="D1948" s="1"/>
      <c r="E1948" s="1"/>
    </row>
    <row r="1949" spans="4:5" x14ac:dyDescent="0.25">
      <c r="D1949" s="1"/>
      <c r="E1949" s="1"/>
    </row>
    <row r="1950" spans="4:5" x14ac:dyDescent="0.25">
      <c r="D1950" s="1"/>
      <c r="E1950" s="1"/>
    </row>
    <row r="1951" spans="4:5" x14ac:dyDescent="0.25">
      <c r="D1951" s="1"/>
      <c r="E1951" s="1"/>
    </row>
    <row r="1952" spans="4:5" x14ac:dyDescent="0.25">
      <c r="D1952" s="1"/>
      <c r="E1952" s="1"/>
    </row>
    <row r="1953" spans="4:5" x14ac:dyDescent="0.25">
      <c r="D1953" s="1"/>
      <c r="E1953" s="1"/>
    </row>
    <row r="1954" spans="4:5" x14ac:dyDescent="0.25">
      <c r="D1954" s="1"/>
      <c r="E1954" s="1"/>
    </row>
    <row r="1955" spans="4:5" x14ac:dyDescent="0.25">
      <c r="D1955" s="1"/>
      <c r="E1955" s="1"/>
    </row>
    <row r="1956" spans="4:5" x14ac:dyDescent="0.25">
      <c r="D1956" s="1"/>
      <c r="E1956" s="1"/>
    </row>
    <row r="1957" spans="4:5" x14ac:dyDescent="0.25">
      <c r="D1957" s="1"/>
      <c r="E1957" s="1"/>
    </row>
    <row r="1958" spans="4:5" x14ac:dyDescent="0.25">
      <c r="D1958" s="1"/>
      <c r="E1958" s="1"/>
    </row>
    <row r="1959" spans="4:5" x14ac:dyDescent="0.25">
      <c r="D1959" s="1"/>
      <c r="E1959" s="1"/>
    </row>
    <row r="1960" spans="4:5" x14ac:dyDescent="0.25">
      <c r="D1960" s="1"/>
      <c r="E1960" s="1"/>
    </row>
    <row r="1961" spans="4:5" x14ac:dyDescent="0.25">
      <c r="D1961" s="1"/>
      <c r="E1961" s="1"/>
    </row>
    <row r="1962" spans="4:5" x14ac:dyDescent="0.25">
      <c r="D1962" s="1"/>
      <c r="E1962" s="1"/>
    </row>
    <row r="1963" spans="4:5" x14ac:dyDescent="0.25">
      <c r="D1963" s="1"/>
      <c r="E1963" s="1"/>
    </row>
    <row r="1964" spans="4:5" x14ac:dyDescent="0.25">
      <c r="D1964" s="1"/>
      <c r="E1964" s="1"/>
    </row>
    <row r="1965" spans="4:5" x14ac:dyDescent="0.25">
      <c r="D1965" s="1"/>
      <c r="E1965" s="1"/>
    </row>
    <row r="1966" spans="4:5" x14ac:dyDescent="0.25">
      <c r="D1966" s="1"/>
      <c r="E1966" s="1"/>
    </row>
    <row r="1967" spans="4:5" x14ac:dyDescent="0.25">
      <c r="D1967" s="1"/>
      <c r="E1967" s="1"/>
    </row>
    <row r="1968" spans="4:5" x14ac:dyDescent="0.25">
      <c r="D1968" s="1"/>
      <c r="E1968" s="1"/>
    </row>
    <row r="1969" spans="4:5" x14ac:dyDescent="0.25">
      <c r="D1969" s="1"/>
      <c r="E1969" s="1"/>
    </row>
    <row r="1970" spans="4:5" x14ac:dyDescent="0.25">
      <c r="D1970" s="1"/>
      <c r="E1970" s="1"/>
    </row>
    <row r="1971" spans="4:5" x14ac:dyDescent="0.25">
      <c r="D1971" s="1"/>
      <c r="E1971" s="1"/>
    </row>
    <row r="1972" spans="4:5" x14ac:dyDescent="0.25">
      <c r="D1972" s="1"/>
      <c r="E1972" s="1"/>
    </row>
    <row r="1973" spans="4:5" x14ac:dyDescent="0.25">
      <c r="D1973" s="1"/>
      <c r="E1973" s="1"/>
    </row>
    <row r="1974" spans="4:5" x14ac:dyDescent="0.25">
      <c r="D1974" s="1"/>
      <c r="E1974" s="1"/>
    </row>
    <row r="1975" spans="4:5" x14ac:dyDescent="0.25">
      <c r="D1975" s="1"/>
      <c r="E1975" s="1"/>
    </row>
    <row r="1976" spans="4:5" x14ac:dyDescent="0.25">
      <c r="D1976" s="1"/>
      <c r="E1976" s="1"/>
    </row>
    <row r="1977" spans="4:5" x14ac:dyDescent="0.25">
      <c r="D1977" s="1"/>
      <c r="E1977" s="1"/>
    </row>
    <row r="1978" spans="4:5" x14ac:dyDescent="0.25">
      <c r="D1978" s="1"/>
      <c r="E1978" s="1"/>
    </row>
    <row r="1979" spans="4:5" x14ac:dyDescent="0.25">
      <c r="D1979" s="1"/>
      <c r="E1979" s="1"/>
    </row>
    <row r="1980" spans="4:5" x14ac:dyDescent="0.25">
      <c r="D1980" s="1"/>
      <c r="E1980" s="1"/>
    </row>
    <row r="1981" spans="4:5" x14ac:dyDescent="0.25">
      <c r="D1981" s="1"/>
      <c r="E1981" s="1"/>
    </row>
    <row r="1982" spans="4:5" x14ac:dyDescent="0.25">
      <c r="D1982" s="1"/>
      <c r="E1982" s="1"/>
    </row>
    <row r="1983" spans="4:5" x14ac:dyDescent="0.25">
      <c r="D1983" s="1"/>
      <c r="E1983" s="1"/>
    </row>
    <row r="1984" spans="4:5" x14ac:dyDescent="0.25">
      <c r="D1984" s="1"/>
      <c r="E1984" s="1"/>
    </row>
    <row r="1985" spans="4:5" x14ac:dyDescent="0.25">
      <c r="D1985" s="1"/>
      <c r="E1985" s="1"/>
    </row>
    <row r="1986" spans="4:5" x14ac:dyDescent="0.25">
      <c r="D1986" s="1"/>
      <c r="E1986" s="1"/>
    </row>
    <row r="1987" spans="4:5" x14ac:dyDescent="0.25">
      <c r="D1987" s="1"/>
      <c r="E1987" s="1"/>
    </row>
    <row r="1988" spans="4:5" x14ac:dyDescent="0.25">
      <c r="D1988" s="1"/>
      <c r="E1988" s="1"/>
    </row>
    <row r="1989" spans="4:5" x14ac:dyDescent="0.25">
      <c r="D1989" s="1"/>
      <c r="E1989" s="1"/>
    </row>
    <row r="1990" spans="4:5" x14ac:dyDescent="0.25">
      <c r="D1990" s="1"/>
      <c r="E1990" s="1"/>
    </row>
    <row r="1991" spans="4:5" x14ac:dyDescent="0.25">
      <c r="D1991" s="1"/>
      <c r="E1991" s="1"/>
    </row>
    <row r="1992" spans="4:5" x14ac:dyDescent="0.25">
      <c r="D1992" s="1"/>
      <c r="E1992" s="1"/>
    </row>
    <row r="1993" spans="4:5" x14ac:dyDescent="0.25">
      <c r="D1993" s="1"/>
      <c r="E1993" s="1"/>
    </row>
    <row r="1994" spans="4:5" x14ac:dyDescent="0.25">
      <c r="D1994" s="1"/>
      <c r="E1994" s="1"/>
    </row>
    <row r="1995" spans="4:5" x14ac:dyDescent="0.25">
      <c r="D1995" s="1"/>
      <c r="E1995" s="1"/>
    </row>
    <row r="1996" spans="4:5" x14ac:dyDescent="0.25">
      <c r="D1996" s="1"/>
      <c r="E1996" s="1"/>
    </row>
    <row r="1997" spans="4:5" x14ac:dyDescent="0.25">
      <c r="D1997" s="1"/>
      <c r="E1997" s="1"/>
    </row>
    <row r="1998" spans="4:5" x14ac:dyDescent="0.25">
      <c r="D1998" s="1"/>
      <c r="E1998" s="1"/>
    </row>
    <row r="1999" spans="4:5" x14ac:dyDescent="0.25">
      <c r="D1999" s="1"/>
      <c r="E1999" s="1"/>
    </row>
    <row r="2000" spans="4:5" x14ac:dyDescent="0.25">
      <c r="D2000" s="1"/>
      <c r="E2000" s="1"/>
    </row>
    <row r="2001" spans="4:5" x14ac:dyDescent="0.25">
      <c r="D2001" s="1"/>
      <c r="E2001" s="1"/>
    </row>
    <row r="2002" spans="4:5" x14ac:dyDescent="0.25">
      <c r="D2002" s="1"/>
      <c r="E2002" s="1"/>
    </row>
    <row r="2003" spans="4:5" x14ac:dyDescent="0.25">
      <c r="D2003" s="1"/>
      <c r="E2003" s="1"/>
    </row>
    <row r="2004" spans="4:5" x14ac:dyDescent="0.25">
      <c r="D2004" s="1"/>
      <c r="E2004" s="1"/>
    </row>
    <row r="2005" spans="4:5" x14ac:dyDescent="0.25">
      <c r="D2005" s="1"/>
      <c r="E2005" s="1"/>
    </row>
    <row r="2006" spans="4:5" x14ac:dyDescent="0.25">
      <c r="D2006" s="1"/>
      <c r="E2006" s="1"/>
    </row>
    <row r="2007" spans="4:5" x14ac:dyDescent="0.25">
      <c r="D2007" s="1"/>
      <c r="E2007" s="1"/>
    </row>
    <row r="2008" spans="4:5" x14ac:dyDescent="0.25">
      <c r="D2008" s="1"/>
      <c r="E2008" s="1"/>
    </row>
    <row r="2009" spans="4:5" x14ac:dyDescent="0.25">
      <c r="D2009" s="1"/>
      <c r="E2009" s="1"/>
    </row>
    <row r="2010" spans="4:5" x14ac:dyDescent="0.25">
      <c r="D2010" s="1"/>
      <c r="E2010" s="1"/>
    </row>
    <row r="2011" spans="4:5" x14ac:dyDescent="0.25">
      <c r="D2011" s="1"/>
      <c r="E2011" s="1"/>
    </row>
    <row r="2012" spans="4:5" x14ac:dyDescent="0.25">
      <c r="D2012" s="1"/>
      <c r="E2012" s="1"/>
    </row>
    <row r="2013" spans="4:5" x14ac:dyDescent="0.25">
      <c r="D2013" s="1"/>
      <c r="E2013" s="1"/>
    </row>
    <row r="2014" spans="4:5" x14ac:dyDescent="0.25">
      <c r="D2014" s="1"/>
      <c r="E2014" s="1"/>
    </row>
    <row r="2015" spans="4:5" x14ac:dyDescent="0.25">
      <c r="D2015" s="1"/>
      <c r="E2015" s="1"/>
    </row>
    <row r="2016" spans="4:5" x14ac:dyDescent="0.25">
      <c r="D2016" s="1"/>
      <c r="E2016" s="1"/>
    </row>
    <row r="2017" spans="4:5" x14ac:dyDescent="0.25">
      <c r="D2017" s="1"/>
      <c r="E2017" s="1"/>
    </row>
    <row r="2018" spans="4:5" x14ac:dyDescent="0.25">
      <c r="D2018" s="1"/>
      <c r="E2018" s="1"/>
    </row>
    <row r="2019" spans="4:5" x14ac:dyDescent="0.25">
      <c r="D2019" s="1"/>
      <c r="E2019" s="1"/>
    </row>
    <row r="2020" spans="4:5" x14ac:dyDescent="0.25">
      <c r="D2020" s="1"/>
      <c r="E2020" s="1"/>
    </row>
    <row r="2021" spans="4:5" x14ac:dyDescent="0.25">
      <c r="D2021" s="1"/>
      <c r="E2021" s="1"/>
    </row>
    <row r="2022" spans="4:5" x14ac:dyDescent="0.25">
      <c r="D2022" s="1"/>
      <c r="E2022" s="1"/>
    </row>
    <row r="2023" spans="4:5" x14ac:dyDescent="0.25">
      <c r="D2023" s="1"/>
      <c r="E2023" s="1"/>
    </row>
    <row r="2024" spans="4:5" x14ac:dyDescent="0.25">
      <c r="D2024" s="1"/>
      <c r="E2024" s="1"/>
    </row>
    <row r="2025" spans="4:5" x14ac:dyDescent="0.25">
      <c r="D2025" s="1"/>
      <c r="E2025" s="1"/>
    </row>
    <row r="2026" spans="4:5" x14ac:dyDescent="0.25">
      <c r="D2026" s="1"/>
      <c r="E2026" s="1"/>
    </row>
    <row r="2027" spans="4:5" x14ac:dyDescent="0.25">
      <c r="D2027" s="1"/>
      <c r="E2027" s="1"/>
    </row>
    <row r="2028" spans="4:5" x14ac:dyDescent="0.25">
      <c r="D2028" s="1"/>
      <c r="E2028" s="1"/>
    </row>
    <row r="2029" spans="4:5" x14ac:dyDescent="0.25">
      <c r="D2029" s="1"/>
      <c r="E2029" s="1"/>
    </row>
    <row r="2030" spans="4:5" x14ac:dyDescent="0.25">
      <c r="D2030" s="1"/>
      <c r="E2030" s="1"/>
    </row>
    <row r="2031" spans="4:5" x14ac:dyDescent="0.25">
      <c r="D2031" s="1"/>
      <c r="E2031" s="1"/>
    </row>
    <row r="2032" spans="4:5" x14ac:dyDescent="0.25">
      <c r="D2032" s="1"/>
      <c r="E2032" s="1"/>
    </row>
    <row r="2033" spans="4:5" x14ac:dyDescent="0.25">
      <c r="D2033" s="1"/>
      <c r="E2033" s="1"/>
    </row>
    <row r="2034" spans="4:5" x14ac:dyDescent="0.25">
      <c r="D2034" s="1"/>
      <c r="E2034" s="1"/>
    </row>
    <row r="2035" spans="4:5" x14ac:dyDescent="0.25">
      <c r="D2035" s="1"/>
      <c r="E2035" s="1"/>
    </row>
    <row r="2036" spans="4:5" x14ac:dyDescent="0.25">
      <c r="D2036" s="1"/>
      <c r="E2036" s="1"/>
    </row>
    <row r="2037" spans="4:5" x14ac:dyDescent="0.25">
      <c r="D2037" s="1"/>
      <c r="E2037" s="1"/>
    </row>
    <row r="2038" spans="4:5" x14ac:dyDescent="0.25">
      <c r="D2038" s="1"/>
      <c r="E2038" s="1"/>
    </row>
    <row r="2039" spans="4:5" x14ac:dyDescent="0.25">
      <c r="D2039" s="1"/>
      <c r="E2039" s="1"/>
    </row>
    <row r="2040" spans="4:5" x14ac:dyDescent="0.25">
      <c r="D2040" s="1"/>
      <c r="E2040" s="1"/>
    </row>
    <row r="2041" spans="4:5" x14ac:dyDescent="0.25">
      <c r="D2041" s="1"/>
      <c r="E2041" s="1"/>
    </row>
    <row r="2042" spans="4:5" x14ac:dyDescent="0.25">
      <c r="D2042" s="1"/>
      <c r="E2042" s="1"/>
    </row>
    <row r="2043" spans="4:5" x14ac:dyDescent="0.25">
      <c r="D2043" s="1"/>
      <c r="E2043" s="1"/>
    </row>
    <row r="2044" spans="4:5" x14ac:dyDescent="0.25">
      <c r="D2044" s="1"/>
      <c r="E2044" s="1"/>
    </row>
    <row r="2045" spans="4:5" x14ac:dyDescent="0.25">
      <c r="D2045" s="1"/>
      <c r="E2045" s="1"/>
    </row>
    <row r="2046" spans="4:5" x14ac:dyDescent="0.25">
      <c r="D2046" s="1"/>
      <c r="E2046" s="1"/>
    </row>
    <row r="2047" spans="4:5" x14ac:dyDescent="0.25">
      <c r="D2047" s="1"/>
      <c r="E2047" s="1"/>
    </row>
    <row r="2048" spans="4:5" x14ac:dyDescent="0.25">
      <c r="D2048" s="1"/>
      <c r="E2048" s="1"/>
    </row>
    <row r="2049" spans="4:5" x14ac:dyDescent="0.25">
      <c r="D2049" s="1"/>
      <c r="E2049" s="1"/>
    </row>
    <row r="2050" spans="4:5" x14ac:dyDescent="0.25">
      <c r="D2050" s="1"/>
      <c r="E2050" s="1"/>
    </row>
    <row r="2051" spans="4:5" x14ac:dyDescent="0.25">
      <c r="D2051" s="1"/>
      <c r="E2051" s="1"/>
    </row>
    <row r="2052" spans="4:5" x14ac:dyDescent="0.25">
      <c r="D2052" s="1"/>
      <c r="E2052" s="1"/>
    </row>
    <row r="2053" spans="4:5" x14ac:dyDescent="0.25">
      <c r="D2053" s="1"/>
      <c r="E2053" s="1"/>
    </row>
    <row r="2054" spans="4:5" x14ac:dyDescent="0.25">
      <c r="D2054" s="1"/>
      <c r="E2054" s="1"/>
    </row>
    <row r="2055" spans="4:5" x14ac:dyDescent="0.25">
      <c r="D2055" s="1"/>
      <c r="E2055" s="1"/>
    </row>
    <row r="2056" spans="4:5" x14ac:dyDescent="0.25">
      <c r="D2056" s="1"/>
      <c r="E2056" s="1"/>
    </row>
    <row r="2057" spans="4:5" x14ac:dyDescent="0.25">
      <c r="D2057" s="1"/>
      <c r="E2057" s="1"/>
    </row>
    <row r="2058" spans="4:5" x14ac:dyDescent="0.25">
      <c r="D2058" s="1"/>
      <c r="E2058" s="1"/>
    </row>
    <row r="2059" spans="4:5" x14ac:dyDescent="0.25">
      <c r="D2059" s="1"/>
      <c r="E2059" s="1"/>
    </row>
    <row r="2060" spans="4:5" x14ac:dyDescent="0.25">
      <c r="D2060" s="1"/>
      <c r="E2060" s="1"/>
    </row>
    <row r="2061" spans="4:5" x14ac:dyDescent="0.25">
      <c r="D2061" s="1"/>
      <c r="E2061" s="1"/>
    </row>
    <row r="2062" spans="4:5" x14ac:dyDescent="0.25">
      <c r="D2062" s="1"/>
      <c r="E2062" s="1"/>
    </row>
    <row r="2063" spans="4:5" x14ac:dyDescent="0.25">
      <c r="D2063" s="1"/>
      <c r="E2063" s="1"/>
    </row>
    <row r="2064" spans="4:5" x14ac:dyDescent="0.25">
      <c r="D2064" s="1"/>
      <c r="E2064" s="1"/>
    </row>
    <row r="2065" spans="4:5" x14ac:dyDescent="0.25">
      <c r="D2065" s="1"/>
      <c r="E2065" s="1"/>
    </row>
    <row r="2066" spans="4:5" x14ac:dyDescent="0.25">
      <c r="D2066" s="1"/>
      <c r="E2066" s="1"/>
    </row>
    <row r="2067" spans="4:5" x14ac:dyDescent="0.25">
      <c r="D2067" s="1"/>
      <c r="E2067" s="1"/>
    </row>
    <row r="2068" spans="4:5" x14ac:dyDescent="0.25">
      <c r="D2068" s="1"/>
      <c r="E2068" s="1"/>
    </row>
    <row r="2069" spans="4:5" x14ac:dyDescent="0.25">
      <c r="D2069" s="1"/>
      <c r="E2069" s="1"/>
    </row>
    <row r="2070" spans="4:5" x14ac:dyDescent="0.25">
      <c r="D2070" s="1"/>
      <c r="E2070" s="1"/>
    </row>
    <row r="2071" spans="4:5" x14ac:dyDescent="0.25">
      <c r="D2071" s="1"/>
      <c r="E2071" s="1"/>
    </row>
    <row r="2072" spans="4:5" x14ac:dyDescent="0.25">
      <c r="D2072" s="1"/>
      <c r="E2072" s="1"/>
    </row>
    <row r="2073" spans="4:5" x14ac:dyDescent="0.25">
      <c r="D2073" s="1"/>
      <c r="E2073" s="1"/>
    </row>
    <row r="2074" spans="4:5" x14ac:dyDescent="0.25">
      <c r="D2074" s="1"/>
      <c r="E2074" s="1"/>
    </row>
    <row r="2075" spans="4:5" x14ac:dyDescent="0.25">
      <c r="D2075" s="1"/>
      <c r="E2075" s="1"/>
    </row>
    <row r="2076" spans="4:5" x14ac:dyDescent="0.25">
      <c r="D2076" s="1"/>
      <c r="E2076" s="1"/>
    </row>
    <row r="2077" spans="4:5" x14ac:dyDescent="0.25">
      <c r="D2077" s="1"/>
      <c r="E2077" s="1"/>
    </row>
    <row r="2078" spans="4:5" x14ac:dyDescent="0.25">
      <c r="D2078" s="1"/>
      <c r="E2078" s="1"/>
    </row>
    <row r="2079" spans="4:5" x14ac:dyDescent="0.25">
      <c r="D2079" s="1"/>
      <c r="E2079" s="1"/>
    </row>
    <row r="2080" spans="4:5" x14ac:dyDescent="0.25">
      <c r="D2080" s="1"/>
      <c r="E2080" s="1"/>
    </row>
    <row r="2081" spans="4:5" x14ac:dyDescent="0.25">
      <c r="D2081" s="1"/>
      <c r="E2081" s="1"/>
    </row>
    <row r="2082" spans="4:5" x14ac:dyDescent="0.25">
      <c r="D2082" s="1"/>
      <c r="E2082" s="1"/>
    </row>
    <row r="2083" spans="4:5" x14ac:dyDescent="0.25">
      <c r="D2083" s="1"/>
      <c r="E2083" s="1"/>
    </row>
    <row r="2084" spans="4:5" x14ac:dyDescent="0.25">
      <c r="D2084" s="1"/>
      <c r="E2084" s="1"/>
    </row>
    <row r="2085" spans="4:5" x14ac:dyDescent="0.25">
      <c r="D2085" s="1"/>
      <c r="E2085" s="1"/>
    </row>
    <row r="2086" spans="4:5" x14ac:dyDescent="0.25">
      <c r="D2086" s="1"/>
      <c r="E2086" s="1"/>
    </row>
    <row r="2087" spans="4:5" x14ac:dyDescent="0.25">
      <c r="D2087" s="1"/>
      <c r="E2087" s="1"/>
    </row>
    <row r="2088" spans="4:5" x14ac:dyDescent="0.25">
      <c r="D2088" s="1"/>
      <c r="E2088" s="1"/>
    </row>
    <row r="2089" spans="4:5" x14ac:dyDescent="0.25">
      <c r="D2089" s="1"/>
      <c r="E2089" s="1"/>
    </row>
    <row r="2090" spans="4:5" x14ac:dyDescent="0.25">
      <c r="D2090" s="1"/>
      <c r="E2090" s="1"/>
    </row>
    <row r="2091" spans="4:5" x14ac:dyDescent="0.25">
      <c r="D2091" s="1"/>
      <c r="E2091" s="1"/>
    </row>
    <row r="2092" spans="4:5" x14ac:dyDescent="0.25">
      <c r="D2092" s="1"/>
      <c r="E2092" s="1"/>
    </row>
    <row r="2093" spans="4:5" x14ac:dyDescent="0.25">
      <c r="D2093" s="1"/>
      <c r="E2093" s="1"/>
    </row>
    <row r="2094" spans="4:5" x14ac:dyDescent="0.25">
      <c r="D2094" s="1"/>
      <c r="E2094" s="1"/>
    </row>
    <row r="2095" spans="4:5" x14ac:dyDescent="0.25">
      <c r="D2095" s="1"/>
      <c r="E2095" s="1"/>
    </row>
    <row r="2096" spans="4:5" x14ac:dyDescent="0.25">
      <c r="D2096" s="1"/>
      <c r="E2096" s="1"/>
    </row>
    <row r="2097" spans="4:5" x14ac:dyDescent="0.25">
      <c r="D2097" s="1"/>
      <c r="E2097" s="1"/>
    </row>
    <row r="2098" spans="4:5" x14ac:dyDescent="0.25">
      <c r="D2098" s="1"/>
      <c r="E2098" s="1"/>
    </row>
    <row r="2099" spans="4:5" x14ac:dyDescent="0.25">
      <c r="D2099" s="1"/>
      <c r="E2099" s="1"/>
    </row>
    <row r="2100" spans="4:5" x14ac:dyDescent="0.25">
      <c r="D2100" s="1"/>
      <c r="E2100" s="1"/>
    </row>
    <row r="2101" spans="4:5" x14ac:dyDescent="0.25">
      <c r="D2101" s="1"/>
      <c r="E2101" s="1"/>
    </row>
    <row r="2102" spans="4:5" x14ac:dyDescent="0.25">
      <c r="D2102" s="1"/>
      <c r="E2102" s="1"/>
    </row>
    <row r="2103" spans="4:5" x14ac:dyDescent="0.25">
      <c r="D2103" s="1"/>
      <c r="E2103" s="1"/>
    </row>
    <row r="2104" spans="4:5" x14ac:dyDescent="0.25">
      <c r="D2104" s="1"/>
      <c r="E2104" s="1"/>
    </row>
    <row r="2105" spans="4:5" x14ac:dyDescent="0.25">
      <c r="D2105" s="1"/>
      <c r="E2105" s="1"/>
    </row>
    <row r="2106" spans="4:5" x14ac:dyDescent="0.25">
      <c r="D2106" s="1"/>
      <c r="E2106" s="1"/>
    </row>
    <row r="2107" spans="4:5" x14ac:dyDescent="0.25">
      <c r="D2107" s="1"/>
      <c r="E2107" s="1"/>
    </row>
    <row r="2108" spans="4:5" x14ac:dyDescent="0.25">
      <c r="D2108" s="1"/>
      <c r="E2108" s="1"/>
    </row>
    <row r="2109" spans="4:5" x14ac:dyDescent="0.25">
      <c r="D2109" s="1"/>
      <c r="E2109" s="1"/>
    </row>
    <row r="2110" spans="4:5" x14ac:dyDescent="0.25">
      <c r="D2110" s="1"/>
      <c r="E2110" s="1"/>
    </row>
    <row r="2111" spans="4:5" x14ac:dyDescent="0.25">
      <c r="D2111" s="1"/>
      <c r="E2111" s="1"/>
    </row>
    <row r="2112" spans="4:5" x14ac:dyDescent="0.25">
      <c r="D2112" s="1"/>
      <c r="E2112" s="1"/>
    </row>
    <row r="2113" spans="4:5" x14ac:dyDescent="0.25">
      <c r="D2113" s="1"/>
      <c r="E2113" s="1"/>
    </row>
    <row r="2114" spans="4:5" x14ac:dyDescent="0.25">
      <c r="D2114" s="1"/>
      <c r="E2114" s="1"/>
    </row>
    <row r="2115" spans="4:5" x14ac:dyDescent="0.25">
      <c r="D2115" s="1"/>
      <c r="E2115" s="1"/>
    </row>
    <row r="2116" spans="4:5" x14ac:dyDescent="0.25">
      <c r="D2116" s="1"/>
      <c r="E2116" s="1"/>
    </row>
    <row r="2117" spans="4:5" x14ac:dyDescent="0.25">
      <c r="D2117" s="1"/>
      <c r="E2117" s="1"/>
    </row>
    <row r="2118" spans="4:5" x14ac:dyDescent="0.25">
      <c r="D2118" s="1"/>
      <c r="E2118" s="1"/>
    </row>
    <row r="2119" spans="4:5" x14ac:dyDescent="0.25">
      <c r="D2119" s="1"/>
      <c r="E2119" s="1"/>
    </row>
    <row r="2120" spans="4:5" x14ac:dyDescent="0.25">
      <c r="D2120" s="1"/>
      <c r="E2120" s="1"/>
    </row>
    <row r="2121" spans="4:5" x14ac:dyDescent="0.25">
      <c r="D2121" s="1"/>
      <c r="E2121" s="1"/>
    </row>
    <row r="2122" spans="4:5" x14ac:dyDescent="0.25">
      <c r="D2122" s="1"/>
      <c r="E2122" s="1"/>
    </row>
    <row r="2123" spans="4:5" x14ac:dyDescent="0.25">
      <c r="D2123" s="1"/>
      <c r="E2123" s="1"/>
    </row>
    <row r="2124" spans="4:5" x14ac:dyDescent="0.25">
      <c r="D2124" s="1"/>
      <c r="E2124" s="1"/>
    </row>
    <row r="2125" spans="4:5" x14ac:dyDescent="0.25">
      <c r="D2125" s="1"/>
      <c r="E2125" s="1"/>
    </row>
    <row r="2126" spans="4:5" x14ac:dyDescent="0.25">
      <c r="D2126" s="1"/>
      <c r="E2126" s="1"/>
    </row>
    <row r="2127" spans="4:5" x14ac:dyDescent="0.25">
      <c r="D2127" s="1"/>
      <c r="E2127" s="1"/>
    </row>
    <row r="2128" spans="4:5" x14ac:dyDescent="0.25">
      <c r="D2128" s="1"/>
      <c r="E2128" s="1"/>
    </row>
    <row r="2129" spans="4:5" x14ac:dyDescent="0.25">
      <c r="D2129" s="1"/>
      <c r="E2129" s="1"/>
    </row>
    <row r="2130" spans="4:5" x14ac:dyDescent="0.25">
      <c r="D2130" s="1"/>
      <c r="E2130" s="1"/>
    </row>
    <row r="2131" spans="4:5" x14ac:dyDescent="0.25">
      <c r="D2131" s="1"/>
      <c r="E2131" s="1"/>
    </row>
    <row r="2132" spans="4:5" x14ac:dyDescent="0.25">
      <c r="D2132" s="1"/>
      <c r="E2132" s="1"/>
    </row>
    <row r="2133" spans="4:5" x14ac:dyDescent="0.25">
      <c r="D2133" s="1"/>
      <c r="E2133" s="1"/>
    </row>
    <row r="2134" spans="4:5" x14ac:dyDescent="0.25">
      <c r="D2134" s="1"/>
      <c r="E2134" s="1"/>
    </row>
    <row r="2135" spans="4:5" x14ac:dyDescent="0.25">
      <c r="D2135" s="1"/>
      <c r="E2135" s="1"/>
    </row>
    <row r="2136" spans="4:5" x14ac:dyDescent="0.25">
      <c r="D2136" s="1"/>
      <c r="E2136" s="1"/>
    </row>
    <row r="2137" spans="4:5" x14ac:dyDescent="0.25">
      <c r="D2137" s="1"/>
      <c r="E2137" s="1"/>
    </row>
    <row r="2138" spans="4:5" x14ac:dyDescent="0.25">
      <c r="D2138" s="1"/>
      <c r="E2138" s="1"/>
    </row>
    <row r="2139" spans="4:5" x14ac:dyDescent="0.25">
      <c r="D2139" s="1"/>
      <c r="E2139" s="1"/>
    </row>
    <row r="2140" spans="4:5" x14ac:dyDescent="0.25">
      <c r="D2140" s="1"/>
      <c r="E2140" s="1"/>
    </row>
    <row r="2141" spans="4:5" x14ac:dyDescent="0.25">
      <c r="D2141" s="1"/>
      <c r="E2141" s="1"/>
    </row>
    <row r="2142" spans="4:5" x14ac:dyDescent="0.25">
      <c r="D2142" s="1"/>
      <c r="E2142" s="1"/>
    </row>
    <row r="2143" spans="4:5" x14ac:dyDescent="0.25">
      <c r="D2143" s="1"/>
      <c r="E2143" s="1"/>
    </row>
    <row r="2144" spans="4:5" x14ac:dyDescent="0.25">
      <c r="D2144" s="1"/>
      <c r="E2144" s="1"/>
    </row>
    <row r="2145" spans="4:5" x14ac:dyDescent="0.25">
      <c r="D2145" s="1"/>
      <c r="E2145" s="1"/>
    </row>
    <row r="2146" spans="4:5" x14ac:dyDescent="0.25">
      <c r="D2146" s="1"/>
      <c r="E2146" s="1"/>
    </row>
    <row r="2147" spans="4:5" x14ac:dyDescent="0.25">
      <c r="D2147" s="1"/>
      <c r="E2147" s="1"/>
    </row>
    <row r="2148" spans="4:5" x14ac:dyDescent="0.25">
      <c r="D2148" s="1"/>
      <c r="E2148" s="1"/>
    </row>
    <row r="2149" spans="4:5" x14ac:dyDescent="0.25">
      <c r="D2149" s="1"/>
      <c r="E2149" s="1"/>
    </row>
    <row r="2150" spans="4:5" x14ac:dyDescent="0.25">
      <c r="D2150" s="1"/>
      <c r="E2150" s="1"/>
    </row>
    <row r="2151" spans="4:5" x14ac:dyDescent="0.25">
      <c r="D2151" s="1"/>
      <c r="E2151" s="1"/>
    </row>
    <row r="2152" spans="4:5" x14ac:dyDescent="0.25">
      <c r="D2152" s="1"/>
      <c r="E2152" s="1"/>
    </row>
    <row r="2153" spans="4:5" x14ac:dyDescent="0.25">
      <c r="D2153" s="1"/>
      <c r="E2153" s="1"/>
    </row>
    <row r="2154" spans="4:5" x14ac:dyDescent="0.25">
      <c r="D2154" s="1"/>
      <c r="E2154" s="1"/>
    </row>
    <row r="2155" spans="4:5" x14ac:dyDescent="0.25">
      <c r="D2155" s="1"/>
      <c r="E2155" s="1"/>
    </row>
    <row r="2156" spans="4:5" x14ac:dyDescent="0.25">
      <c r="D2156" s="1"/>
      <c r="E2156" s="1"/>
    </row>
    <row r="2157" spans="4:5" x14ac:dyDescent="0.25">
      <c r="D2157" s="1"/>
      <c r="E2157" s="1"/>
    </row>
    <row r="2158" spans="4:5" x14ac:dyDescent="0.25">
      <c r="D2158" s="1"/>
      <c r="E2158" s="1"/>
    </row>
    <row r="2159" spans="4:5" x14ac:dyDescent="0.25">
      <c r="D2159" s="1"/>
      <c r="E2159" s="1"/>
    </row>
    <row r="2160" spans="4:5" x14ac:dyDescent="0.25">
      <c r="D2160" s="1"/>
      <c r="E2160" s="1"/>
    </row>
    <row r="2161" spans="4:5" x14ac:dyDescent="0.25">
      <c r="D2161" s="1"/>
      <c r="E2161" s="1"/>
    </row>
    <row r="2162" spans="4:5" x14ac:dyDescent="0.25">
      <c r="D2162" s="1"/>
      <c r="E2162" s="1"/>
    </row>
    <row r="2163" spans="4:5" x14ac:dyDescent="0.25">
      <c r="D2163" s="1"/>
      <c r="E2163" s="1"/>
    </row>
    <row r="2164" spans="4:5" x14ac:dyDescent="0.25">
      <c r="D2164" s="1"/>
      <c r="E2164" s="1"/>
    </row>
    <row r="2165" spans="4:5" x14ac:dyDescent="0.25">
      <c r="D2165" s="1"/>
      <c r="E2165" s="1"/>
    </row>
    <row r="2166" spans="4:5" x14ac:dyDescent="0.25">
      <c r="D2166" s="1"/>
      <c r="E2166" s="1"/>
    </row>
    <row r="2167" spans="4:5" x14ac:dyDescent="0.25">
      <c r="D2167" s="1"/>
      <c r="E2167" s="1"/>
    </row>
    <row r="2168" spans="4:5" x14ac:dyDescent="0.25">
      <c r="D2168" s="1"/>
      <c r="E2168" s="1"/>
    </row>
    <row r="2169" spans="4:5" x14ac:dyDescent="0.25">
      <c r="D2169" s="1"/>
      <c r="E2169" s="1"/>
    </row>
    <row r="2170" spans="4:5" x14ac:dyDescent="0.25">
      <c r="D2170" s="1"/>
      <c r="E2170" s="1"/>
    </row>
    <row r="2171" spans="4:5" x14ac:dyDescent="0.25">
      <c r="D2171" s="1"/>
      <c r="E2171" s="1"/>
    </row>
    <row r="2172" spans="4:5" x14ac:dyDescent="0.25">
      <c r="D2172" s="1"/>
      <c r="E2172" s="1"/>
    </row>
    <row r="2173" spans="4:5" x14ac:dyDescent="0.25">
      <c r="D2173" s="1"/>
      <c r="E2173" s="1"/>
    </row>
    <row r="2174" spans="4:5" x14ac:dyDescent="0.25">
      <c r="D2174" s="1"/>
      <c r="E2174" s="1"/>
    </row>
    <row r="2175" spans="4:5" x14ac:dyDescent="0.25">
      <c r="D2175" s="1"/>
      <c r="E2175" s="1"/>
    </row>
    <row r="2176" spans="4:5" x14ac:dyDescent="0.25">
      <c r="D2176" s="1"/>
      <c r="E2176" s="1"/>
    </row>
    <row r="2177" spans="4:5" x14ac:dyDescent="0.25">
      <c r="D2177" s="1"/>
      <c r="E2177" s="1"/>
    </row>
    <row r="2178" spans="4:5" x14ac:dyDescent="0.25">
      <c r="D2178" s="1"/>
      <c r="E2178" s="1"/>
    </row>
    <row r="2179" spans="4:5" x14ac:dyDescent="0.25">
      <c r="D2179" s="1"/>
      <c r="E2179" s="1"/>
    </row>
    <row r="2180" spans="4:5" x14ac:dyDescent="0.25">
      <c r="D2180" s="1"/>
      <c r="E2180" s="1"/>
    </row>
    <row r="2181" spans="4:5" x14ac:dyDescent="0.25">
      <c r="D2181" s="1"/>
      <c r="E2181" s="1"/>
    </row>
    <row r="2182" spans="4:5" x14ac:dyDescent="0.25">
      <c r="D2182" s="1"/>
      <c r="E2182" s="1"/>
    </row>
    <row r="2183" spans="4:5" x14ac:dyDescent="0.25">
      <c r="D2183" s="1"/>
      <c r="E2183" s="1"/>
    </row>
    <row r="2184" spans="4:5" x14ac:dyDescent="0.25">
      <c r="D2184" s="1"/>
      <c r="E2184" s="1"/>
    </row>
    <row r="2185" spans="4:5" x14ac:dyDescent="0.25">
      <c r="D2185" s="1"/>
      <c r="E2185" s="1"/>
    </row>
    <row r="2186" spans="4:5" x14ac:dyDescent="0.25">
      <c r="D2186" s="1"/>
      <c r="E2186" s="1"/>
    </row>
    <row r="2187" spans="4:5" x14ac:dyDescent="0.25">
      <c r="D2187" s="1"/>
      <c r="E2187" s="1"/>
    </row>
    <row r="2188" spans="4:5" x14ac:dyDescent="0.25">
      <c r="D2188" s="1"/>
      <c r="E2188" s="1"/>
    </row>
    <row r="2189" spans="4:5" x14ac:dyDescent="0.25">
      <c r="D2189" s="1"/>
      <c r="E2189" s="1"/>
    </row>
    <row r="2190" spans="4:5" x14ac:dyDescent="0.25">
      <c r="D2190" s="1"/>
      <c r="E2190" s="1"/>
    </row>
    <row r="2191" spans="4:5" x14ac:dyDescent="0.25">
      <c r="D2191" s="1"/>
      <c r="E2191" s="1"/>
    </row>
    <row r="2192" spans="4:5" x14ac:dyDescent="0.25">
      <c r="D2192" s="1"/>
      <c r="E2192" s="1"/>
    </row>
    <row r="2193" spans="4:5" x14ac:dyDescent="0.25">
      <c r="D2193" s="1"/>
      <c r="E2193" s="1"/>
    </row>
    <row r="2194" spans="4:5" x14ac:dyDescent="0.25">
      <c r="D2194" s="1"/>
      <c r="E2194" s="1"/>
    </row>
    <row r="2195" spans="4:5" x14ac:dyDescent="0.25">
      <c r="D2195" s="1"/>
      <c r="E2195" s="1"/>
    </row>
    <row r="2196" spans="4:5" x14ac:dyDescent="0.25">
      <c r="D2196" s="1"/>
      <c r="E2196" s="1"/>
    </row>
    <row r="2197" spans="4:5" x14ac:dyDescent="0.25">
      <c r="D2197" s="1"/>
      <c r="E2197" s="1"/>
    </row>
    <row r="2198" spans="4:5" x14ac:dyDescent="0.25">
      <c r="D2198" s="1"/>
      <c r="E2198" s="1"/>
    </row>
    <row r="2199" spans="4:5" x14ac:dyDescent="0.25">
      <c r="D2199" s="1"/>
      <c r="E2199" s="1"/>
    </row>
    <row r="2200" spans="4:5" x14ac:dyDescent="0.25">
      <c r="D2200" s="1"/>
      <c r="E2200" s="1"/>
    </row>
    <row r="2201" spans="4:5" x14ac:dyDescent="0.25">
      <c r="D2201" s="1"/>
      <c r="E2201" s="1"/>
    </row>
    <row r="2202" spans="4:5" x14ac:dyDescent="0.25">
      <c r="D2202" s="1"/>
      <c r="E2202" s="1"/>
    </row>
    <row r="2203" spans="4:5" x14ac:dyDescent="0.25">
      <c r="D2203" s="1"/>
      <c r="E2203" s="1"/>
    </row>
    <row r="2204" spans="4:5" x14ac:dyDescent="0.25">
      <c r="D2204" s="1"/>
      <c r="E2204" s="1"/>
    </row>
    <row r="2205" spans="4:5" x14ac:dyDescent="0.25">
      <c r="D2205" s="1"/>
      <c r="E2205" s="1"/>
    </row>
    <row r="2206" spans="4:5" x14ac:dyDescent="0.25">
      <c r="D2206" s="1"/>
      <c r="E2206" s="1"/>
    </row>
    <row r="2207" spans="4:5" x14ac:dyDescent="0.25">
      <c r="D2207" s="1"/>
      <c r="E2207" s="1"/>
    </row>
    <row r="2208" spans="4:5" x14ac:dyDescent="0.25">
      <c r="D2208" s="1"/>
      <c r="E2208" s="1"/>
    </row>
    <row r="2209" spans="4:5" x14ac:dyDescent="0.25">
      <c r="D2209" s="1"/>
      <c r="E2209" s="1"/>
    </row>
    <row r="2210" spans="4:5" x14ac:dyDescent="0.25">
      <c r="D2210" s="1"/>
      <c r="E2210" s="1"/>
    </row>
    <row r="2211" spans="4:5" x14ac:dyDescent="0.25">
      <c r="D2211" s="1"/>
      <c r="E2211" s="1"/>
    </row>
    <row r="2212" spans="4:5" x14ac:dyDescent="0.25">
      <c r="D2212" s="1"/>
      <c r="E2212" s="1"/>
    </row>
    <row r="2213" spans="4:5" x14ac:dyDescent="0.25">
      <c r="D2213" s="1"/>
      <c r="E2213" s="1"/>
    </row>
    <row r="2214" spans="4:5" x14ac:dyDescent="0.25">
      <c r="D2214" s="1"/>
      <c r="E2214" s="1"/>
    </row>
    <row r="2215" spans="4:5" x14ac:dyDescent="0.25">
      <c r="D2215" s="1"/>
      <c r="E2215" s="1"/>
    </row>
    <row r="2216" spans="4:5" x14ac:dyDescent="0.25">
      <c r="D2216" s="1"/>
      <c r="E2216" s="1"/>
    </row>
    <row r="2217" spans="4:5" x14ac:dyDescent="0.25">
      <c r="D2217" s="1"/>
      <c r="E2217" s="1"/>
    </row>
    <row r="2218" spans="4:5" x14ac:dyDescent="0.25">
      <c r="D2218" s="1"/>
      <c r="E2218" s="1"/>
    </row>
    <row r="2219" spans="4:5" x14ac:dyDescent="0.25">
      <c r="D2219" s="1"/>
      <c r="E2219" s="1"/>
    </row>
    <row r="2220" spans="4:5" x14ac:dyDescent="0.25">
      <c r="D2220" s="1"/>
      <c r="E2220" s="1"/>
    </row>
    <row r="2221" spans="4:5" x14ac:dyDescent="0.25">
      <c r="D2221" s="1"/>
      <c r="E2221" s="1"/>
    </row>
    <row r="2222" spans="4:5" x14ac:dyDescent="0.25">
      <c r="D2222" s="1"/>
      <c r="E2222" s="1"/>
    </row>
    <row r="2223" spans="4:5" x14ac:dyDescent="0.25">
      <c r="D2223" s="1"/>
      <c r="E2223" s="1"/>
    </row>
    <row r="2224" spans="4:5" x14ac:dyDescent="0.25">
      <c r="D2224" s="1"/>
      <c r="E2224" s="1"/>
    </row>
    <row r="2225" spans="4:5" x14ac:dyDescent="0.25">
      <c r="D2225" s="1"/>
      <c r="E2225" s="1"/>
    </row>
    <row r="2226" spans="4:5" x14ac:dyDescent="0.25">
      <c r="D2226" s="1"/>
      <c r="E2226" s="1"/>
    </row>
    <row r="2227" spans="4:5" x14ac:dyDescent="0.25">
      <c r="D2227" s="1"/>
      <c r="E2227" s="1"/>
    </row>
    <row r="2228" spans="4:5" x14ac:dyDescent="0.25">
      <c r="D2228" s="1"/>
      <c r="E2228" s="1"/>
    </row>
    <row r="2229" spans="4:5" x14ac:dyDescent="0.25">
      <c r="D2229" s="1"/>
      <c r="E2229" s="1"/>
    </row>
    <row r="2230" spans="4:5" x14ac:dyDescent="0.25">
      <c r="D2230" s="1"/>
      <c r="E2230" s="1"/>
    </row>
    <row r="2231" spans="4:5" x14ac:dyDescent="0.25">
      <c r="D2231" s="1"/>
      <c r="E2231" s="1"/>
    </row>
    <row r="2232" spans="4:5" x14ac:dyDescent="0.25">
      <c r="D2232" s="1"/>
      <c r="E2232" s="1"/>
    </row>
    <row r="2233" spans="4:5" x14ac:dyDescent="0.25">
      <c r="D2233" s="1"/>
      <c r="E2233" s="1"/>
    </row>
    <row r="2234" spans="4:5" x14ac:dyDescent="0.25">
      <c r="D2234" s="1"/>
      <c r="E2234" s="1"/>
    </row>
    <row r="2235" spans="4:5" x14ac:dyDescent="0.25">
      <c r="D2235" s="1"/>
      <c r="E2235" s="1"/>
    </row>
    <row r="2236" spans="4:5" x14ac:dyDescent="0.25">
      <c r="D2236" s="1"/>
      <c r="E2236" s="1"/>
    </row>
    <row r="2237" spans="4:5" x14ac:dyDescent="0.25">
      <c r="D2237" s="1"/>
      <c r="E2237" s="1"/>
    </row>
    <row r="2238" spans="4:5" x14ac:dyDescent="0.25">
      <c r="D2238" s="1"/>
      <c r="E2238" s="1"/>
    </row>
    <row r="2239" spans="4:5" x14ac:dyDescent="0.25">
      <c r="D2239" s="1"/>
      <c r="E2239" s="1"/>
    </row>
    <row r="2240" spans="4:5" x14ac:dyDescent="0.25">
      <c r="D2240" s="1"/>
      <c r="E2240" s="1"/>
    </row>
    <row r="2241" spans="4:5" x14ac:dyDescent="0.25">
      <c r="D2241" s="1"/>
      <c r="E2241" s="1"/>
    </row>
    <row r="2242" spans="4:5" x14ac:dyDescent="0.25">
      <c r="D2242" s="1"/>
      <c r="E2242" s="1"/>
    </row>
    <row r="2243" spans="4:5" x14ac:dyDescent="0.25">
      <c r="D2243" s="1"/>
      <c r="E2243" s="1"/>
    </row>
    <row r="2244" spans="4:5" x14ac:dyDescent="0.25">
      <c r="D2244" s="1"/>
      <c r="E2244" s="1"/>
    </row>
    <row r="2245" spans="4:5" x14ac:dyDescent="0.25">
      <c r="D2245" s="1"/>
      <c r="E2245" s="1"/>
    </row>
    <row r="2246" spans="4:5" x14ac:dyDescent="0.25">
      <c r="D2246" s="1"/>
      <c r="E2246" s="1"/>
    </row>
    <row r="2247" spans="4:5" x14ac:dyDescent="0.25">
      <c r="D2247" s="1"/>
      <c r="E2247" s="1"/>
    </row>
    <row r="2248" spans="4:5" x14ac:dyDescent="0.25">
      <c r="D2248" s="1"/>
      <c r="E2248" s="1"/>
    </row>
    <row r="2249" spans="4:5" x14ac:dyDescent="0.25">
      <c r="D2249" s="1"/>
      <c r="E2249" s="1"/>
    </row>
    <row r="2250" spans="4:5" x14ac:dyDescent="0.25">
      <c r="D2250" s="1"/>
      <c r="E2250" s="1"/>
    </row>
    <row r="2251" spans="4:5" x14ac:dyDescent="0.25">
      <c r="D2251" s="1"/>
      <c r="E2251" s="1"/>
    </row>
    <row r="2252" spans="4:5" x14ac:dyDescent="0.25">
      <c r="D2252" s="1"/>
      <c r="E2252" s="1"/>
    </row>
    <row r="2253" spans="4:5" x14ac:dyDescent="0.25">
      <c r="D2253" s="1"/>
      <c r="E2253" s="1"/>
    </row>
    <row r="2254" spans="4:5" x14ac:dyDescent="0.25">
      <c r="D2254" s="1"/>
      <c r="E2254" s="1"/>
    </row>
    <row r="2255" spans="4:5" x14ac:dyDescent="0.25">
      <c r="D2255" s="1"/>
      <c r="E2255" s="1"/>
    </row>
    <row r="2256" spans="4:5" x14ac:dyDescent="0.25">
      <c r="D2256" s="1"/>
      <c r="E2256" s="1"/>
    </row>
    <row r="2257" spans="4:5" x14ac:dyDescent="0.25">
      <c r="D2257" s="1"/>
      <c r="E2257" s="1"/>
    </row>
    <row r="2258" spans="4:5" x14ac:dyDescent="0.25">
      <c r="D2258" s="1"/>
      <c r="E2258" s="1"/>
    </row>
    <row r="2259" spans="4:5" x14ac:dyDescent="0.25">
      <c r="D2259" s="1"/>
      <c r="E2259" s="1"/>
    </row>
    <row r="2260" spans="4:5" x14ac:dyDescent="0.25">
      <c r="D2260" s="1"/>
      <c r="E2260" s="1"/>
    </row>
    <row r="2261" spans="4:5" x14ac:dyDescent="0.25">
      <c r="D2261" s="1"/>
      <c r="E2261" s="1"/>
    </row>
    <row r="2262" spans="4:5" x14ac:dyDescent="0.25">
      <c r="D2262" s="1"/>
      <c r="E2262" s="1"/>
    </row>
    <row r="2263" spans="4:5" x14ac:dyDescent="0.25">
      <c r="D2263" s="1"/>
      <c r="E2263" s="1"/>
    </row>
    <row r="2264" spans="4:5" x14ac:dyDescent="0.25">
      <c r="D2264" s="1"/>
      <c r="E2264" s="1"/>
    </row>
    <row r="2265" spans="4:5" x14ac:dyDescent="0.25">
      <c r="D2265" s="1"/>
      <c r="E2265" s="1"/>
    </row>
    <row r="2266" spans="4:5" x14ac:dyDescent="0.25">
      <c r="D2266" s="1"/>
      <c r="E2266" s="1"/>
    </row>
    <row r="2267" spans="4:5" x14ac:dyDescent="0.25">
      <c r="D2267" s="1"/>
      <c r="E2267" s="1"/>
    </row>
    <row r="2268" spans="4:5" x14ac:dyDescent="0.25">
      <c r="D2268" s="1"/>
      <c r="E2268" s="1"/>
    </row>
    <row r="2269" spans="4:5" x14ac:dyDescent="0.25">
      <c r="D2269" s="1"/>
      <c r="E2269" s="1"/>
    </row>
    <row r="2270" spans="4:5" x14ac:dyDescent="0.25">
      <c r="D2270" s="1"/>
      <c r="E2270" s="1"/>
    </row>
    <row r="2271" spans="4:5" x14ac:dyDescent="0.25">
      <c r="D2271" s="1"/>
      <c r="E2271" s="1"/>
    </row>
    <row r="2272" spans="4:5" x14ac:dyDescent="0.25">
      <c r="D2272" s="1"/>
      <c r="E2272" s="1"/>
    </row>
    <row r="2273" spans="4:5" x14ac:dyDescent="0.25">
      <c r="D2273" s="1"/>
      <c r="E2273" s="1"/>
    </row>
    <row r="2274" spans="4:5" x14ac:dyDescent="0.25">
      <c r="D2274" s="1"/>
      <c r="E2274" s="1"/>
    </row>
    <row r="2275" spans="4:5" x14ac:dyDescent="0.25">
      <c r="D2275" s="1"/>
      <c r="E2275" s="1"/>
    </row>
    <row r="2276" spans="4:5" x14ac:dyDescent="0.25">
      <c r="D2276" s="1"/>
      <c r="E2276" s="1"/>
    </row>
    <row r="2277" spans="4:5" x14ac:dyDescent="0.25">
      <c r="D2277" s="1"/>
      <c r="E2277" s="1"/>
    </row>
    <row r="2278" spans="4:5" x14ac:dyDescent="0.25">
      <c r="D2278" s="1"/>
      <c r="E2278" s="1"/>
    </row>
    <row r="2279" spans="4:5" x14ac:dyDescent="0.25">
      <c r="D2279" s="1"/>
      <c r="E2279" s="1"/>
    </row>
    <row r="2280" spans="4:5" x14ac:dyDescent="0.25">
      <c r="D2280" s="1"/>
      <c r="E2280" s="1"/>
    </row>
    <row r="2281" spans="4:5" x14ac:dyDescent="0.25">
      <c r="D2281" s="1"/>
      <c r="E2281" s="1"/>
    </row>
    <row r="2282" spans="4:5" x14ac:dyDescent="0.25">
      <c r="D2282" s="1"/>
      <c r="E2282" s="1"/>
    </row>
    <row r="2283" spans="4:5" x14ac:dyDescent="0.25">
      <c r="D2283" s="1"/>
      <c r="E2283" s="1"/>
    </row>
    <row r="2284" spans="4:5" x14ac:dyDescent="0.25">
      <c r="D2284" s="1"/>
      <c r="E2284" s="1"/>
    </row>
    <row r="2285" spans="4:5" x14ac:dyDescent="0.25">
      <c r="D2285" s="1"/>
      <c r="E2285" s="1"/>
    </row>
    <row r="2286" spans="4:5" x14ac:dyDescent="0.25">
      <c r="D2286" s="1"/>
      <c r="E2286" s="1"/>
    </row>
    <row r="2287" spans="4:5" x14ac:dyDescent="0.25">
      <c r="D2287" s="1"/>
      <c r="E2287" s="1"/>
    </row>
    <row r="2288" spans="4:5" x14ac:dyDescent="0.25">
      <c r="D2288" s="1"/>
      <c r="E2288" s="1"/>
    </row>
    <row r="2289" spans="4:5" x14ac:dyDescent="0.25">
      <c r="D2289" s="1"/>
      <c r="E2289" s="1"/>
    </row>
    <row r="2290" spans="4:5" x14ac:dyDescent="0.25">
      <c r="D2290" s="1"/>
      <c r="E2290" s="1"/>
    </row>
    <row r="2291" spans="4:5" x14ac:dyDescent="0.25">
      <c r="D2291" s="1"/>
      <c r="E2291" s="1"/>
    </row>
    <row r="2292" spans="4:5" x14ac:dyDescent="0.25">
      <c r="D2292" s="1"/>
      <c r="E2292" s="1"/>
    </row>
    <row r="2293" spans="4:5" x14ac:dyDescent="0.25">
      <c r="D2293" s="1"/>
      <c r="E2293" s="1"/>
    </row>
    <row r="2294" spans="4:5" x14ac:dyDescent="0.25">
      <c r="D2294" s="1"/>
      <c r="E2294" s="1"/>
    </row>
    <row r="2295" spans="4:5" x14ac:dyDescent="0.25">
      <c r="D2295" s="1"/>
      <c r="E2295" s="1"/>
    </row>
    <row r="2296" spans="4:5" x14ac:dyDescent="0.25">
      <c r="D2296" s="1"/>
      <c r="E2296" s="1"/>
    </row>
    <row r="2297" spans="4:5" x14ac:dyDescent="0.25">
      <c r="D2297" s="1"/>
      <c r="E2297" s="1"/>
    </row>
    <row r="2298" spans="4:5" x14ac:dyDescent="0.25">
      <c r="D2298" s="1"/>
      <c r="E2298" s="1"/>
    </row>
    <row r="2299" spans="4:5" x14ac:dyDescent="0.25">
      <c r="D2299" s="1"/>
      <c r="E2299" s="1"/>
    </row>
    <row r="2300" spans="4:5" x14ac:dyDescent="0.25">
      <c r="D2300" s="1"/>
      <c r="E2300" s="1"/>
    </row>
    <row r="2301" spans="4:5" x14ac:dyDescent="0.25">
      <c r="D2301" s="1"/>
      <c r="E2301" s="1"/>
    </row>
    <row r="2302" spans="4:5" x14ac:dyDescent="0.25">
      <c r="D2302" s="1"/>
      <c r="E2302" s="1"/>
    </row>
    <row r="2303" spans="4:5" x14ac:dyDescent="0.25">
      <c r="D2303" s="1"/>
      <c r="E2303" s="1"/>
    </row>
    <row r="2304" spans="4:5" x14ac:dyDescent="0.25">
      <c r="D2304" s="1"/>
      <c r="E2304" s="1"/>
    </row>
    <row r="2305" spans="4:5" x14ac:dyDescent="0.25">
      <c r="D2305" s="1"/>
      <c r="E2305" s="1"/>
    </row>
    <row r="2306" spans="4:5" x14ac:dyDescent="0.25">
      <c r="D2306" s="1"/>
      <c r="E2306" s="1"/>
    </row>
    <row r="2307" spans="4:5" x14ac:dyDescent="0.25">
      <c r="D2307" s="1"/>
      <c r="E2307" s="1"/>
    </row>
    <row r="2308" spans="4:5" x14ac:dyDescent="0.25">
      <c r="D2308" s="1"/>
      <c r="E2308" s="1"/>
    </row>
    <row r="2309" spans="4:5" x14ac:dyDescent="0.25">
      <c r="D2309" s="1"/>
      <c r="E2309" s="1"/>
    </row>
    <row r="2310" spans="4:5" x14ac:dyDescent="0.25">
      <c r="D2310" s="1"/>
      <c r="E2310" s="1"/>
    </row>
    <row r="2311" spans="4:5" x14ac:dyDescent="0.25">
      <c r="D2311" s="1"/>
      <c r="E2311" s="1"/>
    </row>
    <row r="2312" spans="4:5" x14ac:dyDescent="0.25">
      <c r="D2312" s="1"/>
      <c r="E2312" s="1"/>
    </row>
    <row r="2313" spans="4:5" x14ac:dyDescent="0.25">
      <c r="D2313" s="1"/>
      <c r="E2313" s="1"/>
    </row>
    <row r="2314" spans="4:5" x14ac:dyDescent="0.25">
      <c r="D2314" s="1"/>
      <c r="E2314" s="1"/>
    </row>
    <row r="2315" spans="4:5" x14ac:dyDescent="0.25">
      <c r="D2315" s="1"/>
      <c r="E2315" s="1"/>
    </row>
    <row r="2316" spans="4:5" x14ac:dyDescent="0.25">
      <c r="D2316" s="1"/>
      <c r="E2316" s="1"/>
    </row>
    <row r="2317" spans="4:5" x14ac:dyDescent="0.25">
      <c r="D2317" s="1"/>
      <c r="E2317" s="1"/>
    </row>
    <row r="2318" spans="4:5" x14ac:dyDescent="0.25">
      <c r="D2318" s="1"/>
      <c r="E2318" s="1"/>
    </row>
    <row r="2319" spans="4:5" x14ac:dyDescent="0.25">
      <c r="D2319" s="1"/>
      <c r="E2319" s="1"/>
    </row>
    <row r="2320" spans="4:5" x14ac:dyDescent="0.25">
      <c r="D2320" s="1"/>
      <c r="E2320" s="1"/>
    </row>
    <row r="2321" spans="4:5" x14ac:dyDescent="0.25">
      <c r="D2321" s="1"/>
      <c r="E2321" s="1"/>
    </row>
    <row r="2322" spans="4:5" x14ac:dyDescent="0.25">
      <c r="D2322" s="1"/>
      <c r="E2322" s="1"/>
    </row>
    <row r="2323" spans="4:5" x14ac:dyDescent="0.25">
      <c r="D2323" s="1"/>
      <c r="E2323" s="1"/>
    </row>
    <row r="2324" spans="4:5" x14ac:dyDescent="0.25">
      <c r="D2324" s="1"/>
      <c r="E2324" s="1"/>
    </row>
    <row r="2325" spans="4:5" x14ac:dyDescent="0.25">
      <c r="D2325" s="1"/>
      <c r="E2325" s="1"/>
    </row>
    <row r="2326" spans="4:5" x14ac:dyDescent="0.25">
      <c r="D2326" s="1"/>
      <c r="E2326" s="1"/>
    </row>
    <row r="2327" spans="4:5" x14ac:dyDescent="0.25">
      <c r="D2327" s="1"/>
      <c r="E2327" s="1"/>
    </row>
    <row r="2328" spans="4:5" x14ac:dyDescent="0.25">
      <c r="D2328" s="1"/>
      <c r="E2328" s="1"/>
    </row>
    <row r="2329" spans="4:5" x14ac:dyDescent="0.25">
      <c r="D2329" s="1"/>
      <c r="E2329" s="1"/>
    </row>
    <row r="2330" spans="4:5" x14ac:dyDescent="0.25">
      <c r="D2330" s="1"/>
      <c r="E2330" s="1"/>
    </row>
    <row r="2331" spans="4:5" x14ac:dyDescent="0.25">
      <c r="D2331" s="1"/>
      <c r="E2331" s="1"/>
    </row>
    <row r="2332" spans="4:5" x14ac:dyDescent="0.25">
      <c r="D2332" s="1"/>
      <c r="E2332" s="1"/>
    </row>
    <row r="2333" spans="4:5" x14ac:dyDescent="0.25">
      <c r="D2333" s="1"/>
      <c r="E2333" s="1"/>
    </row>
    <row r="2334" spans="4:5" x14ac:dyDescent="0.25">
      <c r="D2334" s="1"/>
      <c r="E2334" s="1"/>
    </row>
    <row r="2335" spans="4:5" x14ac:dyDescent="0.25">
      <c r="D2335" s="1"/>
      <c r="E2335" s="1"/>
    </row>
    <row r="2336" spans="4:5" x14ac:dyDescent="0.25">
      <c r="D2336" s="1"/>
      <c r="E2336" s="1"/>
    </row>
    <row r="2337" spans="4:5" x14ac:dyDescent="0.25">
      <c r="D2337" s="1"/>
      <c r="E2337" s="1"/>
    </row>
    <row r="2338" spans="4:5" x14ac:dyDescent="0.25">
      <c r="D2338" s="1"/>
      <c r="E2338" s="1"/>
    </row>
    <row r="2339" spans="4:5" x14ac:dyDescent="0.25">
      <c r="D2339" s="1"/>
      <c r="E2339" s="1"/>
    </row>
    <row r="2340" spans="4:5" x14ac:dyDescent="0.25">
      <c r="D2340" s="1"/>
      <c r="E2340" s="1"/>
    </row>
    <row r="2341" spans="4:5" x14ac:dyDescent="0.25">
      <c r="D2341" s="1"/>
      <c r="E2341" s="1"/>
    </row>
    <row r="2342" spans="4:5" x14ac:dyDescent="0.25">
      <c r="D2342" s="1"/>
      <c r="E2342" s="1"/>
    </row>
    <row r="2343" spans="4:5" x14ac:dyDescent="0.25">
      <c r="D2343" s="1"/>
      <c r="E2343" s="1"/>
    </row>
    <row r="2344" spans="4:5" x14ac:dyDescent="0.25">
      <c r="D2344" s="1"/>
      <c r="E2344" s="1"/>
    </row>
    <row r="2345" spans="4:5" x14ac:dyDescent="0.25">
      <c r="D2345" s="1"/>
      <c r="E2345" s="1"/>
    </row>
    <row r="2346" spans="4:5" x14ac:dyDescent="0.25">
      <c r="D2346" s="1"/>
      <c r="E2346" s="1"/>
    </row>
    <row r="2347" spans="4:5" x14ac:dyDescent="0.25">
      <c r="D2347" s="1"/>
      <c r="E2347" s="1"/>
    </row>
    <row r="2348" spans="4:5" x14ac:dyDescent="0.25">
      <c r="D2348" s="1"/>
      <c r="E2348" s="1"/>
    </row>
    <row r="2349" spans="4:5" x14ac:dyDescent="0.25">
      <c r="D2349" s="1"/>
      <c r="E2349" s="1"/>
    </row>
    <row r="2350" spans="4:5" x14ac:dyDescent="0.25">
      <c r="D2350" s="1"/>
      <c r="E2350" s="1"/>
    </row>
    <row r="2351" spans="4:5" x14ac:dyDescent="0.25">
      <c r="D2351" s="1"/>
      <c r="E2351" s="1"/>
    </row>
    <row r="2352" spans="4:5" x14ac:dyDescent="0.25">
      <c r="D2352" s="1"/>
      <c r="E2352" s="1"/>
    </row>
    <row r="2353" spans="4:5" x14ac:dyDescent="0.25">
      <c r="D2353" s="1"/>
      <c r="E2353" s="1"/>
    </row>
    <row r="2354" spans="4:5" x14ac:dyDescent="0.25">
      <c r="D2354" s="1"/>
      <c r="E2354" s="1"/>
    </row>
    <row r="2355" spans="4:5" x14ac:dyDescent="0.25">
      <c r="D2355" s="1"/>
      <c r="E2355" s="1"/>
    </row>
    <row r="2356" spans="4:5" x14ac:dyDescent="0.25">
      <c r="D2356" s="1"/>
      <c r="E2356" s="1"/>
    </row>
    <row r="2357" spans="4:5" x14ac:dyDescent="0.25">
      <c r="D2357" s="1"/>
      <c r="E2357" s="1"/>
    </row>
    <row r="2358" spans="4:5" x14ac:dyDescent="0.25">
      <c r="D2358" s="1"/>
      <c r="E2358" s="1"/>
    </row>
    <row r="2359" spans="4:5" x14ac:dyDescent="0.25">
      <c r="D2359" s="1"/>
      <c r="E2359" s="1"/>
    </row>
    <row r="2360" spans="4:5" x14ac:dyDescent="0.25">
      <c r="D2360" s="1"/>
      <c r="E2360" s="1"/>
    </row>
    <row r="2361" spans="4:5" x14ac:dyDescent="0.25">
      <c r="D2361" s="1"/>
      <c r="E2361" s="1"/>
    </row>
    <row r="2362" spans="4:5" x14ac:dyDescent="0.25">
      <c r="D2362" s="1"/>
      <c r="E2362" s="1"/>
    </row>
    <row r="2363" spans="4:5" x14ac:dyDescent="0.25">
      <c r="D2363" s="1"/>
      <c r="E2363" s="1"/>
    </row>
    <row r="2364" spans="4:5" x14ac:dyDescent="0.25">
      <c r="D2364" s="1"/>
      <c r="E2364" s="1"/>
    </row>
    <row r="2365" spans="4:5" x14ac:dyDescent="0.25">
      <c r="D2365" s="1"/>
      <c r="E2365" s="1"/>
    </row>
    <row r="2366" spans="4:5" x14ac:dyDescent="0.25">
      <c r="D2366" s="1"/>
      <c r="E2366" s="1"/>
    </row>
    <row r="2367" spans="4:5" x14ac:dyDescent="0.25">
      <c r="D2367" s="1"/>
      <c r="E2367" s="1"/>
    </row>
    <row r="2368" spans="4:5" x14ac:dyDescent="0.25">
      <c r="D2368" s="1"/>
      <c r="E2368" s="1"/>
    </row>
    <row r="2369" spans="4:5" x14ac:dyDescent="0.25">
      <c r="D2369" s="1"/>
      <c r="E2369" s="1"/>
    </row>
    <row r="2370" spans="4:5" x14ac:dyDescent="0.25">
      <c r="D2370" s="1"/>
      <c r="E2370" s="1"/>
    </row>
    <row r="2371" spans="4:5" x14ac:dyDescent="0.25">
      <c r="D2371" s="1"/>
      <c r="E2371" s="1"/>
    </row>
    <row r="2372" spans="4:5" x14ac:dyDescent="0.25">
      <c r="D2372" s="1"/>
      <c r="E2372" s="1"/>
    </row>
    <row r="2373" spans="4:5" x14ac:dyDescent="0.25">
      <c r="D2373" s="1"/>
      <c r="E2373" s="1"/>
    </row>
    <row r="2374" spans="4:5" x14ac:dyDescent="0.25">
      <c r="D2374" s="1"/>
      <c r="E2374" s="1"/>
    </row>
    <row r="2375" spans="4:5" x14ac:dyDescent="0.25">
      <c r="D2375" s="1"/>
      <c r="E2375" s="1"/>
    </row>
    <row r="2376" spans="4:5" x14ac:dyDescent="0.25">
      <c r="D2376" s="1"/>
      <c r="E2376" s="1"/>
    </row>
    <row r="2377" spans="4:5" x14ac:dyDescent="0.25">
      <c r="D2377" s="1"/>
      <c r="E2377" s="1"/>
    </row>
    <row r="2378" spans="4:5" x14ac:dyDescent="0.25">
      <c r="D2378" s="1"/>
      <c r="E2378" s="1"/>
    </row>
    <row r="2379" spans="4:5" x14ac:dyDescent="0.25">
      <c r="D2379" s="1"/>
      <c r="E2379" s="1"/>
    </row>
    <row r="2380" spans="4:5" x14ac:dyDescent="0.25">
      <c r="D2380" s="1"/>
      <c r="E2380" s="1"/>
    </row>
    <row r="2381" spans="4:5" x14ac:dyDescent="0.25">
      <c r="D2381" s="1"/>
      <c r="E2381" s="1"/>
    </row>
    <row r="2382" spans="4:5" x14ac:dyDescent="0.25">
      <c r="D2382" s="1"/>
      <c r="E2382" s="1"/>
    </row>
    <row r="2383" spans="4:5" x14ac:dyDescent="0.25">
      <c r="D2383" s="1"/>
      <c r="E2383" s="1"/>
    </row>
    <row r="2384" spans="4:5" x14ac:dyDescent="0.25">
      <c r="D2384" s="1"/>
      <c r="E2384" s="1"/>
    </row>
    <row r="2385" spans="4:5" x14ac:dyDescent="0.25">
      <c r="D2385" s="1"/>
      <c r="E2385" s="1"/>
    </row>
    <row r="2386" spans="4:5" x14ac:dyDescent="0.25">
      <c r="D2386" s="1"/>
      <c r="E2386" s="1"/>
    </row>
    <row r="2387" spans="4:5" x14ac:dyDescent="0.25">
      <c r="D2387" s="1"/>
      <c r="E2387" s="1"/>
    </row>
    <row r="2388" spans="4:5" x14ac:dyDescent="0.25">
      <c r="D2388" s="1"/>
      <c r="E2388" s="1"/>
    </row>
    <row r="2389" spans="4:5" x14ac:dyDescent="0.25">
      <c r="D2389" s="1"/>
      <c r="E2389" s="1"/>
    </row>
    <row r="2390" spans="4:5" x14ac:dyDescent="0.25">
      <c r="D2390" s="1"/>
      <c r="E2390" s="1"/>
    </row>
    <row r="2391" spans="4:5" x14ac:dyDescent="0.25">
      <c r="D2391" s="1"/>
      <c r="E2391" s="1"/>
    </row>
    <row r="2392" spans="4:5" x14ac:dyDescent="0.25">
      <c r="D2392" s="1"/>
      <c r="E2392" s="1"/>
    </row>
    <row r="2393" spans="4:5" x14ac:dyDescent="0.25">
      <c r="D2393" s="1"/>
      <c r="E2393" s="1"/>
    </row>
    <row r="2394" spans="4:5" x14ac:dyDescent="0.25">
      <c r="D2394" s="1"/>
      <c r="E2394" s="1"/>
    </row>
    <row r="2395" spans="4:5" x14ac:dyDescent="0.25">
      <c r="D2395" s="1"/>
      <c r="E2395" s="1"/>
    </row>
    <row r="2396" spans="4:5" x14ac:dyDescent="0.25">
      <c r="D2396" s="1"/>
      <c r="E2396" s="1"/>
    </row>
    <row r="2397" spans="4:5" x14ac:dyDescent="0.25">
      <c r="D2397" s="1"/>
      <c r="E2397" s="1"/>
    </row>
    <row r="2398" spans="4:5" x14ac:dyDescent="0.25">
      <c r="D2398" s="1"/>
      <c r="E2398" s="1"/>
    </row>
    <row r="2399" spans="4:5" x14ac:dyDescent="0.25">
      <c r="D2399" s="1"/>
      <c r="E2399" s="1"/>
    </row>
    <row r="2400" spans="4:5" x14ac:dyDescent="0.25">
      <c r="D2400" s="1"/>
      <c r="E2400" s="1"/>
    </row>
    <row r="2401" spans="4:5" x14ac:dyDescent="0.25">
      <c r="D2401" s="1"/>
      <c r="E2401" s="1"/>
    </row>
    <row r="2402" spans="4:5" x14ac:dyDescent="0.25">
      <c r="D2402" s="1"/>
      <c r="E2402" s="1"/>
    </row>
    <row r="2403" spans="4:5" x14ac:dyDescent="0.25">
      <c r="D2403" s="1"/>
      <c r="E2403" s="1"/>
    </row>
    <row r="2404" spans="4:5" x14ac:dyDescent="0.25">
      <c r="D2404" s="1"/>
      <c r="E2404" s="1"/>
    </row>
    <row r="2405" spans="4:5" x14ac:dyDescent="0.25">
      <c r="D2405" s="1"/>
      <c r="E2405" s="1"/>
    </row>
    <row r="2406" spans="4:5" x14ac:dyDescent="0.25">
      <c r="D2406" s="1"/>
      <c r="E2406" s="1"/>
    </row>
    <row r="2407" spans="4:5" x14ac:dyDescent="0.25">
      <c r="D2407" s="1"/>
      <c r="E2407" s="1"/>
    </row>
    <row r="2408" spans="4:5" x14ac:dyDescent="0.25">
      <c r="D2408" s="1"/>
      <c r="E2408" s="1"/>
    </row>
    <row r="2409" spans="4:5" x14ac:dyDescent="0.25">
      <c r="D2409" s="1"/>
      <c r="E2409" s="1"/>
    </row>
    <row r="2410" spans="4:5" x14ac:dyDescent="0.25">
      <c r="D2410" s="1"/>
      <c r="E2410" s="1"/>
    </row>
    <row r="2411" spans="4:5" x14ac:dyDescent="0.25">
      <c r="D2411" s="1"/>
      <c r="E2411" s="1"/>
    </row>
    <row r="2412" spans="4:5" x14ac:dyDescent="0.25">
      <c r="D2412" s="1"/>
      <c r="E2412" s="1"/>
    </row>
    <row r="2413" spans="4:5" x14ac:dyDescent="0.25">
      <c r="D2413" s="1"/>
      <c r="E2413" s="1"/>
    </row>
    <row r="2414" spans="4:5" x14ac:dyDescent="0.25">
      <c r="D2414" s="1"/>
      <c r="E2414" s="1"/>
    </row>
    <row r="2415" spans="4:5" x14ac:dyDescent="0.25">
      <c r="D2415" s="1"/>
      <c r="E2415" s="1"/>
    </row>
    <row r="2416" spans="4:5" x14ac:dyDescent="0.25">
      <c r="D2416" s="1"/>
      <c r="E2416" s="1"/>
    </row>
    <row r="2417" spans="4:5" x14ac:dyDescent="0.25">
      <c r="D2417" s="1"/>
      <c r="E2417" s="1"/>
    </row>
    <row r="2418" spans="4:5" x14ac:dyDescent="0.25">
      <c r="D2418" s="1"/>
      <c r="E2418" s="1"/>
    </row>
    <row r="2419" spans="4:5" x14ac:dyDescent="0.25">
      <c r="D2419" s="1"/>
      <c r="E2419" s="1"/>
    </row>
    <row r="2420" spans="4:5" x14ac:dyDescent="0.25">
      <c r="D2420" s="1"/>
      <c r="E2420" s="1"/>
    </row>
    <row r="2421" spans="4:5" x14ac:dyDescent="0.25">
      <c r="D2421" s="1"/>
      <c r="E2421" s="1"/>
    </row>
    <row r="2422" spans="4:5" x14ac:dyDescent="0.25">
      <c r="D2422" s="1"/>
      <c r="E2422" s="1"/>
    </row>
    <row r="2423" spans="4:5" x14ac:dyDescent="0.25">
      <c r="D2423" s="1"/>
      <c r="E2423" s="1"/>
    </row>
    <row r="2424" spans="4:5" x14ac:dyDescent="0.25">
      <c r="D2424" s="1"/>
      <c r="E2424" s="1"/>
    </row>
    <row r="2425" spans="4:5" x14ac:dyDescent="0.25">
      <c r="D2425" s="1"/>
      <c r="E2425" s="1"/>
    </row>
    <row r="2426" spans="4:5" x14ac:dyDescent="0.25">
      <c r="D2426" s="1"/>
      <c r="E2426" s="1"/>
    </row>
    <row r="2427" spans="4:5" x14ac:dyDescent="0.25">
      <c r="D2427" s="1"/>
      <c r="E2427" s="1"/>
    </row>
    <row r="2428" spans="4:5" x14ac:dyDescent="0.25">
      <c r="D2428" s="1"/>
      <c r="E2428" s="1"/>
    </row>
    <row r="2429" spans="4:5" x14ac:dyDescent="0.25">
      <c r="D2429" s="1"/>
      <c r="E2429" s="1"/>
    </row>
    <row r="2430" spans="4:5" x14ac:dyDescent="0.25">
      <c r="D2430" s="1"/>
      <c r="E2430" s="1"/>
    </row>
    <row r="2431" spans="4:5" x14ac:dyDescent="0.25">
      <c r="D2431" s="1"/>
      <c r="E2431" s="1"/>
    </row>
    <row r="2432" spans="4:5" x14ac:dyDescent="0.25">
      <c r="D2432" s="1"/>
      <c r="E2432" s="1"/>
    </row>
    <row r="2433" spans="4:5" x14ac:dyDescent="0.25">
      <c r="D2433" s="1"/>
      <c r="E2433" s="1"/>
    </row>
    <row r="2434" spans="4:5" x14ac:dyDescent="0.25">
      <c r="D2434" s="1"/>
      <c r="E2434" s="1"/>
    </row>
    <row r="2435" spans="4:5" x14ac:dyDescent="0.25">
      <c r="D2435" s="1"/>
      <c r="E2435" s="1"/>
    </row>
    <row r="2436" spans="4:5" x14ac:dyDescent="0.25">
      <c r="D2436" s="1"/>
      <c r="E2436" s="1"/>
    </row>
    <row r="2437" spans="4:5" x14ac:dyDescent="0.25">
      <c r="D2437" s="1"/>
      <c r="E2437" s="1"/>
    </row>
    <row r="2438" spans="4:5" x14ac:dyDescent="0.25">
      <c r="D2438" s="1"/>
      <c r="E2438" s="1"/>
    </row>
    <row r="2439" spans="4:5" x14ac:dyDescent="0.25">
      <c r="D2439" s="1"/>
      <c r="E2439" s="1"/>
    </row>
    <row r="2440" spans="4:5" x14ac:dyDescent="0.25">
      <c r="D2440" s="1"/>
      <c r="E2440" s="1"/>
    </row>
    <row r="2441" spans="4:5" x14ac:dyDescent="0.25">
      <c r="D2441" s="1"/>
      <c r="E2441" s="1"/>
    </row>
    <row r="2442" spans="4:5" x14ac:dyDescent="0.25">
      <c r="D2442" s="1"/>
      <c r="E2442" s="1"/>
    </row>
    <row r="2443" spans="4:5" x14ac:dyDescent="0.25">
      <c r="D2443" s="1"/>
      <c r="E2443" s="1"/>
    </row>
    <row r="2444" spans="4:5" x14ac:dyDescent="0.25">
      <c r="D2444" s="1"/>
      <c r="E2444" s="1"/>
    </row>
    <row r="2445" spans="4:5" x14ac:dyDescent="0.25">
      <c r="D2445" s="1"/>
      <c r="E2445" s="1"/>
    </row>
    <row r="2446" spans="4:5" x14ac:dyDescent="0.25">
      <c r="D2446" s="1"/>
      <c r="E2446" s="1"/>
    </row>
    <row r="2447" spans="4:5" x14ac:dyDescent="0.25">
      <c r="D2447" s="1"/>
      <c r="E2447" s="1"/>
    </row>
    <row r="2448" spans="4:5" x14ac:dyDescent="0.25">
      <c r="D2448" s="1"/>
      <c r="E2448" s="1"/>
    </row>
    <row r="2449" spans="4:5" x14ac:dyDescent="0.25">
      <c r="D2449" s="1"/>
      <c r="E2449" s="1"/>
    </row>
    <row r="2450" spans="4:5" x14ac:dyDescent="0.25">
      <c r="D2450" s="1"/>
      <c r="E2450" s="1"/>
    </row>
    <row r="2451" spans="4:5" x14ac:dyDescent="0.25">
      <c r="D2451" s="1"/>
      <c r="E2451" s="1"/>
    </row>
    <row r="2452" spans="4:5" x14ac:dyDescent="0.25">
      <c r="D2452" s="1"/>
      <c r="E2452" s="1"/>
    </row>
    <row r="2453" spans="4:5" x14ac:dyDescent="0.25">
      <c r="D2453" s="1"/>
      <c r="E2453" s="1"/>
    </row>
    <row r="2454" spans="4:5" x14ac:dyDescent="0.25">
      <c r="D2454" s="1"/>
      <c r="E2454" s="1"/>
    </row>
    <row r="2455" spans="4:5" x14ac:dyDescent="0.25">
      <c r="D2455" s="1"/>
      <c r="E2455" s="1"/>
    </row>
    <row r="2456" spans="4:5" x14ac:dyDescent="0.25">
      <c r="D2456" s="1"/>
      <c r="E2456" s="1"/>
    </row>
    <row r="2457" spans="4:5" x14ac:dyDescent="0.25">
      <c r="D2457" s="1"/>
      <c r="E2457" s="1"/>
    </row>
    <row r="2458" spans="4:5" x14ac:dyDescent="0.25">
      <c r="D2458" s="1"/>
      <c r="E2458" s="1"/>
    </row>
    <row r="2459" spans="4:5" x14ac:dyDescent="0.25">
      <c r="D2459" s="1"/>
      <c r="E2459" s="1"/>
    </row>
    <row r="2460" spans="4:5" x14ac:dyDescent="0.25">
      <c r="D2460" s="1"/>
      <c r="E2460" s="1"/>
    </row>
    <row r="2461" spans="4:5" x14ac:dyDescent="0.25">
      <c r="D2461" s="1"/>
      <c r="E2461" s="1"/>
    </row>
    <row r="2462" spans="4:5" x14ac:dyDescent="0.25">
      <c r="D2462" s="1"/>
      <c r="E2462" s="1"/>
    </row>
    <row r="2463" spans="4:5" x14ac:dyDescent="0.25">
      <c r="D2463" s="1"/>
      <c r="E2463" s="1"/>
    </row>
    <row r="2464" spans="4:5" x14ac:dyDescent="0.25">
      <c r="D2464" s="1"/>
      <c r="E2464" s="1"/>
    </row>
    <row r="2465" spans="4:5" x14ac:dyDescent="0.25">
      <c r="D2465" s="1"/>
      <c r="E2465" s="1"/>
    </row>
    <row r="2466" spans="4:5" x14ac:dyDescent="0.25">
      <c r="D2466" s="1"/>
      <c r="E2466" s="1"/>
    </row>
    <row r="2467" spans="4:5" x14ac:dyDescent="0.25">
      <c r="D2467" s="1"/>
      <c r="E2467" s="1"/>
    </row>
    <row r="2468" spans="4:5" x14ac:dyDescent="0.25">
      <c r="D2468" s="1"/>
      <c r="E2468" s="1"/>
    </row>
    <row r="2469" spans="4:5" x14ac:dyDescent="0.25">
      <c r="D2469" s="1"/>
      <c r="E2469" s="1"/>
    </row>
    <row r="2470" spans="4:5" x14ac:dyDescent="0.25">
      <c r="D2470" s="1"/>
      <c r="E2470" s="1"/>
    </row>
    <row r="2471" spans="4:5" x14ac:dyDescent="0.25">
      <c r="D2471" s="1"/>
      <c r="E2471" s="1"/>
    </row>
    <row r="2472" spans="4:5" x14ac:dyDescent="0.25">
      <c r="D2472" s="1"/>
      <c r="E2472" s="1"/>
    </row>
    <row r="2473" spans="4:5" x14ac:dyDescent="0.25">
      <c r="D2473" s="1"/>
      <c r="E2473" s="1"/>
    </row>
    <row r="2474" spans="4:5" x14ac:dyDescent="0.25">
      <c r="D2474" s="1"/>
      <c r="E2474" s="1"/>
    </row>
    <row r="2475" spans="4:5" x14ac:dyDescent="0.25">
      <c r="D2475" s="1"/>
      <c r="E2475" s="1"/>
    </row>
    <row r="2476" spans="4:5" x14ac:dyDescent="0.25">
      <c r="D2476" s="1"/>
      <c r="E2476" s="1"/>
    </row>
    <row r="2477" spans="4:5" x14ac:dyDescent="0.25">
      <c r="D2477" s="1"/>
      <c r="E2477" s="1"/>
    </row>
    <row r="2478" spans="4:5" x14ac:dyDescent="0.25">
      <c r="D2478" s="1"/>
      <c r="E2478" s="1"/>
    </row>
    <row r="2479" spans="4:5" x14ac:dyDescent="0.25">
      <c r="D2479" s="1"/>
      <c r="E2479" s="1"/>
    </row>
    <row r="2480" spans="4:5" x14ac:dyDescent="0.25">
      <c r="D2480" s="1"/>
      <c r="E2480" s="1"/>
    </row>
    <row r="2481" spans="4:5" x14ac:dyDescent="0.25">
      <c r="D2481" s="1"/>
      <c r="E2481" s="1"/>
    </row>
    <row r="2482" spans="4:5" x14ac:dyDescent="0.25">
      <c r="D2482" s="1"/>
      <c r="E2482" s="1"/>
    </row>
    <row r="2483" spans="4:5" x14ac:dyDescent="0.25">
      <c r="D2483" s="1"/>
      <c r="E2483" s="1"/>
    </row>
    <row r="2484" spans="4:5" x14ac:dyDescent="0.25">
      <c r="D2484" s="1"/>
      <c r="E2484" s="1"/>
    </row>
    <row r="2485" spans="4:5" x14ac:dyDescent="0.25">
      <c r="D2485" s="1"/>
      <c r="E2485" s="1"/>
    </row>
    <row r="2486" spans="4:5" x14ac:dyDescent="0.25">
      <c r="D2486" s="1"/>
      <c r="E2486" s="1"/>
    </row>
    <row r="2487" spans="4:5" x14ac:dyDescent="0.25">
      <c r="D2487" s="1"/>
      <c r="E2487" s="1"/>
    </row>
    <row r="2488" spans="4:5" x14ac:dyDescent="0.25">
      <c r="D2488" s="1"/>
      <c r="E2488" s="1"/>
    </row>
    <row r="2489" spans="4:5" x14ac:dyDescent="0.25">
      <c r="D2489" s="1"/>
      <c r="E2489" s="1"/>
    </row>
    <row r="2490" spans="4:5" x14ac:dyDescent="0.25">
      <c r="D2490" s="1"/>
      <c r="E2490" s="1"/>
    </row>
    <row r="2491" spans="4:5" x14ac:dyDescent="0.25">
      <c r="D2491" s="1"/>
      <c r="E2491" s="1"/>
    </row>
    <row r="2492" spans="4:5" x14ac:dyDescent="0.25">
      <c r="D2492" s="1"/>
      <c r="E2492" s="1"/>
    </row>
    <row r="2493" spans="4:5" x14ac:dyDescent="0.25">
      <c r="D2493" s="1"/>
      <c r="E2493" s="1"/>
    </row>
    <row r="2494" spans="4:5" x14ac:dyDescent="0.25">
      <c r="D2494" s="1"/>
      <c r="E2494" s="1"/>
    </row>
    <row r="2495" spans="4:5" x14ac:dyDescent="0.25">
      <c r="D2495" s="1"/>
      <c r="E2495" s="1"/>
    </row>
    <row r="2496" spans="4:5" x14ac:dyDescent="0.25">
      <c r="D2496" s="1"/>
      <c r="E2496" s="1"/>
    </row>
    <row r="2497" spans="4:5" x14ac:dyDescent="0.25">
      <c r="D2497" s="1"/>
      <c r="E2497" s="1"/>
    </row>
    <row r="2498" spans="4:5" x14ac:dyDescent="0.25">
      <c r="D2498" s="1"/>
      <c r="E2498" s="1"/>
    </row>
    <row r="2499" spans="4:5" x14ac:dyDescent="0.25">
      <c r="D2499" s="1"/>
      <c r="E2499" s="1"/>
    </row>
    <row r="2500" spans="4:5" x14ac:dyDescent="0.25">
      <c r="D2500" s="1"/>
      <c r="E2500" s="1"/>
    </row>
    <row r="2501" spans="4:5" x14ac:dyDescent="0.25">
      <c r="D2501" s="1"/>
      <c r="E2501" s="1"/>
    </row>
    <row r="2502" spans="4:5" x14ac:dyDescent="0.25">
      <c r="D2502" s="1"/>
      <c r="E2502" s="1"/>
    </row>
    <row r="2503" spans="4:5" x14ac:dyDescent="0.25">
      <c r="D2503" s="1"/>
      <c r="E2503" s="1"/>
    </row>
    <row r="2504" spans="4:5" x14ac:dyDescent="0.25">
      <c r="D2504" s="1"/>
      <c r="E2504" s="1"/>
    </row>
    <row r="2505" spans="4:5" x14ac:dyDescent="0.25">
      <c r="D2505" s="1"/>
      <c r="E2505" s="1"/>
    </row>
    <row r="2506" spans="4:5" x14ac:dyDescent="0.25">
      <c r="D2506" s="1"/>
      <c r="E2506" s="1"/>
    </row>
    <row r="2507" spans="4:5" x14ac:dyDescent="0.25">
      <c r="D2507" s="1"/>
      <c r="E2507" s="1"/>
    </row>
    <row r="2508" spans="4:5" x14ac:dyDescent="0.25">
      <c r="D2508" s="1"/>
      <c r="E2508" s="1"/>
    </row>
    <row r="2509" spans="4:5" x14ac:dyDescent="0.25">
      <c r="D2509" s="1"/>
      <c r="E2509" s="1"/>
    </row>
    <row r="2510" spans="4:5" x14ac:dyDescent="0.25">
      <c r="D2510" s="1"/>
      <c r="E2510" s="1"/>
    </row>
    <row r="2511" spans="4:5" x14ac:dyDescent="0.25">
      <c r="D2511" s="1"/>
      <c r="E2511" s="1"/>
    </row>
    <row r="2512" spans="4:5" x14ac:dyDescent="0.25">
      <c r="D2512" s="1"/>
      <c r="E2512" s="1"/>
    </row>
    <row r="2513" spans="4:5" x14ac:dyDescent="0.25">
      <c r="D2513" s="1"/>
      <c r="E2513" s="1"/>
    </row>
    <row r="2514" spans="4:5" x14ac:dyDescent="0.25">
      <c r="D2514" s="1"/>
      <c r="E2514" s="1"/>
    </row>
    <row r="2515" spans="4:5" x14ac:dyDescent="0.25">
      <c r="D2515" s="1"/>
      <c r="E2515" s="1"/>
    </row>
    <row r="2516" spans="4:5" x14ac:dyDescent="0.25">
      <c r="D2516" s="1"/>
      <c r="E2516" s="1"/>
    </row>
    <row r="2517" spans="4:5" x14ac:dyDescent="0.25">
      <c r="D2517" s="1"/>
      <c r="E2517" s="1"/>
    </row>
    <row r="2518" spans="4:5" x14ac:dyDescent="0.25">
      <c r="D2518" s="1"/>
      <c r="E2518" s="1"/>
    </row>
    <row r="2519" spans="4:5" x14ac:dyDescent="0.25">
      <c r="D2519" s="1"/>
      <c r="E2519" s="1"/>
    </row>
    <row r="2520" spans="4:5" x14ac:dyDescent="0.25">
      <c r="D2520" s="1"/>
      <c r="E2520" s="1"/>
    </row>
    <row r="2521" spans="4:5" x14ac:dyDescent="0.25">
      <c r="D2521" s="1"/>
      <c r="E2521" s="1"/>
    </row>
    <row r="2522" spans="4:5" x14ac:dyDescent="0.25">
      <c r="D2522" s="1"/>
      <c r="E2522" s="1"/>
    </row>
    <row r="2523" spans="4:5" x14ac:dyDescent="0.25">
      <c r="D2523" s="1"/>
      <c r="E2523" s="1"/>
    </row>
    <row r="2524" spans="4:5" x14ac:dyDescent="0.25">
      <c r="D2524" s="1"/>
      <c r="E2524" s="1"/>
    </row>
    <row r="2525" spans="4:5" x14ac:dyDescent="0.25">
      <c r="D2525" s="1"/>
      <c r="E2525" s="1"/>
    </row>
    <row r="2526" spans="4:5" x14ac:dyDescent="0.25">
      <c r="D2526" s="1"/>
      <c r="E2526" s="1"/>
    </row>
    <row r="2527" spans="4:5" x14ac:dyDescent="0.25">
      <c r="D2527" s="1"/>
      <c r="E2527" s="1"/>
    </row>
    <row r="2528" spans="4:5" x14ac:dyDescent="0.25">
      <c r="D2528" s="1"/>
      <c r="E2528" s="1"/>
    </row>
    <row r="2529" spans="4:5" x14ac:dyDescent="0.25">
      <c r="D2529" s="1"/>
      <c r="E2529" s="1"/>
    </row>
    <row r="2530" spans="4:5" x14ac:dyDescent="0.25">
      <c r="D2530" s="1"/>
      <c r="E2530" s="1"/>
    </row>
    <row r="2531" spans="4:5" x14ac:dyDescent="0.25">
      <c r="D2531" s="1"/>
      <c r="E2531" s="1"/>
    </row>
    <row r="2532" spans="4:5" x14ac:dyDescent="0.25">
      <c r="D2532" s="1"/>
      <c r="E2532" s="1"/>
    </row>
    <row r="2533" spans="4:5" x14ac:dyDescent="0.25">
      <c r="D2533" s="1"/>
      <c r="E2533" s="1"/>
    </row>
    <row r="2534" spans="4:5" x14ac:dyDescent="0.25">
      <c r="D2534" s="1"/>
      <c r="E2534" s="1"/>
    </row>
    <row r="2535" spans="4:5" x14ac:dyDescent="0.25">
      <c r="D2535" s="1"/>
      <c r="E2535" s="1"/>
    </row>
    <row r="2536" spans="4:5" x14ac:dyDescent="0.25">
      <c r="D2536" s="1"/>
      <c r="E2536" s="1"/>
    </row>
    <row r="2537" spans="4:5" x14ac:dyDescent="0.25">
      <c r="D2537" s="1"/>
      <c r="E2537" s="1"/>
    </row>
    <row r="2538" spans="4:5" x14ac:dyDescent="0.25">
      <c r="D2538" s="1"/>
      <c r="E2538" s="1"/>
    </row>
    <row r="2539" spans="4:5" x14ac:dyDescent="0.25">
      <c r="D2539" s="1"/>
      <c r="E2539" s="1"/>
    </row>
    <row r="2540" spans="4:5" x14ac:dyDescent="0.25">
      <c r="D2540" s="1"/>
      <c r="E2540" s="1"/>
    </row>
    <row r="2541" spans="4:5" x14ac:dyDescent="0.25">
      <c r="D2541" s="1"/>
      <c r="E2541" s="1"/>
    </row>
    <row r="2542" spans="4:5" x14ac:dyDescent="0.25">
      <c r="D2542" s="1"/>
      <c r="E2542" s="1"/>
    </row>
    <row r="2543" spans="4:5" x14ac:dyDescent="0.25">
      <c r="D2543" s="1"/>
      <c r="E2543" s="1"/>
    </row>
    <row r="2544" spans="4:5" x14ac:dyDescent="0.25">
      <c r="D2544" s="1"/>
      <c r="E2544" s="1"/>
    </row>
    <row r="2545" spans="4:5" x14ac:dyDescent="0.25">
      <c r="D2545" s="1"/>
      <c r="E2545" s="1"/>
    </row>
    <row r="2546" spans="4:5" x14ac:dyDescent="0.25">
      <c r="D2546" s="1"/>
      <c r="E2546" s="1"/>
    </row>
    <row r="2547" spans="4:5" x14ac:dyDescent="0.25">
      <c r="D2547" s="1"/>
      <c r="E2547" s="1"/>
    </row>
    <row r="2548" spans="4:5" x14ac:dyDescent="0.25">
      <c r="D2548" s="1"/>
      <c r="E2548" s="1"/>
    </row>
    <row r="2549" spans="4:5" x14ac:dyDescent="0.25">
      <c r="D2549" s="1"/>
      <c r="E2549" s="1"/>
    </row>
    <row r="2550" spans="4:5" x14ac:dyDescent="0.25">
      <c r="D2550" s="1"/>
      <c r="E2550" s="1"/>
    </row>
    <row r="2551" spans="4:5" x14ac:dyDescent="0.25">
      <c r="D2551" s="1"/>
      <c r="E2551" s="1"/>
    </row>
    <row r="2552" spans="4:5" x14ac:dyDescent="0.25">
      <c r="D2552" s="1"/>
      <c r="E2552" s="1"/>
    </row>
    <row r="2553" spans="4:5" x14ac:dyDescent="0.25">
      <c r="D2553" s="1"/>
      <c r="E2553" s="1"/>
    </row>
    <row r="2554" spans="4:5" x14ac:dyDescent="0.25">
      <c r="D2554" s="1"/>
      <c r="E2554" s="1"/>
    </row>
    <row r="2555" spans="4:5" x14ac:dyDescent="0.25">
      <c r="D2555" s="1"/>
      <c r="E2555" s="1"/>
    </row>
    <row r="2556" spans="4:5" x14ac:dyDescent="0.25">
      <c r="D2556" s="1"/>
      <c r="E2556" s="1"/>
    </row>
    <row r="2557" spans="4:5" x14ac:dyDescent="0.25">
      <c r="D2557" s="1"/>
      <c r="E2557" s="1"/>
    </row>
    <row r="2558" spans="4:5" x14ac:dyDescent="0.25">
      <c r="D2558" s="1"/>
      <c r="E2558" s="1"/>
    </row>
    <row r="2559" spans="4:5" x14ac:dyDescent="0.25">
      <c r="D2559" s="1"/>
      <c r="E2559" s="1"/>
    </row>
    <row r="2560" spans="4:5" x14ac:dyDescent="0.25">
      <c r="D2560" s="1"/>
      <c r="E2560" s="1"/>
    </row>
    <row r="2561" spans="4:5" x14ac:dyDescent="0.25">
      <c r="D2561" s="1"/>
      <c r="E2561" s="1"/>
    </row>
    <row r="2562" spans="4:5" x14ac:dyDescent="0.25">
      <c r="D2562" s="1"/>
      <c r="E2562" s="1"/>
    </row>
    <row r="2563" spans="4:5" x14ac:dyDescent="0.25">
      <c r="D2563" s="1"/>
      <c r="E2563" s="1"/>
    </row>
    <row r="2564" spans="4:5" x14ac:dyDescent="0.25">
      <c r="D2564" s="1"/>
      <c r="E2564" s="1"/>
    </row>
    <row r="2565" spans="4:5" x14ac:dyDescent="0.25">
      <c r="D2565" s="1"/>
      <c r="E2565" s="1"/>
    </row>
    <row r="2566" spans="4:5" x14ac:dyDescent="0.25">
      <c r="D2566" s="1"/>
      <c r="E2566" s="1"/>
    </row>
    <row r="2567" spans="4:5" x14ac:dyDescent="0.25">
      <c r="D2567" s="1"/>
      <c r="E2567" s="1"/>
    </row>
    <row r="2568" spans="4:5" x14ac:dyDescent="0.25">
      <c r="D2568" s="1"/>
      <c r="E2568" s="1"/>
    </row>
    <row r="2569" spans="4:5" x14ac:dyDescent="0.25">
      <c r="D2569" s="1"/>
      <c r="E2569" s="1"/>
    </row>
    <row r="2570" spans="4:5" x14ac:dyDescent="0.25">
      <c r="D2570" s="1"/>
      <c r="E2570" s="1"/>
    </row>
    <row r="2571" spans="4:5" x14ac:dyDescent="0.25">
      <c r="D2571" s="1"/>
      <c r="E2571" s="1"/>
    </row>
    <row r="2572" spans="4:5" x14ac:dyDescent="0.25">
      <c r="D2572" s="1"/>
      <c r="E2572" s="1"/>
    </row>
    <row r="2573" spans="4:5" x14ac:dyDescent="0.25">
      <c r="D2573" s="1"/>
      <c r="E2573" s="1"/>
    </row>
    <row r="2574" spans="4:5" x14ac:dyDescent="0.25">
      <c r="D2574" s="1"/>
      <c r="E2574" s="1"/>
    </row>
    <row r="2575" spans="4:5" x14ac:dyDescent="0.25">
      <c r="D2575" s="1"/>
      <c r="E2575" s="1"/>
    </row>
    <row r="2576" spans="4:5" x14ac:dyDescent="0.25">
      <c r="D2576" s="1"/>
      <c r="E2576" s="1"/>
    </row>
    <row r="2577" spans="4:5" x14ac:dyDescent="0.25">
      <c r="D2577" s="1"/>
      <c r="E2577" s="1"/>
    </row>
    <row r="2578" spans="4:5" x14ac:dyDescent="0.25">
      <c r="D2578" s="1"/>
      <c r="E2578" s="1"/>
    </row>
    <row r="2579" spans="4:5" x14ac:dyDescent="0.25">
      <c r="D2579" s="1"/>
      <c r="E2579" s="1"/>
    </row>
    <row r="2580" spans="4:5" x14ac:dyDescent="0.25">
      <c r="D2580" s="1"/>
      <c r="E2580" s="1"/>
    </row>
    <row r="2581" spans="4:5" x14ac:dyDescent="0.25">
      <c r="D2581" s="1"/>
      <c r="E2581" s="1"/>
    </row>
    <row r="2582" spans="4:5" x14ac:dyDescent="0.25">
      <c r="D2582" s="1"/>
      <c r="E2582" s="1"/>
    </row>
    <row r="2583" spans="4:5" x14ac:dyDescent="0.25">
      <c r="D2583" s="1"/>
      <c r="E2583" s="1"/>
    </row>
    <row r="2584" spans="4:5" x14ac:dyDescent="0.25">
      <c r="D2584" s="1"/>
      <c r="E2584" s="1"/>
    </row>
    <row r="2585" spans="4:5" x14ac:dyDescent="0.25">
      <c r="D2585" s="1"/>
      <c r="E2585" s="1"/>
    </row>
    <row r="2586" spans="4:5" x14ac:dyDescent="0.25">
      <c r="D2586" s="1"/>
      <c r="E2586" s="1"/>
    </row>
    <row r="2587" spans="4:5" x14ac:dyDescent="0.25">
      <c r="D2587" s="1"/>
      <c r="E2587" s="1"/>
    </row>
    <row r="2588" spans="4:5" x14ac:dyDescent="0.25">
      <c r="D2588" s="1"/>
      <c r="E2588" s="1"/>
    </row>
    <row r="2589" spans="4:5" x14ac:dyDescent="0.25">
      <c r="D2589" s="1"/>
      <c r="E2589" s="1"/>
    </row>
    <row r="2590" spans="4:5" x14ac:dyDescent="0.25">
      <c r="D2590" s="1"/>
      <c r="E2590" s="1"/>
    </row>
    <row r="2591" spans="4:5" x14ac:dyDescent="0.25">
      <c r="D2591" s="1"/>
      <c r="E2591" s="1"/>
    </row>
    <row r="2592" spans="4:5" x14ac:dyDescent="0.25">
      <c r="D2592" s="1"/>
      <c r="E2592" s="1"/>
    </row>
    <row r="2593" spans="4:5" x14ac:dyDescent="0.25">
      <c r="D2593" s="1"/>
      <c r="E2593" s="1"/>
    </row>
    <row r="2594" spans="4:5" x14ac:dyDescent="0.25">
      <c r="D2594" s="1"/>
      <c r="E2594" s="1"/>
    </row>
    <row r="2595" spans="4:5" x14ac:dyDescent="0.25">
      <c r="D2595" s="1"/>
      <c r="E2595" s="1"/>
    </row>
    <row r="2596" spans="4:5" x14ac:dyDescent="0.25">
      <c r="D2596" s="1"/>
      <c r="E2596" s="1"/>
    </row>
    <row r="2597" spans="4:5" x14ac:dyDescent="0.25">
      <c r="D2597" s="1"/>
      <c r="E2597" s="1"/>
    </row>
    <row r="2598" spans="4:5" x14ac:dyDescent="0.25">
      <c r="D2598" s="1"/>
      <c r="E2598" s="1"/>
    </row>
    <row r="2599" spans="4:5" x14ac:dyDescent="0.25">
      <c r="D2599" s="1"/>
      <c r="E2599" s="1"/>
    </row>
    <row r="2600" spans="4:5" x14ac:dyDescent="0.25">
      <c r="D2600" s="1"/>
      <c r="E2600" s="1"/>
    </row>
    <row r="2601" spans="4:5" x14ac:dyDescent="0.25">
      <c r="D2601" s="1"/>
      <c r="E2601" s="1"/>
    </row>
    <row r="2602" spans="4:5" x14ac:dyDescent="0.25">
      <c r="D2602" s="1"/>
      <c r="E2602" s="1"/>
    </row>
    <row r="2603" spans="4:5" x14ac:dyDescent="0.25">
      <c r="D2603" s="1"/>
      <c r="E2603" s="1"/>
    </row>
    <row r="2604" spans="4:5" x14ac:dyDescent="0.25">
      <c r="D2604" s="1"/>
      <c r="E2604" s="1"/>
    </row>
    <row r="2605" spans="4:5" x14ac:dyDescent="0.25">
      <c r="D2605" s="1"/>
      <c r="E2605" s="1"/>
    </row>
    <row r="2606" spans="4:5" x14ac:dyDescent="0.25">
      <c r="D2606" s="1"/>
      <c r="E2606" s="1"/>
    </row>
    <row r="2607" spans="4:5" x14ac:dyDescent="0.25">
      <c r="D2607" s="1"/>
      <c r="E2607" s="1"/>
    </row>
    <row r="2608" spans="4:5" x14ac:dyDescent="0.25">
      <c r="D2608" s="1"/>
      <c r="E2608" s="1"/>
    </row>
    <row r="2609" spans="4:5" x14ac:dyDescent="0.25">
      <c r="D2609" s="1"/>
      <c r="E2609" s="1"/>
    </row>
    <row r="2610" spans="4:5" x14ac:dyDescent="0.25">
      <c r="D2610" s="1"/>
      <c r="E2610" s="1"/>
    </row>
    <row r="2611" spans="4:5" x14ac:dyDescent="0.25">
      <c r="D2611" s="1"/>
      <c r="E2611" s="1"/>
    </row>
    <row r="2612" spans="4:5" x14ac:dyDescent="0.25">
      <c r="D2612" s="1"/>
      <c r="E2612" s="1"/>
    </row>
    <row r="2613" spans="4:5" x14ac:dyDescent="0.25">
      <c r="D2613" s="1"/>
      <c r="E2613" s="1"/>
    </row>
    <row r="2614" spans="4:5" x14ac:dyDescent="0.25">
      <c r="D2614" s="1"/>
      <c r="E2614" s="1"/>
    </row>
    <row r="2615" spans="4:5" x14ac:dyDescent="0.25">
      <c r="D2615" s="1"/>
      <c r="E2615" s="1"/>
    </row>
    <row r="2616" spans="4:5" x14ac:dyDescent="0.25">
      <c r="D2616" s="1"/>
      <c r="E2616" s="1"/>
    </row>
    <row r="2617" spans="4:5" x14ac:dyDescent="0.25">
      <c r="D2617" s="1"/>
      <c r="E2617" s="1"/>
    </row>
    <row r="2618" spans="4:5" x14ac:dyDescent="0.25">
      <c r="D2618" s="1"/>
      <c r="E2618" s="1"/>
    </row>
    <row r="2619" spans="4:5" x14ac:dyDescent="0.25">
      <c r="D2619" s="1"/>
      <c r="E2619" s="1"/>
    </row>
    <row r="2620" spans="4:5" x14ac:dyDescent="0.25">
      <c r="D2620" s="1"/>
      <c r="E2620" s="1"/>
    </row>
    <row r="2621" spans="4:5" x14ac:dyDescent="0.25">
      <c r="D2621" s="1"/>
      <c r="E2621" s="1"/>
    </row>
    <row r="2622" spans="4:5" x14ac:dyDescent="0.25">
      <c r="D2622" s="1"/>
      <c r="E2622" s="1"/>
    </row>
    <row r="2623" spans="4:5" x14ac:dyDescent="0.25">
      <c r="D2623" s="1"/>
      <c r="E2623" s="1"/>
    </row>
    <row r="2624" spans="4:5" x14ac:dyDescent="0.25">
      <c r="D2624" s="1"/>
      <c r="E2624" s="1"/>
    </row>
    <row r="2625" spans="4:5" x14ac:dyDescent="0.25">
      <c r="D2625" s="1"/>
      <c r="E2625" s="1"/>
    </row>
    <row r="2626" spans="4:5" x14ac:dyDescent="0.25">
      <c r="D2626" s="1"/>
      <c r="E2626" s="1"/>
    </row>
    <row r="2627" spans="4:5" x14ac:dyDescent="0.25">
      <c r="D2627" s="1"/>
      <c r="E2627" s="1"/>
    </row>
    <row r="2628" spans="4:5" x14ac:dyDescent="0.25">
      <c r="D2628" s="1"/>
      <c r="E2628" s="1"/>
    </row>
    <row r="2629" spans="4:5" x14ac:dyDescent="0.25">
      <c r="D2629" s="1"/>
      <c r="E2629" s="1"/>
    </row>
    <row r="2630" spans="4:5" x14ac:dyDescent="0.25">
      <c r="D2630" s="1"/>
      <c r="E2630" s="1"/>
    </row>
    <row r="2631" spans="4:5" x14ac:dyDescent="0.25">
      <c r="D2631" s="1"/>
      <c r="E2631" s="1"/>
    </row>
    <row r="2632" spans="4:5" x14ac:dyDescent="0.25">
      <c r="D2632" s="1"/>
      <c r="E2632" s="1"/>
    </row>
    <row r="2633" spans="4:5" x14ac:dyDescent="0.25">
      <c r="D2633" s="1"/>
      <c r="E2633" s="1"/>
    </row>
    <row r="2634" spans="4:5" x14ac:dyDescent="0.25">
      <c r="D2634" s="1"/>
      <c r="E2634" s="1"/>
    </row>
    <row r="2635" spans="4:5" x14ac:dyDescent="0.25">
      <c r="D2635" s="1"/>
      <c r="E2635" s="1"/>
    </row>
    <row r="2636" spans="4:5" x14ac:dyDescent="0.25">
      <c r="D2636" s="1"/>
      <c r="E2636" s="1"/>
    </row>
    <row r="2637" spans="4:5" x14ac:dyDescent="0.25">
      <c r="D2637" s="1"/>
      <c r="E2637" s="1"/>
    </row>
    <row r="2638" spans="4:5" x14ac:dyDescent="0.25">
      <c r="D2638" s="1"/>
      <c r="E2638" s="1"/>
    </row>
    <row r="2639" spans="4:5" x14ac:dyDescent="0.25">
      <c r="D2639" s="1"/>
      <c r="E2639" s="1"/>
    </row>
    <row r="2640" spans="4:5" x14ac:dyDescent="0.25">
      <c r="D2640" s="1"/>
      <c r="E2640" s="1"/>
    </row>
    <row r="2641" spans="4:5" x14ac:dyDescent="0.25">
      <c r="D2641" s="1"/>
      <c r="E2641" s="1"/>
    </row>
    <row r="2642" spans="4:5" x14ac:dyDescent="0.25">
      <c r="D2642" s="1"/>
      <c r="E2642" s="1"/>
    </row>
    <row r="2643" spans="4:5" x14ac:dyDescent="0.25">
      <c r="D2643" s="1"/>
      <c r="E2643" s="1"/>
    </row>
    <row r="2644" spans="4:5" x14ac:dyDescent="0.25">
      <c r="D2644" s="1"/>
      <c r="E2644" s="1"/>
    </row>
    <row r="2645" spans="4:5" x14ac:dyDescent="0.25">
      <c r="D2645" s="1"/>
      <c r="E2645" s="1"/>
    </row>
    <row r="2646" spans="4:5" x14ac:dyDescent="0.25">
      <c r="D2646" s="1"/>
      <c r="E2646" s="1"/>
    </row>
    <row r="2647" spans="4:5" x14ac:dyDescent="0.25">
      <c r="D2647" s="1"/>
      <c r="E2647" s="1"/>
    </row>
    <row r="2648" spans="4:5" x14ac:dyDescent="0.25">
      <c r="D2648" s="1"/>
      <c r="E2648" s="1"/>
    </row>
    <row r="2649" spans="4:5" x14ac:dyDescent="0.25">
      <c r="D2649" s="1"/>
      <c r="E2649" s="1"/>
    </row>
    <row r="2650" spans="4:5" x14ac:dyDescent="0.25">
      <c r="D2650" s="1"/>
      <c r="E2650" s="1"/>
    </row>
    <row r="2651" spans="4:5" x14ac:dyDescent="0.25">
      <c r="D2651" s="1"/>
      <c r="E2651" s="1"/>
    </row>
    <row r="2652" spans="4:5" x14ac:dyDescent="0.25">
      <c r="D2652" s="1"/>
      <c r="E2652" s="1"/>
    </row>
    <row r="2653" spans="4:5" x14ac:dyDescent="0.25">
      <c r="D2653" s="1"/>
      <c r="E2653" s="1"/>
    </row>
    <row r="2654" spans="4:5" x14ac:dyDescent="0.25">
      <c r="D2654" s="1"/>
      <c r="E2654" s="1"/>
    </row>
    <row r="2655" spans="4:5" x14ac:dyDescent="0.25">
      <c r="D2655" s="1"/>
      <c r="E2655" s="1"/>
    </row>
    <row r="2656" spans="4:5" x14ac:dyDescent="0.25">
      <c r="D2656" s="1"/>
      <c r="E2656" s="1"/>
    </row>
    <row r="2657" spans="4:5" x14ac:dyDescent="0.25">
      <c r="D2657" s="1"/>
      <c r="E2657" s="1"/>
    </row>
    <row r="2658" spans="4:5" x14ac:dyDescent="0.25">
      <c r="D2658" s="1"/>
      <c r="E2658" s="1"/>
    </row>
    <row r="2659" spans="4:5" x14ac:dyDescent="0.25">
      <c r="D2659" s="1"/>
      <c r="E2659" s="1"/>
    </row>
    <row r="2660" spans="4:5" x14ac:dyDescent="0.25">
      <c r="D2660" s="1"/>
      <c r="E2660" s="1"/>
    </row>
    <row r="2661" spans="4:5" x14ac:dyDescent="0.25">
      <c r="D2661" s="1"/>
      <c r="E2661" s="1"/>
    </row>
    <row r="2662" spans="4:5" x14ac:dyDescent="0.25">
      <c r="D2662" s="1"/>
      <c r="E2662" s="1"/>
    </row>
    <row r="2663" spans="4:5" x14ac:dyDescent="0.25">
      <c r="D2663" s="1"/>
      <c r="E2663" s="1"/>
    </row>
    <row r="2664" spans="4:5" x14ac:dyDescent="0.25">
      <c r="D2664" s="1"/>
      <c r="E2664" s="1"/>
    </row>
    <row r="2665" spans="4:5" x14ac:dyDescent="0.25">
      <c r="D2665" s="1"/>
      <c r="E2665" s="1"/>
    </row>
    <row r="2666" spans="4:5" x14ac:dyDescent="0.25">
      <c r="D2666" s="1"/>
      <c r="E2666" s="1"/>
    </row>
    <row r="2667" spans="4:5" x14ac:dyDescent="0.25">
      <c r="D2667" s="1"/>
      <c r="E2667" s="1"/>
    </row>
    <row r="2668" spans="4:5" x14ac:dyDescent="0.25">
      <c r="D2668" s="1"/>
      <c r="E2668" s="1"/>
    </row>
    <row r="2669" spans="4:5" x14ac:dyDescent="0.25">
      <c r="D2669" s="1"/>
      <c r="E2669" s="1"/>
    </row>
    <row r="2670" spans="4:5" x14ac:dyDescent="0.25">
      <c r="D2670" s="1"/>
      <c r="E2670" s="1"/>
    </row>
    <row r="2671" spans="4:5" x14ac:dyDescent="0.25">
      <c r="D2671" s="1"/>
      <c r="E2671" s="1"/>
    </row>
    <row r="2672" spans="4:5" x14ac:dyDescent="0.25">
      <c r="D2672" s="1"/>
      <c r="E2672" s="1"/>
    </row>
    <row r="2673" spans="4:5" x14ac:dyDescent="0.25">
      <c r="D2673" s="1"/>
      <c r="E2673" s="1"/>
    </row>
    <row r="2674" spans="4:5" x14ac:dyDescent="0.25">
      <c r="D2674" s="1"/>
      <c r="E2674" s="1"/>
    </row>
    <row r="2675" spans="4:5" x14ac:dyDescent="0.25">
      <c r="D2675" s="1"/>
      <c r="E2675" s="1"/>
    </row>
    <row r="2676" spans="4:5" x14ac:dyDescent="0.25">
      <c r="D2676" s="1"/>
      <c r="E2676" s="1"/>
    </row>
    <row r="2677" spans="4:5" x14ac:dyDescent="0.25">
      <c r="D2677" s="1"/>
      <c r="E2677" s="1"/>
    </row>
    <row r="2678" spans="4:5" x14ac:dyDescent="0.25">
      <c r="D2678" s="1"/>
      <c r="E2678" s="1"/>
    </row>
    <row r="2679" spans="4:5" x14ac:dyDescent="0.25">
      <c r="D2679" s="1"/>
      <c r="E2679" s="1"/>
    </row>
    <row r="2680" spans="4:5" x14ac:dyDescent="0.25">
      <c r="D2680" s="1"/>
      <c r="E2680" s="1"/>
    </row>
    <row r="2681" spans="4:5" x14ac:dyDescent="0.25">
      <c r="D2681" s="1"/>
      <c r="E2681" s="1"/>
    </row>
    <row r="2682" spans="4:5" x14ac:dyDescent="0.25">
      <c r="D2682" s="1"/>
      <c r="E2682" s="1"/>
    </row>
    <row r="2683" spans="4:5" x14ac:dyDescent="0.25">
      <c r="D2683" s="1"/>
      <c r="E2683" s="1"/>
    </row>
    <row r="2684" spans="4:5" x14ac:dyDescent="0.25">
      <c r="D2684" s="1"/>
      <c r="E2684" s="1"/>
    </row>
    <row r="2685" spans="4:5" x14ac:dyDescent="0.25">
      <c r="D2685" s="1"/>
      <c r="E2685" s="1"/>
    </row>
    <row r="2686" spans="4:5" x14ac:dyDescent="0.25">
      <c r="D2686" s="1"/>
      <c r="E2686" s="1"/>
    </row>
    <row r="2687" spans="4:5" x14ac:dyDescent="0.25">
      <c r="D2687" s="1"/>
      <c r="E2687" s="1"/>
    </row>
    <row r="2688" spans="4:5" x14ac:dyDescent="0.25">
      <c r="D2688" s="1"/>
      <c r="E2688" s="1"/>
    </row>
    <row r="2689" spans="4:5" x14ac:dyDescent="0.25">
      <c r="D2689" s="1"/>
      <c r="E2689" s="1"/>
    </row>
    <row r="2690" spans="4:5" x14ac:dyDescent="0.25">
      <c r="D2690" s="1"/>
      <c r="E2690" s="1"/>
    </row>
    <row r="2691" spans="4:5" x14ac:dyDescent="0.25">
      <c r="D2691" s="1"/>
      <c r="E2691" s="1"/>
    </row>
    <row r="2692" spans="4:5" x14ac:dyDescent="0.25">
      <c r="D2692" s="1"/>
      <c r="E2692" s="1"/>
    </row>
    <row r="2693" spans="4:5" x14ac:dyDescent="0.25">
      <c r="D2693" s="1"/>
      <c r="E2693" s="1"/>
    </row>
    <row r="2694" spans="4:5" x14ac:dyDescent="0.25">
      <c r="D2694" s="1"/>
      <c r="E2694" s="1"/>
    </row>
    <row r="2695" spans="4:5" x14ac:dyDescent="0.25">
      <c r="D2695" s="1"/>
      <c r="E2695" s="1"/>
    </row>
    <row r="2696" spans="4:5" x14ac:dyDescent="0.25">
      <c r="D2696" s="1"/>
      <c r="E2696" s="1"/>
    </row>
    <row r="2697" spans="4:5" x14ac:dyDescent="0.25">
      <c r="D2697" s="1"/>
      <c r="E2697" s="1"/>
    </row>
    <row r="2698" spans="4:5" x14ac:dyDescent="0.25">
      <c r="D2698" s="1"/>
      <c r="E2698" s="1"/>
    </row>
    <row r="2699" spans="4:5" x14ac:dyDescent="0.25">
      <c r="D2699" s="1"/>
      <c r="E2699" s="1"/>
    </row>
    <row r="2700" spans="4:5" x14ac:dyDescent="0.25">
      <c r="D2700" s="1"/>
      <c r="E2700" s="1"/>
    </row>
    <row r="2701" spans="4:5" x14ac:dyDescent="0.25">
      <c r="D2701" s="1"/>
      <c r="E2701" s="1"/>
    </row>
    <row r="2702" spans="4:5" x14ac:dyDescent="0.25">
      <c r="D2702" s="1"/>
      <c r="E2702" s="1"/>
    </row>
    <row r="2703" spans="4:5" x14ac:dyDescent="0.25">
      <c r="D2703" s="1"/>
      <c r="E2703" s="1"/>
    </row>
    <row r="2704" spans="4:5" x14ac:dyDescent="0.25">
      <c r="D2704" s="1"/>
      <c r="E2704" s="1"/>
    </row>
    <row r="2705" spans="4:5" x14ac:dyDescent="0.25">
      <c r="D2705" s="1"/>
      <c r="E2705" s="1"/>
    </row>
    <row r="2706" spans="4:5" x14ac:dyDescent="0.25">
      <c r="D2706" s="1"/>
      <c r="E2706" s="1"/>
    </row>
    <row r="2707" spans="4:5" x14ac:dyDescent="0.25">
      <c r="D2707" s="1"/>
      <c r="E2707" s="1"/>
    </row>
    <row r="2708" spans="4:5" x14ac:dyDescent="0.25">
      <c r="D2708" s="1"/>
      <c r="E2708" s="1"/>
    </row>
    <row r="2709" spans="4:5" x14ac:dyDescent="0.25">
      <c r="D2709" s="1"/>
      <c r="E2709" s="1"/>
    </row>
    <row r="2710" spans="4:5" x14ac:dyDescent="0.25">
      <c r="D2710" s="1"/>
      <c r="E2710" s="1"/>
    </row>
    <row r="2711" spans="4:5" x14ac:dyDescent="0.25">
      <c r="D2711" s="1"/>
      <c r="E2711" s="1"/>
    </row>
    <row r="2712" spans="4:5" x14ac:dyDescent="0.25">
      <c r="D2712" s="1"/>
      <c r="E2712" s="1"/>
    </row>
    <row r="2713" spans="4:5" x14ac:dyDescent="0.25">
      <c r="D2713" s="1"/>
      <c r="E2713" s="1"/>
    </row>
    <row r="2714" spans="4:5" x14ac:dyDescent="0.25">
      <c r="D2714" s="1"/>
      <c r="E2714" s="1"/>
    </row>
    <row r="2715" spans="4:5" x14ac:dyDescent="0.25">
      <c r="D2715" s="1"/>
      <c r="E2715" s="1"/>
    </row>
    <row r="2716" spans="4:5" x14ac:dyDescent="0.25">
      <c r="D2716" s="1"/>
      <c r="E2716" s="1"/>
    </row>
    <row r="2717" spans="4:5" x14ac:dyDescent="0.25">
      <c r="D2717" s="1"/>
      <c r="E2717" s="1"/>
    </row>
    <row r="2718" spans="4:5" x14ac:dyDescent="0.25">
      <c r="D2718" s="1"/>
      <c r="E2718" s="1"/>
    </row>
    <row r="2719" spans="4:5" x14ac:dyDescent="0.25">
      <c r="D2719" s="1"/>
      <c r="E2719" s="1"/>
    </row>
    <row r="2720" spans="4:5" x14ac:dyDescent="0.25">
      <c r="D2720" s="1"/>
      <c r="E2720" s="1"/>
    </row>
    <row r="2721" spans="4:5" x14ac:dyDescent="0.25">
      <c r="D2721" s="1"/>
      <c r="E2721" s="1"/>
    </row>
    <row r="2722" spans="4:5" x14ac:dyDescent="0.25">
      <c r="D2722" s="1"/>
      <c r="E2722" s="1"/>
    </row>
    <row r="2723" spans="4:5" x14ac:dyDescent="0.25">
      <c r="D2723" s="1"/>
      <c r="E2723" s="1"/>
    </row>
    <row r="2724" spans="4:5" x14ac:dyDescent="0.25">
      <c r="D2724" s="1"/>
      <c r="E2724" s="1"/>
    </row>
    <row r="2725" spans="4:5" x14ac:dyDescent="0.25">
      <c r="D2725" s="1"/>
      <c r="E2725" s="1"/>
    </row>
    <row r="2726" spans="4:5" x14ac:dyDescent="0.25">
      <c r="D2726" s="1"/>
      <c r="E2726" s="1"/>
    </row>
    <row r="2727" spans="4:5" x14ac:dyDescent="0.25">
      <c r="D2727" s="1"/>
      <c r="E2727" s="1"/>
    </row>
    <row r="2728" spans="4:5" x14ac:dyDescent="0.25">
      <c r="D2728" s="1"/>
      <c r="E2728" s="1"/>
    </row>
    <row r="2729" spans="4:5" x14ac:dyDescent="0.25">
      <c r="D2729" s="1"/>
      <c r="E2729" s="1"/>
    </row>
    <row r="2730" spans="4:5" x14ac:dyDescent="0.25">
      <c r="D2730" s="1"/>
      <c r="E2730" s="1"/>
    </row>
    <row r="2731" spans="4:5" x14ac:dyDescent="0.25">
      <c r="D2731" s="1"/>
      <c r="E2731" s="1"/>
    </row>
    <row r="2732" spans="4:5" x14ac:dyDescent="0.25">
      <c r="D2732" s="1"/>
      <c r="E2732" s="1"/>
    </row>
    <row r="2733" spans="4:5" x14ac:dyDescent="0.25">
      <c r="D2733" s="1"/>
      <c r="E2733" s="1"/>
    </row>
    <row r="2734" spans="4:5" x14ac:dyDescent="0.25">
      <c r="D2734" s="1"/>
      <c r="E2734" s="1"/>
    </row>
    <row r="2735" spans="4:5" x14ac:dyDescent="0.25">
      <c r="D2735" s="1"/>
      <c r="E2735" s="1"/>
    </row>
    <row r="2736" spans="4:5" x14ac:dyDescent="0.25">
      <c r="D2736" s="1"/>
      <c r="E2736" s="1"/>
    </row>
    <row r="2737" spans="4:5" x14ac:dyDescent="0.25">
      <c r="D2737" s="1"/>
      <c r="E2737" s="1"/>
    </row>
    <row r="2738" spans="4:5" x14ac:dyDescent="0.25">
      <c r="D2738" s="1"/>
      <c r="E2738" s="1"/>
    </row>
    <row r="2739" spans="4:5" x14ac:dyDescent="0.25">
      <c r="D2739" s="1"/>
      <c r="E2739" s="1"/>
    </row>
    <row r="2740" spans="4:5" x14ac:dyDescent="0.25">
      <c r="D2740" s="1"/>
      <c r="E2740" s="1"/>
    </row>
    <row r="2741" spans="4:5" x14ac:dyDescent="0.25">
      <c r="D2741" s="1"/>
      <c r="E2741" s="1"/>
    </row>
    <row r="2742" spans="4:5" x14ac:dyDescent="0.25">
      <c r="D2742" s="1"/>
      <c r="E2742" s="1"/>
    </row>
    <row r="2743" spans="4:5" x14ac:dyDescent="0.25">
      <c r="D2743" s="1"/>
      <c r="E2743" s="1"/>
    </row>
    <row r="2744" spans="4:5" x14ac:dyDescent="0.25">
      <c r="D2744" s="1"/>
      <c r="E2744" s="1"/>
    </row>
    <row r="2745" spans="4:5" x14ac:dyDescent="0.25">
      <c r="D2745" s="1"/>
      <c r="E2745" s="1"/>
    </row>
    <row r="2746" spans="4:5" x14ac:dyDescent="0.25">
      <c r="D2746" s="1"/>
      <c r="E2746" s="1"/>
    </row>
    <row r="2747" spans="4:5" x14ac:dyDescent="0.25">
      <c r="D2747" s="1"/>
      <c r="E2747" s="1"/>
    </row>
    <row r="2748" spans="4:5" x14ac:dyDescent="0.25">
      <c r="D2748" s="1"/>
      <c r="E2748" s="1"/>
    </row>
    <row r="2749" spans="4:5" x14ac:dyDescent="0.25">
      <c r="D2749" s="1"/>
      <c r="E2749" s="1"/>
    </row>
    <row r="2750" spans="4:5" x14ac:dyDescent="0.25">
      <c r="D2750" s="1"/>
      <c r="E2750" s="1"/>
    </row>
    <row r="2751" spans="4:5" x14ac:dyDescent="0.25">
      <c r="D2751" s="1"/>
      <c r="E2751" s="1"/>
    </row>
    <row r="2752" spans="4:5" x14ac:dyDescent="0.25">
      <c r="D2752" s="1"/>
      <c r="E2752" s="1"/>
    </row>
    <row r="2753" spans="4:5" x14ac:dyDescent="0.25">
      <c r="D2753" s="1"/>
      <c r="E2753" s="1"/>
    </row>
    <row r="2754" spans="4:5" x14ac:dyDescent="0.25">
      <c r="D2754" s="1"/>
      <c r="E2754" s="1"/>
    </row>
    <row r="2755" spans="4:5" x14ac:dyDescent="0.25">
      <c r="D2755" s="1"/>
      <c r="E2755" s="1"/>
    </row>
    <row r="2756" spans="4:5" x14ac:dyDescent="0.25">
      <c r="D2756" s="1"/>
      <c r="E2756" s="1"/>
    </row>
    <row r="2757" spans="4:5" x14ac:dyDescent="0.25">
      <c r="D2757" s="1"/>
      <c r="E2757" s="1"/>
    </row>
    <row r="2758" spans="4:5" x14ac:dyDescent="0.25">
      <c r="D2758" s="1"/>
      <c r="E2758" s="1"/>
    </row>
    <row r="2759" spans="4:5" x14ac:dyDescent="0.25">
      <c r="D2759" s="1"/>
      <c r="E2759" s="1"/>
    </row>
    <row r="2760" spans="4:5" x14ac:dyDescent="0.25">
      <c r="D2760" s="1"/>
      <c r="E2760" s="1"/>
    </row>
    <row r="2761" spans="4:5" x14ac:dyDescent="0.25">
      <c r="D2761" s="1"/>
      <c r="E2761" s="1"/>
    </row>
    <row r="2762" spans="4:5" x14ac:dyDescent="0.25">
      <c r="D2762" s="1"/>
      <c r="E2762" s="1"/>
    </row>
    <row r="2763" spans="4:5" x14ac:dyDescent="0.25">
      <c r="D2763" s="1"/>
      <c r="E2763" s="1"/>
    </row>
    <row r="2764" spans="4:5" x14ac:dyDescent="0.25">
      <c r="D2764" s="1"/>
      <c r="E2764" s="1"/>
    </row>
    <row r="2765" spans="4:5" x14ac:dyDescent="0.25">
      <c r="D2765" s="1"/>
      <c r="E2765" s="1"/>
    </row>
    <row r="2766" spans="4:5" x14ac:dyDescent="0.25">
      <c r="D2766" s="1"/>
      <c r="E2766" s="1"/>
    </row>
    <row r="2767" spans="4:5" x14ac:dyDescent="0.25">
      <c r="D2767" s="1"/>
      <c r="E2767" s="1"/>
    </row>
    <row r="2768" spans="4:5" x14ac:dyDescent="0.25">
      <c r="D2768" s="1"/>
      <c r="E2768" s="1"/>
    </row>
    <row r="2769" spans="4:5" x14ac:dyDescent="0.25">
      <c r="D2769" s="1"/>
      <c r="E2769" s="1"/>
    </row>
    <row r="2770" spans="4:5" x14ac:dyDescent="0.25">
      <c r="D2770" s="1"/>
      <c r="E2770" s="1"/>
    </row>
    <row r="2771" spans="4:5" x14ac:dyDescent="0.25">
      <c r="D2771" s="1"/>
      <c r="E2771" s="1"/>
    </row>
    <row r="2772" spans="4:5" x14ac:dyDescent="0.25">
      <c r="D2772" s="1"/>
      <c r="E2772" s="1"/>
    </row>
    <row r="2773" spans="4:5" x14ac:dyDescent="0.25">
      <c r="D2773" s="1"/>
      <c r="E2773" s="1"/>
    </row>
    <row r="2774" spans="4:5" x14ac:dyDescent="0.25">
      <c r="D2774" s="1"/>
      <c r="E2774" s="1"/>
    </row>
    <row r="2775" spans="4:5" x14ac:dyDescent="0.25">
      <c r="D2775" s="1"/>
      <c r="E2775" s="1"/>
    </row>
    <row r="2776" spans="4:5" x14ac:dyDescent="0.25">
      <c r="D2776" s="1"/>
      <c r="E2776" s="1"/>
    </row>
    <row r="2777" spans="4:5" x14ac:dyDescent="0.25">
      <c r="D2777" s="1"/>
      <c r="E2777" s="1"/>
    </row>
    <row r="2778" spans="4:5" x14ac:dyDescent="0.25">
      <c r="D2778" s="1"/>
      <c r="E2778" s="1"/>
    </row>
    <row r="2779" spans="4:5" x14ac:dyDescent="0.25">
      <c r="D2779" s="1"/>
      <c r="E2779" s="1"/>
    </row>
    <row r="2780" spans="4:5" x14ac:dyDescent="0.25">
      <c r="D2780" s="1"/>
      <c r="E2780" s="1"/>
    </row>
    <row r="2781" spans="4:5" x14ac:dyDescent="0.25">
      <c r="D2781" s="1"/>
      <c r="E2781" s="1"/>
    </row>
    <row r="2782" spans="4:5" x14ac:dyDescent="0.25">
      <c r="D2782" s="1"/>
      <c r="E2782" s="1"/>
    </row>
    <row r="2783" spans="4:5" x14ac:dyDescent="0.25">
      <c r="D2783" s="1"/>
      <c r="E2783" s="1"/>
    </row>
    <row r="2784" spans="4:5" x14ac:dyDescent="0.25">
      <c r="D2784" s="1"/>
      <c r="E2784" s="1"/>
    </row>
    <row r="2785" spans="4:5" x14ac:dyDescent="0.25">
      <c r="D2785" s="1"/>
      <c r="E2785" s="1"/>
    </row>
    <row r="2786" spans="4:5" x14ac:dyDescent="0.25">
      <c r="D2786" s="1"/>
      <c r="E2786" s="1"/>
    </row>
    <row r="2787" spans="4:5" x14ac:dyDescent="0.25">
      <c r="D2787" s="1"/>
      <c r="E2787" s="1"/>
    </row>
    <row r="2788" spans="4:5" x14ac:dyDescent="0.25">
      <c r="D2788" s="1"/>
      <c r="E2788" s="1"/>
    </row>
    <row r="2789" spans="4:5" x14ac:dyDescent="0.25">
      <c r="D2789" s="1"/>
      <c r="E2789" s="1"/>
    </row>
    <row r="2790" spans="4:5" x14ac:dyDescent="0.25">
      <c r="D2790" s="1"/>
      <c r="E2790" s="1"/>
    </row>
    <row r="2791" spans="4:5" x14ac:dyDescent="0.25">
      <c r="D2791" s="1"/>
      <c r="E2791" s="1"/>
    </row>
    <row r="2792" spans="4:5" x14ac:dyDescent="0.25">
      <c r="D2792" s="1"/>
      <c r="E2792" s="1"/>
    </row>
    <row r="2793" spans="4:5" x14ac:dyDescent="0.25">
      <c r="D2793" s="1"/>
      <c r="E2793" s="1"/>
    </row>
    <row r="2794" spans="4:5" x14ac:dyDescent="0.25">
      <c r="D2794" s="1"/>
      <c r="E2794" s="1"/>
    </row>
    <row r="2795" spans="4:5" x14ac:dyDescent="0.25">
      <c r="D2795" s="1"/>
      <c r="E2795" s="1"/>
    </row>
    <row r="2796" spans="4:5" x14ac:dyDescent="0.25">
      <c r="D2796" s="1"/>
      <c r="E2796" s="1"/>
    </row>
    <row r="2797" spans="4:5" x14ac:dyDescent="0.25">
      <c r="D2797" s="1"/>
      <c r="E2797" s="1"/>
    </row>
    <row r="2798" spans="4:5" x14ac:dyDescent="0.25">
      <c r="D2798" s="1"/>
      <c r="E2798" s="1"/>
    </row>
    <row r="2799" spans="4:5" x14ac:dyDescent="0.25">
      <c r="D2799" s="1"/>
      <c r="E2799" s="1"/>
    </row>
    <row r="2800" spans="4:5" x14ac:dyDescent="0.25">
      <c r="D2800" s="1"/>
      <c r="E2800" s="1"/>
    </row>
    <row r="2801" spans="4:5" x14ac:dyDescent="0.25">
      <c r="D2801" s="1"/>
      <c r="E2801" s="1"/>
    </row>
    <row r="2802" spans="4:5" x14ac:dyDescent="0.25">
      <c r="D2802" s="1"/>
      <c r="E2802" s="1"/>
    </row>
    <row r="2803" spans="4:5" x14ac:dyDescent="0.25">
      <c r="D2803" s="1"/>
      <c r="E2803" s="1"/>
    </row>
    <row r="2804" spans="4:5" x14ac:dyDescent="0.25">
      <c r="D2804" s="1"/>
      <c r="E2804" s="1"/>
    </row>
    <row r="2805" spans="4:5" x14ac:dyDescent="0.25">
      <c r="D2805" s="1"/>
      <c r="E2805" s="1"/>
    </row>
    <row r="2806" spans="4:5" x14ac:dyDescent="0.25">
      <c r="D2806" s="1"/>
      <c r="E2806" s="1"/>
    </row>
    <row r="2807" spans="4:5" x14ac:dyDescent="0.25">
      <c r="D2807" s="1"/>
      <c r="E2807" s="1"/>
    </row>
    <row r="2808" spans="4:5" x14ac:dyDescent="0.25">
      <c r="D2808" s="1"/>
      <c r="E2808" s="1"/>
    </row>
    <row r="2809" spans="4:5" x14ac:dyDescent="0.25">
      <c r="D2809" s="1"/>
      <c r="E2809" s="1"/>
    </row>
    <row r="2810" spans="4:5" x14ac:dyDescent="0.25">
      <c r="D2810" s="1"/>
      <c r="E2810" s="1"/>
    </row>
    <row r="2811" spans="4:5" x14ac:dyDescent="0.25">
      <c r="D2811" s="1"/>
      <c r="E2811" s="1"/>
    </row>
    <row r="2812" spans="4:5" x14ac:dyDescent="0.25">
      <c r="D2812" s="1"/>
      <c r="E2812" s="1"/>
    </row>
    <row r="2813" spans="4:5" x14ac:dyDescent="0.25">
      <c r="D2813" s="1"/>
      <c r="E2813" s="1"/>
    </row>
    <row r="2814" spans="4:5" x14ac:dyDescent="0.25">
      <c r="D2814" s="1"/>
      <c r="E2814" s="1"/>
    </row>
    <row r="2815" spans="4:5" x14ac:dyDescent="0.25">
      <c r="D2815" s="1"/>
      <c r="E2815" s="1"/>
    </row>
    <row r="2816" spans="4:5" x14ac:dyDescent="0.25">
      <c r="D2816" s="1"/>
      <c r="E2816" s="1"/>
    </row>
    <row r="2817" spans="4:5" x14ac:dyDescent="0.25">
      <c r="D2817" s="1"/>
      <c r="E2817" s="1"/>
    </row>
    <row r="2818" spans="4:5" x14ac:dyDescent="0.25">
      <c r="D2818" s="1"/>
      <c r="E2818" s="1"/>
    </row>
    <row r="2819" spans="4:5" x14ac:dyDescent="0.25">
      <c r="D2819" s="1"/>
      <c r="E2819" s="1"/>
    </row>
    <row r="2820" spans="4:5" x14ac:dyDescent="0.25">
      <c r="D2820" s="1"/>
      <c r="E2820" s="1"/>
    </row>
    <row r="2821" spans="4:5" x14ac:dyDescent="0.25">
      <c r="D2821" s="1"/>
      <c r="E2821" s="1"/>
    </row>
    <row r="2822" spans="4:5" x14ac:dyDescent="0.25">
      <c r="D2822" s="1"/>
      <c r="E2822" s="1"/>
    </row>
    <row r="2823" spans="4:5" x14ac:dyDescent="0.25">
      <c r="D2823" s="1"/>
      <c r="E2823" s="1"/>
    </row>
    <row r="2824" spans="4:5" x14ac:dyDescent="0.25">
      <c r="D2824" s="1"/>
      <c r="E2824" s="1"/>
    </row>
    <row r="2825" spans="4:5" x14ac:dyDescent="0.25">
      <c r="D2825" s="1"/>
      <c r="E2825" s="1"/>
    </row>
    <row r="2826" spans="4:5" x14ac:dyDescent="0.25">
      <c r="D2826" s="1"/>
      <c r="E2826" s="1"/>
    </row>
    <row r="2827" spans="4:5" x14ac:dyDescent="0.25">
      <c r="D2827" s="1"/>
      <c r="E2827" s="1"/>
    </row>
    <row r="2828" spans="4:5" x14ac:dyDescent="0.25">
      <c r="D2828" s="1"/>
      <c r="E2828" s="1"/>
    </row>
    <row r="2829" spans="4:5" x14ac:dyDescent="0.25">
      <c r="D2829" s="1"/>
      <c r="E2829" s="1"/>
    </row>
    <row r="2830" spans="4:5" x14ac:dyDescent="0.25">
      <c r="D2830" s="1"/>
      <c r="E2830" s="1"/>
    </row>
    <row r="2831" spans="4:5" x14ac:dyDescent="0.25">
      <c r="D2831" s="1"/>
      <c r="E2831" s="1"/>
    </row>
    <row r="2832" spans="4:5" x14ac:dyDescent="0.25">
      <c r="D2832" s="1"/>
      <c r="E2832" s="1"/>
    </row>
    <row r="2833" spans="4:5" x14ac:dyDescent="0.25">
      <c r="D2833" s="1"/>
      <c r="E2833" s="1"/>
    </row>
    <row r="2834" spans="4:5" x14ac:dyDescent="0.25">
      <c r="D2834" s="1"/>
      <c r="E2834" s="1"/>
    </row>
    <row r="2835" spans="4:5" x14ac:dyDescent="0.25">
      <c r="D2835" s="1"/>
      <c r="E2835" s="1"/>
    </row>
    <row r="2836" spans="4:5" x14ac:dyDescent="0.25">
      <c r="D2836" s="1"/>
      <c r="E2836" s="1"/>
    </row>
    <row r="2837" spans="4:5" x14ac:dyDescent="0.25">
      <c r="D2837" s="1"/>
      <c r="E2837" s="1"/>
    </row>
    <row r="2838" spans="4:5" x14ac:dyDescent="0.25">
      <c r="D2838" s="1"/>
      <c r="E2838" s="1"/>
    </row>
    <row r="2839" spans="4:5" x14ac:dyDescent="0.25">
      <c r="D2839" s="1"/>
      <c r="E2839" s="1"/>
    </row>
    <row r="2840" spans="4:5" x14ac:dyDescent="0.25">
      <c r="D2840" s="1"/>
      <c r="E2840" s="1"/>
    </row>
    <row r="2841" spans="4:5" x14ac:dyDescent="0.25">
      <c r="D2841" s="1"/>
      <c r="E2841" s="1"/>
    </row>
    <row r="2842" spans="4:5" x14ac:dyDescent="0.25">
      <c r="D2842" s="1"/>
      <c r="E2842" s="1"/>
    </row>
    <row r="2843" spans="4:5" x14ac:dyDescent="0.25">
      <c r="D2843" s="1"/>
      <c r="E2843" s="1"/>
    </row>
    <row r="2844" spans="4:5" x14ac:dyDescent="0.25">
      <c r="D2844" s="1"/>
      <c r="E2844" s="1"/>
    </row>
    <row r="2845" spans="4:5" x14ac:dyDescent="0.25">
      <c r="D2845" s="1"/>
      <c r="E2845" s="1"/>
    </row>
    <row r="2846" spans="4:5" x14ac:dyDescent="0.25">
      <c r="D2846" s="1"/>
      <c r="E2846" s="1"/>
    </row>
    <row r="2847" spans="4:5" x14ac:dyDescent="0.25">
      <c r="D2847" s="1"/>
      <c r="E2847" s="1"/>
    </row>
    <row r="2848" spans="4:5" x14ac:dyDescent="0.25">
      <c r="D2848" s="1"/>
      <c r="E2848" s="1"/>
    </row>
    <row r="2849" spans="4:5" x14ac:dyDescent="0.25">
      <c r="D2849" s="1"/>
      <c r="E2849" s="1"/>
    </row>
    <row r="2850" spans="4:5" x14ac:dyDescent="0.25">
      <c r="D2850" s="1"/>
      <c r="E2850" s="1"/>
    </row>
    <row r="2851" spans="4:5" x14ac:dyDescent="0.25">
      <c r="D2851" s="1"/>
      <c r="E2851" s="1"/>
    </row>
    <row r="2852" spans="4:5" x14ac:dyDescent="0.25">
      <c r="D2852" s="1"/>
      <c r="E2852" s="1"/>
    </row>
    <row r="2853" spans="4:5" x14ac:dyDescent="0.25">
      <c r="D2853" s="1"/>
      <c r="E2853" s="1"/>
    </row>
    <row r="2854" spans="4:5" x14ac:dyDescent="0.25">
      <c r="D2854" s="1"/>
      <c r="E2854" s="1"/>
    </row>
    <row r="2855" spans="4:5" x14ac:dyDescent="0.25">
      <c r="D2855" s="1"/>
      <c r="E2855" s="1"/>
    </row>
    <row r="2856" spans="4:5" x14ac:dyDescent="0.25">
      <c r="D2856" s="1"/>
      <c r="E2856" s="1"/>
    </row>
    <row r="2857" spans="4:5" x14ac:dyDescent="0.25">
      <c r="D2857" s="1"/>
      <c r="E2857" s="1"/>
    </row>
    <row r="2858" spans="4:5" x14ac:dyDescent="0.25">
      <c r="D2858" s="1"/>
      <c r="E2858" s="1"/>
    </row>
    <row r="2859" spans="4:5" x14ac:dyDescent="0.25">
      <c r="D2859" s="1"/>
      <c r="E2859" s="1"/>
    </row>
    <row r="2860" spans="4:5" x14ac:dyDescent="0.25">
      <c r="D2860" s="1"/>
      <c r="E2860" s="1"/>
    </row>
    <row r="2861" spans="4:5" x14ac:dyDescent="0.25">
      <c r="D2861" s="1"/>
      <c r="E2861" s="1"/>
    </row>
    <row r="2862" spans="4:5" x14ac:dyDescent="0.25">
      <c r="D2862" s="1"/>
      <c r="E2862" s="1"/>
    </row>
    <row r="2863" spans="4:5" x14ac:dyDescent="0.25">
      <c r="D2863" s="1"/>
      <c r="E2863" s="1"/>
    </row>
    <row r="2864" spans="4:5" x14ac:dyDescent="0.25">
      <c r="D2864" s="1"/>
      <c r="E2864" s="1"/>
    </row>
    <row r="2865" spans="4:5" x14ac:dyDescent="0.25">
      <c r="D2865" s="1"/>
      <c r="E2865" s="1"/>
    </row>
    <row r="2866" spans="4:5" x14ac:dyDescent="0.25">
      <c r="D2866" s="1"/>
      <c r="E2866" s="1"/>
    </row>
    <row r="2867" spans="4:5" x14ac:dyDescent="0.25">
      <c r="D2867" s="1"/>
      <c r="E2867" s="1"/>
    </row>
    <row r="2868" spans="4:5" x14ac:dyDescent="0.25">
      <c r="D2868" s="1"/>
      <c r="E2868" s="1"/>
    </row>
    <row r="2869" spans="4:5" x14ac:dyDescent="0.25">
      <c r="D2869" s="1"/>
      <c r="E2869" s="1"/>
    </row>
    <row r="2870" spans="4:5" x14ac:dyDescent="0.25">
      <c r="D2870" s="1"/>
      <c r="E2870" s="1"/>
    </row>
    <row r="2871" spans="4:5" x14ac:dyDescent="0.25">
      <c r="D2871" s="1"/>
      <c r="E2871" s="1"/>
    </row>
    <row r="2872" spans="4:5" x14ac:dyDescent="0.25">
      <c r="D2872" s="1"/>
      <c r="E2872" s="1"/>
    </row>
    <row r="2873" spans="4:5" x14ac:dyDescent="0.25">
      <c r="D2873" s="1"/>
      <c r="E2873" s="1"/>
    </row>
    <row r="2874" spans="4:5" x14ac:dyDescent="0.25">
      <c r="D2874" s="1"/>
      <c r="E2874" s="1"/>
    </row>
    <row r="2875" spans="4:5" x14ac:dyDescent="0.25">
      <c r="D2875" s="1"/>
      <c r="E2875" s="1"/>
    </row>
    <row r="2876" spans="4:5" x14ac:dyDescent="0.25">
      <c r="D2876" s="1"/>
      <c r="E2876" s="1"/>
    </row>
    <row r="2877" spans="4:5" x14ac:dyDescent="0.25">
      <c r="D2877" s="1"/>
      <c r="E2877" s="1"/>
    </row>
    <row r="2878" spans="4:5" x14ac:dyDescent="0.25">
      <c r="D2878" s="1"/>
      <c r="E2878" s="1"/>
    </row>
    <row r="2879" spans="4:5" x14ac:dyDescent="0.25">
      <c r="D2879" s="1"/>
      <c r="E2879" s="1"/>
    </row>
    <row r="2880" spans="4:5" x14ac:dyDescent="0.25">
      <c r="D2880" s="1"/>
      <c r="E2880" s="1"/>
    </row>
    <row r="2881" spans="4:5" x14ac:dyDescent="0.25">
      <c r="D2881" s="1"/>
      <c r="E2881" s="1"/>
    </row>
    <row r="2882" spans="4:5" x14ac:dyDescent="0.25">
      <c r="D2882" s="1"/>
      <c r="E2882" s="1"/>
    </row>
    <row r="2883" spans="4:5" x14ac:dyDescent="0.25">
      <c r="D2883" s="1"/>
      <c r="E2883" s="1"/>
    </row>
    <row r="2884" spans="4:5" x14ac:dyDescent="0.25">
      <c r="D2884" s="1"/>
      <c r="E2884" s="1"/>
    </row>
    <row r="2885" spans="4:5" x14ac:dyDescent="0.25">
      <c r="D2885" s="1"/>
      <c r="E2885" s="1"/>
    </row>
    <row r="2886" spans="4:5" x14ac:dyDescent="0.25">
      <c r="D2886" s="1"/>
      <c r="E2886" s="1"/>
    </row>
    <row r="2887" spans="4:5" x14ac:dyDescent="0.25">
      <c r="D2887" s="1"/>
      <c r="E2887" s="1"/>
    </row>
    <row r="2888" spans="4:5" x14ac:dyDescent="0.25">
      <c r="D2888" s="1"/>
      <c r="E2888" s="1"/>
    </row>
    <row r="2889" spans="4:5" x14ac:dyDescent="0.25">
      <c r="D2889" s="1"/>
      <c r="E2889" s="1"/>
    </row>
    <row r="2890" spans="4:5" x14ac:dyDescent="0.25">
      <c r="D2890" s="1"/>
      <c r="E2890" s="1"/>
    </row>
    <row r="2891" spans="4:5" x14ac:dyDescent="0.25">
      <c r="D2891" s="1"/>
      <c r="E2891" s="1"/>
    </row>
    <row r="2892" spans="4:5" x14ac:dyDescent="0.25">
      <c r="D2892" s="1"/>
      <c r="E2892" s="1"/>
    </row>
    <row r="2893" spans="4:5" x14ac:dyDescent="0.25">
      <c r="D2893" s="1"/>
      <c r="E2893" s="1"/>
    </row>
    <row r="2894" spans="4:5" x14ac:dyDescent="0.25">
      <c r="D2894" s="1"/>
      <c r="E2894" s="1"/>
    </row>
    <row r="2895" spans="4:5" x14ac:dyDescent="0.25">
      <c r="D2895" s="1"/>
      <c r="E2895" s="1"/>
    </row>
    <row r="2896" spans="4:5" x14ac:dyDescent="0.25">
      <c r="D2896" s="1"/>
      <c r="E2896" s="1"/>
    </row>
    <row r="2897" spans="4:5" x14ac:dyDescent="0.25">
      <c r="D2897" s="1"/>
      <c r="E2897" s="1"/>
    </row>
    <row r="2898" spans="4:5" x14ac:dyDescent="0.25">
      <c r="D2898" s="1"/>
      <c r="E2898" s="1"/>
    </row>
    <row r="2899" spans="4:5" x14ac:dyDescent="0.25">
      <c r="D2899" s="1"/>
      <c r="E2899" s="1"/>
    </row>
    <row r="2900" spans="4:5" x14ac:dyDescent="0.25">
      <c r="D2900" s="1"/>
      <c r="E2900" s="1"/>
    </row>
    <row r="2901" spans="4:5" x14ac:dyDescent="0.25">
      <c r="D2901" s="1"/>
      <c r="E2901" s="1"/>
    </row>
    <row r="2902" spans="4:5" x14ac:dyDescent="0.25">
      <c r="D2902" s="1"/>
      <c r="E2902" s="1"/>
    </row>
    <row r="2903" spans="4:5" x14ac:dyDescent="0.25">
      <c r="D2903" s="1"/>
      <c r="E2903" s="1"/>
    </row>
    <row r="2904" spans="4:5" x14ac:dyDescent="0.25">
      <c r="D2904" s="1"/>
      <c r="E2904" s="1"/>
    </row>
    <row r="2905" spans="4:5" x14ac:dyDescent="0.25">
      <c r="D2905" s="1"/>
      <c r="E2905" s="1"/>
    </row>
    <row r="2906" spans="4:5" x14ac:dyDescent="0.25">
      <c r="D2906" s="1"/>
      <c r="E2906" s="1"/>
    </row>
    <row r="2907" spans="4:5" x14ac:dyDescent="0.25">
      <c r="D2907" s="1"/>
      <c r="E2907" s="1"/>
    </row>
    <row r="2908" spans="4:5" x14ac:dyDescent="0.25">
      <c r="D2908" s="1"/>
      <c r="E2908" s="1"/>
    </row>
    <row r="2909" spans="4:5" x14ac:dyDescent="0.25">
      <c r="D2909" s="1"/>
      <c r="E2909" s="1"/>
    </row>
    <row r="2910" spans="4:5" x14ac:dyDescent="0.25">
      <c r="D2910" s="1"/>
      <c r="E2910" s="1"/>
    </row>
    <row r="2911" spans="4:5" x14ac:dyDescent="0.25">
      <c r="D2911" s="1"/>
      <c r="E2911" s="1"/>
    </row>
    <row r="2912" spans="4:5" x14ac:dyDescent="0.25">
      <c r="D2912" s="1"/>
      <c r="E2912" s="1"/>
    </row>
    <row r="2913" spans="4:5" x14ac:dyDescent="0.25">
      <c r="D2913" s="1"/>
      <c r="E2913" s="1"/>
    </row>
    <row r="2914" spans="4:5" x14ac:dyDescent="0.25">
      <c r="D2914" s="1"/>
      <c r="E2914" s="1"/>
    </row>
    <row r="2915" spans="4:5" x14ac:dyDescent="0.25">
      <c r="D2915" s="1"/>
      <c r="E2915" s="1"/>
    </row>
    <row r="2916" spans="4:5" x14ac:dyDescent="0.25">
      <c r="D2916" s="1"/>
      <c r="E2916" s="1"/>
    </row>
    <row r="2917" spans="4:5" x14ac:dyDescent="0.25">
      <c r="D2917" s="1"/>
      <c r="E2917" s="1"/>
    </row>
    <row r="2918" spans="4:5" x14ac:dyDescent="0.25">
      <c r="D2918" s="1"/>
      <c r="E2918" s="1"/>
    </row>
    <row r="2919" spans="4:5" x14ac:dyDescent="0.25">
      <c r="D2919" s="1"/>
      <c r="E2919" s="1"/>
    </row>
    <row r="2920" spans="4:5" x14ac:dyDescent="0.25">
      <c r="D2920" s="1"/>
      <c r="E2920" s="1"/>
    </row>
    <row r="2921" spans="4:5" x14ac:dyDescent="0.25">
      <c r="D2921" s="1"/>
      <c r="E2921" s="1"/>
    </row>
    <row r="2922" spans="4:5" x14ac:dyDescent="0.25">
      <c r="D2922" s="1"/>
      <c r="E2922" s="1"/>
    </row>
    <row r="2923" spans="4:5" x14ac:dyDescent="0.25">
      <c r="D2923" s="1"/>
      <c r="E2923" s="1"/>
    </row>
    <row r="2924" spans="4:5" x14ac:dyDescent="0.25">
      <c r="D2924" s="1"/>
      <c r="E2924" s="1"/>
    </row>
    <row r="2925" spans="4:5" x14ac:dyDescent="0.25">
      <c r="D2925" s="1"/>
      <c r="E2925" s="1"/>
    </row>
    <row r="2926" spans="4:5" x14ac:dyDescent="0.25">
      <c r="D2926" s="1"/>
      <c r="E2926" s="1"/>
    </row>
    <row r="2927" spans="4:5" x14ac:dyDescent="0.25">
      <c r="D2927" s="1"/>
      <c r="E2927" s="1"/>
    </row>
    <row r="2928" spans="4:5" x14ac:dyDescent="0.25">
      <c r="D2928" s="1"/>
      <c r="E2928" s="1"/>
    </row>
    <row r="2929" spans="4:5" x14ac:dyDescent="0.25">
      <c r="D2929" s="1"/>
      <c r="E2929" s="1"/>
    </row>
    <row r="2930" spans="4:5" x14ac:dyDescent="0.25">
      <c r="D2930" s="1"/>
      <c r="E2930" s="1"/>
    </row>
    <row r="2931" spans="4:5" x14ac:dyDescent="0.25">
      <c r="D2931" s="1"/>
      <c r="E2931" s="1"/>
    </row>
    <row r="2932" spans="4:5" x14ac:dyDescent="0.25">
      <c r="D2932" s="1"/>
      <c r="E2932" s="1"/>
    </row>
    <row r="2933" spans="4:5" x14ac:dyDescent="0.25">
      <c r="D2933" s="1"/>
      <c r="E2933" s="1"/>
    </row>
    <row r="2934" spans="4:5" x14ac:dyDescent="0.25">
      <c r="D2934" s="1"/>
      <c r="E2934" s="1"/>
    </row>
    <row r="2935" spans="4:5" x14ac:dyDescent="0.25">
      <c r="D2935" s="1"/>
      <c r="E2935" s="1"/>
    </row>
    <row r="2936" spans="4:5" x14ac:dyDescent="0.25">
      <c r="D2936" s="1"/>
      <c r="E2936" s="1"/>
    </row>
    <row r="2937" spans="4:5" x14ac:dyDescent="0.25">
      <c r="D2937" s="1"/>
      <c r="E2937" s="1"/>
    </row>
    <row r="2938" spans="4:5" x14ac:dyDescent="0.25">
      <c r="D2938" s="1"/>
      <c r="E2938" s="1"/>
    </row>
    <row r="2939" spans="4:5" x14ac:dyDescent="0.25">
      <c r="D2939" s="1"/>
      <c r="E2939" s="1"/>
    </row>
    <row r="2940" spans="4:5" x14ac:dyDescent="0.25">
      <c r="D2940" s="1"/>
      <c r="E2940" s="1"/>
    </row>
    <row r="2941" spans="4:5" x14ac:dyDescent="0.25">
      <c r="D2941" s="1"/>
      <c r="E2941" s="1"/>
    </row>
    <row r="2942" spans="4:5" x14ac:dyDescent="0.25">
      <c r="D2942" s="1"/>
      <c r="E2942" s="1"/>
    </row>
    <row r="2943" spans="4:5" x14ac:dyDescent="0.25">
      <c r="D2943" s="1"/>
      <c r="E2943" s="1"/>
    </row>
    <row r="2944" spans="4:5" x14ac:dyDescent="0.25">
      <c r="D2944" s="1"/>
      <c r="E2944" s="1"/>
    </row>
    <row r="2945" spans="4:5" x14ac:dyDescent="0.25">
      <c r="D2945" s="1"/>
      <c r="E2945" s="1"/>
    </row>
    <row r="2946" spans="4:5" x14ac:dyDescent="0.25">
      <c r="D2946" s="1"/>
      <c r="E2946" s="1"/>
    </row>
    <row r="2947" spans="4:5" x14ac:dyDescent="0.25">
      <c r="D2947" s="1"/>
      <c r="E2947" s="1"/>
    </row>
    <row r="2948" spans="4:5" x14ac:dyDescent="0.25">
      <c r="D2948" s="1"/>
      <c r="E2948" s="1"/>
    </row>
    <row r="2949" spans="4:5" x14ac:dyDescent="0.25">
      <c r="D2949" s="1"/>
      <c r="E2949" s="1"/>
    </row>
    <row r="2950" spans="4:5" x14ac:dyDescent="0.25">
      <c r="D2950" s="1"/>
      <c r="E2950" s="1"/>
    </row>
    <row r="2951" spans="4:5" x14ac:dyDescent="0.25">
      <c r="D2951" s="1"/>
      <c r="E2951" s="1"/>
    </row>
    <row r="2952" spans="4:5" x14ac:dyDescent="0.25">
      <c r="D2952" s="1"/>
      <c r="E2952" s="1"/>
    </row>
    <row r="2953" spans="4:5" x14ac:dyDescent="0.25">
      <c r="D2953" s="1"/>
      <c r="E2953" s="1"/>
    </row>
    <row r="2954" spans="4:5" x14ac:dyDescent="0.25">
      <c r="D2954" s="1"/>
      <c r="E2954" s="1"/>
    </row>
    <row r="2955" spans="4:5" x14ac:dyDescent="0.25">
      <c r="D2955" s="1"/>
      <c r="E2955" s="1"/>
    </row>
    <row r="2956" spans="4:5" x14ac:dyDescent="0.25">
      <c r="D2956" s="1"/>
      <c r="E2956" s="1"/>
    </row>
    <row r="2957" spans="4:5" x14ac:dyDescent="0.25">
      <c r="D2957" s="1"/>
      <c r="E2957" s="1"/>
    </row>
    <row r="2958" spans="4:5" x14ac:dyDescent="0.25">
      <c r="D2958" s="1"/>
      <c r="E2958" s="1"/>
    </row>
    <row r="2959" spans="4:5" x14ac:dyDescent="0.25">
      <c r="D2959" s="1"/>
      <c r="E2959" s="1"/>
    </row>
    <row r="2960" spans="4:5" x14ac:dyDescent="0.25">
      <c r="D2960" s="1"/>
      <c r="E2960" s="1"/>
    </row>
    <row r="2961" spans="4:5" x14ac:dyDescent="0.25">
      <c r="D2961" s="1"/>
      <c r="E2961" s="1"/>
    </row>
    <row r="2962" spans="4:5" x14ac:dyDescent="0.25">
      <c r="D2962" s="1"/>
      <c r="E2962" s="1"/>
    </row>
    <row r="2963" spans="4:5" x14ac:dyDescent="0.25">
      <c r="D2963" s="1"/>
      <c r="E2963" s="1"/>
    </row>
    <row r="2964" spans="4:5" x14ac:dyDescent="0.25">
      <c r="D2964" s="1"/>
      <c r="E2964" s="1"/>
    </row>
    <row r="2965" spans="4:5" x14ac:dyDescent="0.25">
      <c r="D2965" s="1"/>
      <c r="E2965" s="1"/>
    </row>
    <row r="2966" spans="4:5" x14ac:dyDescent="0.25">
      <c r="D2966" s="1"/>
      <c r="E2966" s="1"/>
    </row>
    <row r="2967" spans="4:5" x14ac:dyDescent="0.25">
      <c r="D2967" s="1"/>
      <c r="E2967" s="1"/>
    </row>
    <row r="2968" spans="4:5" x14ac:dyDescent="0.25">
      <c r="D2968" s="1"/>
      <c r="E2968" s="1"/>
    </row>
    <row r="2969" spans="4:5" x14ac:dyDescent="0.25">
      <c r="D2969" s="1"/>
      <c r="E2969" s="1"/>
    </row>
    <row r="2970" spans="4:5" x14ac:dyDescent="0.25">
      <c r="D2970" s="1"/>
      <c r="E2970" s="1"/>
    </row>
    <row r="2971" spans="4:5" x14ac:dyDescent="0.25">
      <c r="D2971" s="1"/>
      <c r="E2971" s="1"/>
    </row>
    <row r="2972" spans="4:5" x14ac:dyDescent="0.25">
      <c r="D2972" s="1"/>
      <c r="E2972" s="1"/>
    </row>
    <row r="2973" spans="4:5" x14ac:dyDescent="0.25">
      <c r="D2973" s="1"/>
      <c r="E2973" s="1"/>
    </row>
    <row r="2974" spans="4:5" x14ac:dyDescent="0.25">
      <c r="D2974" s="1"/>
      <c r="E2974" s="1"/>
    </row>
    <row r="2975" spans="4:5" x14ac:dyDescent="0.25">
      <c r="D2975" s="1"/>
      <c r="E2975" s="1"/>
    </row>
    <row r="2976" spans="4:5" x14ac:dyDescent="0.25">
      <c r="D2976" s="1"/>
      <c r="E2976" s="1"/>
    </row>
    <row r="2977" spans="4:5" x14ac:dyDescent="0.25">
      <c r="D2977" s="1"/>
      <c r="E2977" s="1"/>
    </row>
    <row r="2978" spans="4:5" x14ac:dyDescent="0.25">
      <c r="D2978" s="1"/>
      <c r="E2978" s="1"/>
    </row>
    <row r="2979" spans="4:5" x14ac:dyDescent="0.25">
      <c r="D2979" s="1"/>
      <c r="E2979" s="1"/>
    </row>
    <row r="2980" spans="4:5" x14ac:dyDescent="0.25">
      <c r="D2980" s="1"/>
      <c r="E2980" s="1"/>
    </row>
    <row r="2981" spans="4:5" x14ac:dyDescent="0.25">
      <c r="D2981" s="1"/>
      <c r="E2981" s="1"/>
    </row>
    <row r="2982" spans="4:5" x14ac:dyDescent="0.25">
      <c r="D2982" s="1"/>
      <c r="E2982" s="1"/>
    </row>
    <row r="2983" spans="4:5" x14ac:dyDescent="0.25">
      <c r="D2983" s="1"/>
      <c r="E2983" s="1"/>
    </row>
    <row r="2984" spans="4:5" x14ac:dyDescent="0.25">
      <c r="D2984" s="1"/>
      <c r="E2984" s="1"/>
    </row>
    <row r="2985" spans="4:5" x14ac:dyDescent="0.25">
      <c r="D2985" s="1"/>
      <c r="E2985" s="1"/>
    </row>
    <row r="2986" spans="4:5" x14ac:dyDescent="0.25">
      <c r="D2986" s="1"/>
      <c r="E2986" s="1"/>
    </row>
    <row r="2987" spans="4:5" x14ac:dyDescent="0.25">
      <c r="D2987" s="1"/>
      <c r="E2987" s="1"/>
    </row>
    <row r="2988" spans="4:5" x14ac:dyDescent="0.25">
      <c r="D2988" s="1"/>
      <c r="E2988" s="1"/>
    </row>
    <row r="2989" spans="4:5" x14ac:dyDescent="0.25">
      <c r="D2989" s="1"/>
      <c r="E2989" s="1"/>
    </row>
    <row r="2990" spans="4:5" x14ac:dyDescent="0.25">
      <c r="D2990" s="1"/>
      <c r="E2990" s="1"/>
    </row>
    <row r="2991" spans="4:5" x14ac:dyDescent="0.25">
      <c r="D2991" s="1"/>
      <c r="E2991" s="1"/>
    </row>
    <row r="2992" spans="4:5" x14ac:dyDescent="0.25">
      <c r="D2992" s="1"/>
      <c r="E2992" s="1"/>
    </row>
    <row r="2993" spans="4:5" x14ac:dyDescent="0.25">
      <c r="D2993" s="1"/>
      <c r="E2993" s="1"/>
    </row>
    <row r="2994" spans="4:5" x14ac:dyDescent="0.25">
      <c r="D2994" s="1"/>
      <c r="E2994" s="1"/>
    </row>
    <row r="2995" spans="4:5" x14ac:dyDescent="0.25">
      <c r="D2995" s="1"/>
      <c r="E2995" s="1"/>
    </row>
    <row r="2996" spans="4:5" x14ac:dyDescent="0.25">
      <c r="D2996" s="1"/>
      <c r="E2996" s="1"/>
    </row>
    <row r="2997" spans="4:5" x14ac:dyDescent="0.25">
      <c r="D2997" s="1"/>
      <c r="E2997" s="1"/>
    </row>
    <row r="2998" spans="4:5" x14ac:dyDescent="0.25">
      <c r="D2998" s="1"/>
      <c r="E2998" s="1"/>
    </row>
    <row r="2999" spans="4:5" x14ac:dyDescent="0.25">
      <c r="D2999" s="1"/>
      <c r="E2999" s="1"/>
    </row>
    <row r="3000" spans="4:5" x14ac:dyDescent="0.25">
      <c r="D3000" s="1"/>
      <c r="E3000" s="1"/>
    </row>
    <row r="3001" spans="4:5" x14ac:dyDescent="0.25">
      <c r="D3001" s="1"/>
      <c r="E3001" s="1"/>
    </row>
    <row r="3002" spans="4:5" x14ac:dyDescent="0.25">
      <c r="D3002" s="1"/>
      <c r="E3002" s="1"/>
    </row>
    <row r="3003" spans="4:5" x14ac:dyDescent="0.25">
      <c r="D3003" s="1"/>
      <c r="E3003" s="1"/>
    </row>
    <row r="3004" spans="4:5" x14ac:dyDescent="0.25">
      <c r="D3004" s="1"/>
      <c r="E3004" s="1"/>
    </row>
    <row r="3005" spans="4:5" x14ac:dyDescent="0.25">
      <c r="D3005" s="1"/>
      <c r="E3005" s="1"/>
    </row>
    <row r="3006" spans="4:5" x14ac:dyDescent="0.25">
      <c r="D3006" s="1"/>
      <c r="E3006" s="1"/>
    </row>
    <row r="3007" spans="4:5" x14ac:dyDescent="0.25">
      <c r="D3007" s="1"/>
      <c r="E3007" s="1"/>
    </row>
    <row r="3008" spans="4:5" x14ac:dyDescent="0.25">
      <c r="D3008" s="1"/>
      <c r="E3008" s="1"/>
    </row>
    <row r="3009" spans="4:5" x14ac:dyDescent="0.25">
      <c r="D3009" s="1"/>
      <c r="E3009" s="1"/>
    </row>
    <row r="3010" spans="4:5" x14ac:dyDescent="0.25">
      <c r="D3010" s="1"/>
      <c r="E3010" s="1"/>
    </row>
    <row r="3011" spans="4:5" x14ac:dyDescent="0.25">
      <c r="D3011" s="1"/>
      <c r="E3011" s="1"/>
    </row>
    <row r="3012" spans="4:5" x14ac:dyDescent="0.25">
      <c r="D3012" s="1"/>
      <c r="E3012" s="1"/>
    </row>
    <row r="3013" spans="4:5" x14ac:dyDescent="0.25">
      <c r="D3013" s="1"/>
      <c r="E3013" s="1"/>
    </row>
    <row r="3014" spans="4:5" x14ac:dyDescent="0.25">
      <c r="D3014" s="1"/>
      <c r="E3014" s="1"/>
    </row>
    <row r="3015" spans="4:5" x14ac:dyDescent="0.25">
      <c r="D3015" s="1"/>
      <c r="E3015" s="1"/>
    </row>
    <row r="3016" spans="4:5" x14ac:dyDescent="0.25">
      <c r="D3016" s="1"/>
      <c r="E3016" s="1"/>
    </row>
    <row r="3017" spans="4:5" x14ac:dyDescent="0.25">
      <c r="D3017" s="1"/>
      <c r="E3017" s="1"/>
    </row>
    <row r="3018" spans="4:5" x14ac:dyDescent="0.25">
      <c r="D3018" s="1"/>
      <c r="E3018" s="1"/>
    </row>
    <row r="3019" spans="4:5" x14ac:dyDescent="0.25">
      <c r="D3019" s="1"/>
      <c r="E3019" s="1"/>
    </row>
    <row r="3020" spans="4:5" x14ac:dyDescent="0.25">
      <c r="D3020" s="1"/>
      <c r="E3020" s="1"/>
    </row>
    <row r="3021" spans="4:5" x14ac:dyDescent="0.25">
      <c r="D3021" s="1"/>
      <c r="E3021" s="1"/>
    </row>
    <row r="3022" spans="4:5" x14ac:dyDescent="0.25">
      <c r="D3022" s="1"/>
      <c r="E3022" s="1"/>
    </row>
    <row r="3023" spans="4:5" x14ac:dyDescent="0.25">
      <c r="D3023" s="1"/>
      <c r="E3023" s="1"/>
    </row>
    <row r="3024" spans="4:5" x14ac:dyDescent="0.25">
      <c r="D3024" s="1"/>
      <c r="E3024" s="1"/>
    </row>
    <row r="3025" spans="4:5" x14ac:dyDescent="0.25">
      <c r="D3025" s="1"/>
      <c r="E3025" s="1"/>
    </row>
    <row r="3026" spans="4:5" x14ac:dyDescent="0.25">
      <c r="D3026" s="1"/>
      <c r="E3026" s="1"/>
    </row>
    <row r="3027" spans="4:5" x14ac:dyDescent="0.25">
      <c r="D3027" s="1"/>
      <c r="E3027" s="1"/>
    </row>
    <row r="3028" spans="4:5" x14ac:dyDescent="0.25">
      <c r="D3028" s="1"/>
      <c r="E3028" s="1"/>
    </row>
    <row r="3029" spans="4:5" x14ac:dyDescent="0.25">
      <c r="D3029" s="1"/>
      <c r="E3029" s="1"/>
    </row>
    <row r="3030" spans="4:5" x14ac:dyDescent="0.25">
      <c r="D3030" s="1"/>
      <c r="E3030" s="1"/>
    </row>
    <row r="3031" spans="4:5" x14ac:dyDescent="0.25">
      <c r="D3031" s="1"/>
      <c r="E3031" s="1"/>
    </row>
    <row r="3032" spans="4:5" x14ac:dyDescent="0.25">
      <c r="D3032" s="1"/>
      <c r="E3032" s="1"/>
    </row>
    <row r="3033" spans="4:5" x14ac:dyDescent="0.25">
      <c r="D3033" s="1"/>
      <c r="E3033" s="1"/>
    </row>
    <row r="3034" spans="4:5" x14ac:dyDescent="0.25">
      <c r="D3034" s="1"/>
      <c r="E3034" s="1"/>
    </row>
    <row r="3035" spans="4:5" x14ac:dyDescent="0.25">
      <c r="D3035" s="1"/>
      <c r="E3035" s="1"/>
    </row>
    <row r="3036" spans="4:5" x14ac:dyDescent="0.25">
      <c r="D3036" s="1"/>
      <c r="E3036" s="1"/>
    </row>
    <row r="3037" spans="4:5" x14ac:dyDescent="0.25">
      <c r="D3037" s="1"/>
      <c r="E3037" s="1"/>
    </row>
    <row r="3038" spans="4:5" x14ac:dyDescent="0.25">
      <c r="D3038" s="1"/>
      <c r="E3038" s="1"/>
    </row>
    <row r="3039" spans="4:5" x14ac:dyDescent="0.25">
      <c r="D3039" s="1"/>
      <c r="E3039" s="1"/>
    </row>
    <row r="3040" spans="4:5" x14ac:dyDescent="0.25">
      <c r="D3040" s="1"/>
      <c r="E3040" s="1"/>
    </row>
    <row r="3041" spans="4:5" x14ac:dyDescent="0.25">
      <c r="D3041" s="1"/>
      <c r="E3041" s="1"/>
    </row>
    <row r="3042" spans="4:5" x14ac:dyDescent="0.25">
      <c r="D3042" s="1"/>
      <c r="E3042" s="1"/>
    </row>
    <row r="3043" spans="4:5" x14ac:dyDescent="0.25">
      <c r="D3043" s="1"/>
      <c r="E3043" s="1"/>
    </row>
    <row r="3044" spans="4:5" x14ac:dyDescent="0.25">
      <c r="D3044" s="1"/>
      <c r="E3044" s="1"/>
    </row>
    <row r="3045" spans="4:5" x14ac:dyDescent="0.25">
      <c r="D3045" s="1"/>
      <c r="E3045" s="1"/>
    </row>
    <row r="3046" spans="4:5" x14ac:dyDescent="0.25">
      <c r="D3046" s="1"/>
      <c r="E3046" s="1"/>
    </row>
    <row r="3047" spans="4:5" x14ac:dyDescent="0.25">
      <c r="D3047" s="1"/>
      <c r="E3047" s="1"/>
    </row>
    <row r="3048" spans="4:5" x14ac:dyDescent="0.25">
      <c r="D3048" s="1"/>
      <c r="E3048" s="1"/>
    </row>
    <row r="3049" spans="4:5" x14ac:dyDescent="0.25">
      <c r="D3049" s="1"/>
      <c r="E3049" s="1"/>
    </row>
    <row r="3050" spans="4:5" x14ac:dyDescent="0.25">
      <c r="D3050" s="1"/>
      <c r="E3050" s="1"/>
    </row>
    <row r="3051" spans="4:5" x14ac:dyDescent="0.25">
      <c r="D3051" s="1"/>
      <c r="E3051" s="1"/>
    </row>
    <row r="3052" spans="4:5" x14ac:dyDescent="0.25">
      <c r="D3052" s="1"/>
      <c r="E3052" s="1"/>
    </row>
    <row r="3053" spans="4:5" x14ac:dyDescent="0.25">
      <c r="D3053" s="1"/>
      <c r="E3053" s="1"/>
    </row>
    <row r="3054" spans="4:5" x14ac:dyDescent="0.25">
      <c r="D3054" s="1"/>
      <c r="E3054" s="1"/>
    </row>
    <row r="3055" spans="4:5" x14ac:dyDescent="0.25">
      <c r="D3055" s="1"/>
      <c r="E3055" s="1"/>
    </row>
    <row r="3056" spans="4:5" x14ac:dyDescent="0.25">
      <c r="D3056" s="1"/>
      <c r="E3056" s="1"/>
    </row>
    <row r="3057" spans="4:5" x14ac:dyDescent="0.25">
      <c r="D3057" s="1"/>
      <c r="E3057" s="1"/>
    </row>
    <row r="3058" spans="4:5" x14ac:dyDescent="0.25">
      <c r="D3058" s="1"/>
      <c r="E3058" s="1"/>
    </row>
    <row r="3059" spans="4:5" x14ac:dyDescent="0.25">
      <c r="D3059" s="1"/>
      <c r="E3059" s="1"/>
    </row>
    <row r="3060" spans="4:5" x14ac:dyDescent="0.25">
      <c r="D3060" s="1"/>
      <c r="E3060" s="1"/>
    </row>
    <row r="3061" spans="4:5" x14ac:dyDescent="0.25">
      <c r="D3061" s="1"/>
      <c r="E3061" s="1"/>
    </row>
    <row r="3062" spans="4:5" x14ac:dyDescent="0.25">
      <c r="D3062" s="1"/>
      <c r="E3062" s="1"/>
    </row>
    <row r="3063" spans="4:5" x14ac:dyDescent="0.25">
      <c r="D3063" s="1"/>
      <c r="E3063" s="1"/>
    </row>
    <row r="3064" spans="4:5" x14ac:dyDescent="0.25">
      <c r="D3064" s="1"/>
      <c r="E3064" s="1"/>
    </row>
    <row r="3065" spans="4:5" x14ac:dyDescent="0.25">
      <c r="D3065" s="1"/>
      <c r="E3065" s="1"/>
    </row>
    <row r="3066" spans="4:5" x14ac:dyDescent="0.25">
      <c r="D3066" s="1"/>
      <c r="E3066" s="1"/>
    </row>
    <row r="3067" spans="4:5" x14ac:dyDescent="0.25">
      <c r="D3067" s="1"/>
      <c r="E3067" s="1"/>
    </row>
    <row r="3068" spans="4:5" x14ac:dyDescent="0.25">
      <c r="D3068" s="1"/>
      <c r="E3068" s="1"/>
    </row>
    <row r="3069" spans="4:5" x14ac:dyDescent="0.25">
      <c r="D3069" s="1"/>
      <c r="E3069" s="1"/>
    </row>
    <row r="3070" spans="4:5" x14ac:dyDescent="0.25">
      <c r="D3070" s="1"/>
      <c r="E3070" s="1"/>
    </row>
    <row r="3071" spans="4:5" x14ac:dyDescent="0.25">
      <c r="D3071" s="1"/>
      <c r="E3071" s="1"/>
    </row>
    <row r="3072" spans="4:5" x14ac:dyDescent="0.25">
      <c r="D3072" s="1"/>
      <c r="E3072" s="1"/>
    </row>
    <row r="3073" spans="4:5" x14ac:dyDescent="0.25">
      <c r="D3073" s="1"/>
      <c r="E3073" s="1"/>
    </row>
    <row r="3074" spans="4:5" x14ac:dyDescent="0.25">
      <c r="D3074" s="1"/>
      <c r="E3074" s="1"/>
    </row>
    <row r="3075" spans="4:5" x14ac:dyDescent="0.25">
      <c r="D3075" s="1"/>
      <c r="E3075" s="1"/>
    </row>
    <row r="3076" spans="4:5" x14ac:dyDescent="0.25">
      <c r="D3076" s="1"/>
      <c r="E3076" s="1"/>
    </row>
    <row r="3077" spans="4:5" x14ac:dyDescent="0.25">
      <c r="D3077" s="1"/>
      <c r="E3077" s="1"/>
    </row>
    <row r="3078" spans="4:5" x14ac:dyDescent="0.25">
      <c r="D3078" s="1"/>
      <c r="E3078" s="1"/>
    </row>
    <row r="3079" spans="4:5" x14ac:dyDescent="0.25">
      <c r="D3079" s="1"/>
      <c r="E3079" s="1"/>
    </row>
    <row r="3080" spans="4:5" x14ac:dyDescent="0.25">
      <c r="D3080" s="1"/>
      <c r="E3080" s="1"/>
    </row>
    <row r="3081" spans="4:5" x14ac:dyDescent="0.25">
      <c r="D3081" s="1"/>
      <c r="E3081" s="1"/>
    </row>
    <row r="3082" spans="4:5" x14ac:dyDescent="0.25">
      <c r="D3082" s="1"/>
      <c r="E3082" s="1"/>
    </row>
    <row r="3083" spans="4:5" x14ac:dyDescent="0.25">
      <c r="D3083" s="1"/>
      <c r="E3083" s="1"/>
    </row>
    <row r="3084" spans="4:5" x14ac:dyDescent="0.25">
      <c r="D3084" s="1"/>
      <c r="E3084" s="1"/>
    </row>
    <row r="3085" spans="4:5" x14ac:dyDescent="0.25">
      <c r="D3085" s="1"/>
      <c r="E3085" s="1"/>
    </row>
    <row r="3086" spans="4:5" x14ac:dyDescent="0.25">
      <c r="D3086" s="1"/>
      <c r="E3086" s="1"/>
    </row>
    <row r="3087" spans="4:5" x14ac:dyDescent="0.25">
      <c r="D3087" s="1"/>
      <c r="E3087" s="1"/>
    </row>
    <row r="3088" spans="4:5" x14ac:dyDescent="0.25">
      <c r="D3088" s="1"/>
      <c r="E3088" s="1"/>
    </row>
    <row r="3089" spans="4:5" x14ac:dyDescent="0.25">
      <c r="D3089" s="1"/>
      <c r="E3089" s="1"/>
    </row>
    <row r="3090" spans="4:5" x14ac:dyDescent="0.25">
      <c r="D3090" s="1"/>
      <c r="E3090" s="1"/>
    </row>
    <row r="3091" spans="4:5" x14ac:dyDescent="0.25">
      <c r="D3091" s="1"/>
      <c r="E3091" s="1"/>
    </row>
    <row r="3092" spans="4:5" x14ac:dyDescent="0.25">
      <c r="D3092" s="1"/>
      <c r="E3092" s="1"/>
    </row>
    <row r="3093" spans="4:5" x14ac:dyDescent="0.25">
      <c r="D3093" s="1"/>
      <c r="E3093" s="1"/>
    </row>
    <row r="3094" spans="4:5" x14ac:dyDescent="0.25">
      <c r="D3094" s="1"/>
      <c r="E3094" s="1"/>
    </row>
    <row r="3095" spans="4:5" x14ac:dyDescent="0.25">
      <c r="D3095" s="1"/>
      <c r="E3095" s="1"/>
    </row>
    <row r="3096" spans="4:5" x14ac:dyDescent="0.25">
      <c r="D3096" s="1"/>
      <c r="E3096" s="1"/>
    </row>
    <row r="3097" spans="4:5" x14ac:dyDescent="0.25">
      <c r="D3097" s="1"/>
      <c r="E3097" s="1"/>
    </row>
    <row r="3098" spans="4:5" x14ac:dyDescent="0.25">
      <c r="D3098" s="1"/>
      <c r="E3098" s="1"/>
    </row>
    <row r="3099" spans="4:5" x14ac:dyDescent="0.25">
      <c r="D3099" s="1"/>
      <c r="E3099" s="1"/>
    </row>
    <row r="3100" spans="4:5" x14ac:dyDescent="0.25">
      <c r="D3100" s="1"/>
      <c r="E3100" s="1"/>
    </row>
    <row r="3101" spans="4:5" x14ac:dyDescent="0.25">
      <c r="D3101" s="1"/>
      <c r="E3101" s="1"/>
    </row>
    <row r="3102" spans="4:5" x14ac:dyDescent="0.25">
      <c r="D3102" s="1"/>
      <c r="E3102" s="1"/>
    </row>
    <row r="3103" spans="4:5" x14ac:dyDescent="0.25">
      <c r="D3103" s="1"/>
      <c r="E3103" s="1"/>
    </row>
    <row r="3104" spans="4:5" x14ac:dyDescent="0.25">
      <c r="D3104" s="1"/>
      <c r="E3104" s="1"/>
    </row>
    <row r="3105" spans="4:5" x14ac:dyDescent="0.25">
      <c r="D3105" s="1"/>
      <c r="E3105" s="1"/>
    </row>
    <row r="3106" spans="4:5" x14ac:dyDescent="0.25">
      <c r="D3106" s="1"/>
      <c r="E3106" s="1"/>
    </row>
    <row r="3107" spans="4:5" x14ac:dyDescent="0.25">
      <c r="D3107" s="1"/>
      <c r="E3107" s="1"/>
    </row>
    <row r="3108" spans="4:5" x14ac:dyDescent="0.25">
      <c r="D3108" s="1"/>
      <c r="E3108" s="1"/>
    </row>
    <row r="3109" spans="4:5" x14ac:dyDescent="0.25">
      <c r="D3109" s="1"/>
      <c r="E3109" s="1"/>
    </row>
    <row r="3110" spans="4:5" x14ac:dyDescent="0.25">
      <c r="D3110" s="1"/>
      <c r="E3110" s="1"/>
    </row>
    <row r="3111" spans="4:5" x14ac:dyDescent="0.25">
      <c r="D3111" s="1"/>
      <c r="E3111" s="1"/>
    </row>
    <row r="3112" spans="4:5" x14ac:dyDescent="0.25">
      <c r="D3112" s="1"/>
      <c r="E3112" s="1"/>
    </row>
    <row r="3113" spans="4:5" x14ac:dyDescent="0.25">
      <c r="D3113" s="1"/>
      <c r="E3113" s="1"/>
    </row>
    <row r="3114" spans="4:5" x14ac:dyDescent="0.25">
      <c r="D3114" s="1"/>
      <c r="E3114" s="1"/>
    </row>
    <row r="3115" spans="4:5" x14ac:dyDescent="0.25">
      <c r="D3115" s="1"/>
      <c r="E3115" s="1"/>
    </row>
    <row r="3116" spans="4:5" x14ac:dyDescent="0.25">
      <c r="D3116" s="1"/>
      <c r="E3116" s="1"/>
    </row>
    <row r="3117" spans="4:5" x14ac:dyDescent="0.25">
      <c r="D3117" s="1"/>
      <c r="E3117" s="1"/>
    </row>
    <row r="3118" spans="4:5" x14ac:dyDescent="0.25">
      <c r="D3118" s="1"/>
      <c r="E3118" s="1"/>
    </row>
    <row r="3119" spans="4:5" x14ac:dyDescent="0.25">
      <c r="D3119" s="1"/>
      <c r="E3119" s="1"/>
    </row>
    <row r="3120" spans="4:5" x14ac:dyDescent="0.25">
      <c r="D3120" s="1"/>
      <c r="E3120" s="1"/>
    </row>
    <row r="3121" spans="4:5" x14ac:dyDescent="0.25">
      <c r="D3121" s="1"/>
      <c r="E3121" s="1"/>
    </row>
    <row r="3122" spans="4:5" x14ac:dyDescent="0.25">
      <c r="D3122" s="1"/>
      <c r="E3122" s="1"/>
    </row>
    <row r="3123" spans="4:5" x14ac:dyDescent="0.25">
      <c r="D3123" s="1"/>
      <c r="E3123" s="1"/>
    </row>
    <row r="3124" spans="4:5" x14ac:dyDescent="0.25">
      <c r="D3124" s="1"/>
      <c r="E3124" s="1"/>
    </row>
    <row r="3125" spans="4:5" x14ac:dyDescent="0.25">
      <c r="D3125" s="1"/>
      <c r="E3125" s="1"/>
    </row>
    <row r="3126" spans="4:5" x14ac:dyDescent="0.25">
      <c r="D3126" s="1"/>
      <c r="E3126" s="1"/>
    </row>
    <row r="3127" spans="4:5" x14ac:dyDescent="0.25">
      <c r="D3127" s="1"/>
      <c r="E3127" s="1"/>
    </row>
    <row r="3128" spans="4:5" x14ac:dyDescent="0.25">
      <c r="D3128" s="1"/>
      <c r="E3128" s="1"/>
    </row>
    <row r="3129" spans="4:5" x14ac:dyDescent="0.25">
      <c r="D3129" s="1"/>
      <c r="E3129" s="1"/>
    </row>
    <row r="3130" spans="4:5" x14ac:dyDescent="0.25">
      <c r="D3130" s="1"/>
      <c r="E3130" s="1"/>
    </row>
    <row r="3131" spans="4:5" x14ac:dyDescent="0.25">
      <c r="D3131" s="1"/>
      <c r="E3131" s="1"/>
    </row>
    <row r="3132" spans="4:5" x14ac:dyDescent="0.25">
      <c r="D3132" s="1"/>
      <c r="E3132" s="1"/>
    </row>
    <row r="3133" spans="4:5" x14ac:dyDescent="0.25">
      <c r="D3133" s="1"/>
      <c r="E3133" s="1"/>
    </row>
    <row r="3134" spans="4:5" x14ac:dyDescent="0.25">
      <c r="D3134" s="1"/>
      <c r="E3134" s="1"/>
    </row>
    <row r="3135" spans="4:5" x14ac:dyDescent="0.25">
      <c r="D3135" s="1"/>
      <c r="E3135" s="1"/>
    </row>
    <row r="3136" spans="4:5" x14ac:dyDescent="0.25">
      <c r="D3136" s="1"/>
      <c r="E3136" s="1"/>
    </row>
    <row r="3137" spans="4:5" x14ac:dyDescent="0.25">
      <c r="D3137" s="1"/>
      <c r="E3137" s="1"/>
    </row>
    <row r="3138" spans="4:5" x14ac:dyDescent="0.25">
      <c r="D3138" s="1"/>
      <c r="E3138" s="1"/>
    </row>
    <row r="3139" spans="4:5" x14ac:dyDescent="0.25">
      <c r="D3139" s="1"/>
      <c r="E3139" s="1"/>
    </row>
    <row r="3140" spans="4:5" x14ac:dyDescent="0.25">
      <c r="D3140" s="1"/>
      <c r="E3140" s="1"/>
    </row>
    <row r="3141" spans="4:5" x14ac:dyDescent="0.25">
      <c r="D3141" s="1"/>
      <c r="E3141" s="1"/>
    </row>
    <row r="3142" spans="4:5" x14ac:dyDescent="0.25">
      <c r="D3142" s="1"/>
      <c r="E3142" s="1"/>
    </row>
    <row r="3143" spans="4:5" x14ac:dyDescent="0.25">
      <c r="D3143" s="1"/>
      <c r="E3143" s="1"/>
    </row>
    <row r="3144" spans="4:5" x14ac:dyDescent="0.25">
      <c r="D3144" s="1"/>
      <c r="E3144" s="1"/>
    </row>
    <row r="3145" spans="4:5" x14ac:dyDescent="0.25">
      <c r="D3145" s="1"/>
      <c r="E3145" s="1"/>
    </row>
    <row r="3146" spans="4:5" x14ac:dyDescent="0.25">
      <c r="D3146" s="1"/>
      <c r="E3146" s="1"/>
    </row>
    <row r="3147" spans="4:5" x14ac:dyDescent="0.25">
      <c r="D3147" s="1"/>
      <c r="E3147" s="1"/>
    </row>
    <row r="3148" spans="4:5" x14ac:dyDescent="0.25">
      <c r="D3148" s="1"/>
      <c r="E3148" s="1"/>
    </row>
    <row r="3149" spans="4:5" x14ac:dyDescent="0.25">
      <c r="D3149" s="1"/>
      <c r="E3149" s="1"/>
    </row>
    <row r="3150" spans="4:5" x14ac:dyDescent="0.25">
      <c r="D3150" s="1"/>
      <c r="E3150" s="1"/>
    </row>
    <row r="3151" spans="4:5" x14ac:dyDescent="0.25">
      <c r="D3151" s="1"/>
      <c r="E3151" s="1"/>
    </row>
    <row r="3152" spans="4:5" x14ac:dyDescent="0.25">
      <c r="D3152" s="1"/>
      <c r="E3152" s="1"/>
    </row>
    <row r="3153" spans="4:5" x14ac:dyDescent="0.25">
      <c r="D3153" s="1"/>
      <c r="E3153" s="1"/>
    </row>
    <row r="3154" spans="4:5" x14ac:dyDescent="0.25">
      <c r="D3154" s="1"/>
      <c r="E3154" s="1"/>
    </row>
    <row r="3155" spans="4:5" x14ac:dyDescent="0.25">
      <c r="D3155" s="1"/>
      <c r="E3155" s="1"/>
    </row>
    <row r="3156" spans="4:5" x14ac:dyDescent="0.25">
      <c r="D3156" s="1"/>
      <c r="E3156" s="1"/>
    </row>
    <row r="3157" spans="4:5" x14ac:dyDescent="0.25">
      <c r="D3157" s="1"/>
      <c r="E3157" s="1"/>
    </row>
    <row r="3158" spans="4:5" x14ac:dyDescent="0.25">
      <c r="D3158" s="1"/>
      <c r="E3158" s="1"/>
    </row>
    <row r="3159" spans="4:5" x14ac:dyDescent="0.25">
      <c r="D3159" s="1"/>
      <c r="E3159" s="1"/>
    </row>
    <row r="3160" spans="4:5" x14ac:dyDescent="0.25">
      <c r="D3160" s="1"/>
      <c r="E3160" s="1"/>
    </row>
    <row r="3161" spans="4:5" x14ac:dyDescent="0.25">
      <c r="D3161" s="1"/>
      <c r="E3161" s="1"/>
    </row>
    <row r="3162" spans="4:5" x14ac:dyDescent="0.25">
      <c r="D3162" s="1"/>
      <c r="E3162" s="1"/>
    </row>
    <row r="3163" spans="4:5" x14ac:dyDescent="0.25">
      <c r="D3163" s="1"/>
      <c r="E3163" s="1"/>
    </row>
    <row r="3164" spans="4:5" x14ac:dyDescent="0.25">
      <c r="D3164" s="1"/>
      <c r="E3164" s="1"/>
    </row>
    <row r="3165" spans="4:5" x14ac:dyDescent="0.25">
      <c r="D3165" s="1"/>
      <c r="E3165" s="1"/>
    </row>
    <row r="3166" spans="4:5" x14ac:dyDescent="0.25">
      <c r="D3166" s="1"/>
      <c r="E3166" s="1"/>
    </row>
    <row r="3167" spans="4:5" x14ac:dyDescent="0.25">
      <c r="D3167" s="1"/>
      <c r="E3167" s="1"/>
    </row>
    <row r="3168" spans="4:5" x14ac:dyDescent="0.25">
      <c r="D3168" s="1"/>
      <c r="E3168" s="1"/>
    </row>
    <row r="3169" spans="4:5" x14ac:dyDescent="0.25">
      <c r="D3169" s="1"/>
      <c r="E3169" s="1"/>
    </row>
    <row r="3170" spans="4:5" x14ac:dyDescent="0.25">
      <c r="D3170" s="1"/>
      <c r="E3170" s="1"/>
    </row>
    <row r="3171" spans="4:5" x14ac:dyDescent="0.25">
      <c r="D3171" s="1"/>
      <c r="E3171" s="1"/>
    </row>
    <row r="3172" spans="4:5" x14ac:dyDescent="0.25">
      <c r="D3172" s="1"/>
      <c r="E3172" s="1"/>
    </row>
    <row r="3173" spans="4:5" x14ac:dyDescent="0.25">
      <c r="D3173" s="1"/>
      <c r="E3173" s="1"/>
    </row>
    <row r="3174" spans="4:5" x14ac:dyDescent="0.25">
      <c r="D3174" s="1"/>
      <c r="E3174" s="1"/>
    </row>
    <row r="3175" spans="4:5" x14ac:dyDescent="0.25">
      <c r="D3175" s="1"/>
      <c r="E3175" s="1"/>
    </row>
    <row r="3176" spans="4:5" x14ac:dyDescent="0.25">
      <c r="D3176" s="1"/>
      <c r="E3176" s="1"/>
    </row>
    <row r="3177" spans="4:5" x14ac:dyDescent="0.25">
      <c r="D3177" s="1"/>
      <c r="E3177" s="1"/>
    </row>
    <row r="3178" spans="4:5" x14ac:dyDescent="0.25">
      <c r="D3178" s="1"/>
      <c r="E3178" s="1"/>
    </row>
    <row r="3179" spans="4:5" x14ac:dyDescent="0.25">
      <c r="D3179" s="1"/>
      <c r="E3179" s="1"/>
    </row>
    <row r="3180" spans="4:5" x14ac:dyDescent="0.25">
      <c r="D3180" s="1"/>
      <c r="E3180" s="1"/>
    </row>
    <row r="3181" spans="4:5" x14ac:dyDescent="0.25">
      <c r="D3181" s="1"/>
      <c r="E3181" s="1"/>
    </row>
    <row r="3182" spans="4:5" x14ac:dyDescent="0.25">
      <c r="D3182" s="1"/>
      <c r="E3182" s="1"/>
    </row>
    <row r="3183" spans="4:5" x14ac:dyDescent="0.25">
      <c r="D3183" s="1"/>
      <c r="E3183" s="1"/>
    </row>
    <row r="3184" spans="4:5" x14ac:dyDescent="0.25">
      <c r="D3184" s="1"/>
      <c r="E3184" s="1"/>
    </row>
    <row r="3185" spans="4:5" x14ac:dyDescent="0.25">
      <c r="D3185" s="1"/>
      <c r="E3185" s="1"/>
    </row>
    <row r="3186" spans="4:5" x14ac:dyDescent="0.25">
      <c r="D3186" s="1"/>
      <c r="E3186" s="1"/>
    </row>
    <row r="3187" spans="4:5" x14ac:dyDescent="0.25">
      <c r="D3187" s="1"/>
      <c r="E3187" s="1"/>
    </row>
    <row r="3188" spans="4:5" x14ac:dyDescent="0.25">
      <c r="D3188" s="1"/>
      <c r="E3188" s="1"/>
    </row>
    <row r="3189" spans="4:5" x14ac:dyDescent="0.25">
      <c r="D3189" s="1"/>
      <c r="E3189" s="1"/>
    </row>
    <row r="3190" spans="4:5" x14ac:dyDescent="0.25">
      <c r="D3190" s="1"/>
      <c r="E3190" s="1"/>
    </row>
    <row r="3191" spans="4:5" x14ac:dyDescent="0.25">
      <c r="D3191" s="1"/>
      <c r="E3191" s="1"/>
    </row>
    <row r="3192" spans="4:5" x14ac:dyDescent="0.25">
      <c r="D3192" s="1"/>
      <c r="E3192" s="1"/>
    </row>
    <row r="3193" spans="4:5" x14ac:dyDescent="0.25">
      <c r="D3193" s="1"/>
      <c r="E3193" s="1"/>
    </row>
    <row r="3194" spans="4:5" x14ac:dyDescent="0.25">
      <c r="D3194" s="1"/>
      <c r="E3194" s="1"/>
    </row>
    <row r="3195" spans="4:5" x14ac:dyDescent="0.25">
      <c r="D3195" s="1"/>
      <c r="E3195" s="1"/>
    </row>
    <row r="3196" spans="4:5" x14ac:dyDescent="0.25">
      <c r="D3196" s="1"/>
      <c r="E3196" s="1"/>
    </row>
    <row r="3197" spans="4:5" x14ac:dyDescent="0.25">
      <c r="D3197" s="1"/>
      <c r="E3197" s="1"/>
    </row>
    <row r="3198" spans="4:5" x14ac:dyDescent="0.25">
      <c r="D3198" s="1"/>
      <c r="E3198" s="1"/>
    </row>
    <row r="3199" spans="4:5" x14ac:dyDescent="0.25">
      <c r="D3199" s="1"/>
      <c r="E3199" s="1"/>
    </row>
    <row r="3200" spans="4:5" x14ac:dyDescent="0.25">
      <c r="D3200" s="1"/>
      <c r="E3200" s="1"/>
    </row>
    <row r="3201" spans="4:5" x14ac:dyDescent="0.25">
      <c r="D3201" s="1"/>
      <c r="E3201" s="1"/>
    </row>
    <row r="3202" spans="4:5" x14ac:dyDescent="0.25">
      <c r="D3202" s="1"/>
      <c r="E3202" s="1"/>
    </row>
    <row r="3203" spans="4:5" x14ac:dyDescent="0.25">
      <c r="D3203" s="1"/>
      <c r="E3203" s="1"/>
    </row>
    <row r="3204" spans="4:5" x14ac:dyDescent="0.25">
      <c r="D3204" s="1"/>
      <c r="E3204" s="1"/>
    </row>
    <row r="3205" spans="4:5" x14ac:dyDescent="0.25">
      <c r="D3205" s="1"/>
      <c r="E3205" s="1"/>
    </row>
    <row r="3206" spans="4:5" x14ac:dyDescent="0.25">
      <c r="D3206" s="1"/>
      <c r="E3206" s="1"/>
    </row>
    <row r="3207" spans="4:5" x14ac:dyDescent="0.25">
      <c r="D3207" s="1"/>
      <c r="E3207" s="1"/>
    </row>
    <row r="3208" spans="4:5" x14ac:dyDescent="0.25">
      <c r="D3208" s="1"/>
      <c r="E3208" s="1"/>
    </row>
    <row r="3209" spans="4:5" x14ac:dyDescent="0.25">
      <c r="D3209" s="1"/>
      <c r="E3209" s="1"/>
    </row>
    <row r="3210" spans="4:5" x14ac:dyDescent="0.25">
      <c r="D3210" s="1"/>
      <c r="E3210" s="1"/>
    </row>
    <row r="3211" spans="4:5" x14ac:dyDescent="0.25">
      <c r="D3211" s="1"/>
      <c r="E3211" s="1"/>
    </row>
    <row r="3212" spans="4:5" x14ac:dyDescent="0.25">
      <c r="D3212" s="1"/>
      <c r="E3212" s="1"/>
    </row>
    <row r="3213" spans="4:5" x14ac:dyDescent="0.25">
      <c r="D3213" s="1"/>
      <c r="E3213" s="1"/>
    </row>
    <row r="3214" spans="4:5" x14ac:dyDescent="0.25">
      <c r="D3214" s="1"/>
      <c r="E3214" s="1"/>
    </row>
    <row r="3215" spans="4:5" x14ac:dyDescent="0.25">
      <c r="D3215" s="1"/>
      <c r="E3215" s="1"/>
    </row>
    <row r="3216" spans="4:5" x14ac:dyDescent="0.25">
      <c r="D3216" s="1"/>
      <c r="E3216" s="1"/>
    </row>
    <row r="3217" spans="4:5" x14ac:dyDescent="0.25">
      <c r="D3217" s="1"/>
      <c r="E3217" s="1"/>
    </row>
    <row r="3218" spans="4:5" x14ac:dyDescent="0.25">
      <c r="D3218" s="1"/>
      <c r="E3218" s="1"/>
    </row>
    <row r="3219" spans="4:5" x14ac:dyDescent="0.25">
      <c r="D3219" s="1"/>
      <c r="E3219" s="1"/>
    </row>
    <row r="3220" spans="4:5" x14ac:dyDescent="0.25">
      <c r="D3220" s="1"/>
      <c r="E3220" s="1"/>
    </row>
    <row r="3221" spans="4:5" x14ac:dyDescent="0.25">
      <c r="D3221" s="1"/>
      <c r="E3221" s="1"/>
    </row>
    <row r="3222" spans="4:5" x14ac:dyDescent="0.25">
      <c r="D3222" s="1"/>
      <c r="E3222" s="1"/>
    </row>
    <row r="3223" spans="4:5" x14ac:dyDescent="0.25">
      <c r="D3223" s="1"/>
      <c r="E3223" s="1"/>
    </row>
    <row r="3224" spans="4:5" x14ac:dyDescent="0.25">
      <c r="D3224" s="1"/>
      <c r="E3224" s="1"/>
    </row>
    <row r="3225" spans="4:5" x14ac:dyDescent="0.25">
      <c r="D3225" s="1"/>
      <c r="E3225" s="1"/>
    </row>
    <row r="3226" spans="4:5" x14ac:dyDescent="0.25">
      <c r="D3226" s="1"/>
      <c r="E3226" s="1"/>
    </row>
    <row r="3227" spans="4:5" x14ac:dyDescent="0.25">
      <c r="D3227" s="1"/>
      <c r="E3227" s="1"/>
    </row>
    <row r="3228" spans="4:5" x14ac:dyDescent="0.25">
      <c r="D3228" s="1"/>
      <c r="E3228" s="1"/>
    </row>
    <row r="3229" spans="4:5" x14ac:dyDescent="0.25">
      <c r="D3229" s="1"/>
      <c r="E3229" s="1"/>
    </row>
    <row r="3230" spans="4:5" x14ac:dyDescent="0.25">
      <c r="D3230" s="1"/>
      <c r="E3230" s="1"/>
    </row>
    <row r="3231" spans="4:5" x14ac:dyDescent="0.25">
      <c r="D3231" s="1"/>
      <c r="E3231" s="1"/>
    </row>
    <row r="3232" spans="4:5" x14ac:dyDescent="0.25">
      <c r="D3232" s="1"/>
      <c r="E3232" s="1"/>
    </row>
    <row r="3233" spans="4:5" x14ac:dyDescent="0.25">
      <c r="D3233" s="1"/>
      <c r="E3233" s="1"/>
    </row>
  </sheetData>
  <pageMargins left="0.7" right="0.7" top="0.75" bottom="0.75" header="0.3" footer="0.3"/>
  <drawing r:id="rId3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I3233"/>
  <sheetViews>
    <sheetView workbookViewId="0">
      <selection activeCell="X8" sqref="X8"/>
    </sheetView>
  </sheetViews>
  <sheetFormatPr defaultRowHeight="15" x14ac:dyDescent="0.25"/>
  <cols>
    <col min="4" max="4" width="9.7109375" customWidth="1"/>
    <col min="5" max="5" width="7.42578125" customWidth="1"/>
    <col min="6" max="6" width="11.28515625" bestFit="1" customWidth="1"/>
    <col min="8" max="8" width="15.85546875" bestFit="1" customWidth="1"/>
    <col min="12" max="12" width="14.140625" customWidth="1"/>
    <col min="13" max="13" width="16.28515625" bestFit="1" customWidth="1"/>
    <col min="14" max="14" width="7" customWidth="1"/>
    <col min="15" max="15" width="8" customWidth="1"/>
    <col min="16" max="16" width="10.85546875" customWidth="1"/>
    <col min="17" max="17" width="9.5703125" customWidth="1"/>
    <col min="18" max="18" width="11.28515625" bestFit="1" customWidth="1"/>
    <col min="22" max="22" width="14.140625" customWidth="1"/>
    <col min="23" max="23" width="18.7109375" customWidth="1"/>
    <col min="24" max="24" width="12.7109375" customWidth="1"/>
    <col min="25" max="26" width="11.28515625" customWidth="1"/>
    <col min="27" max="27" width="11.28515625" bestFit="1" customWidth="1"/>
    <col min="34" max="34" width="9.7109375" bestFit="1" customWidth="1"/>
    <col min="35" max="35" width="9.140625" style="12"/>
  </cols>
  <sheetData>
    <row r="4" spans="1:35" x14ac:dyDescent="0.25">
      <c r="A4" s="11" t="s">
        <v>26</v>
      </c>
      <c r="B4" s="11" t="s">
        <v>0</v>
      </c>
      <c r="C4" s="11" t="s">
        <v>1</v>
      </c>
      <c r="F4" s="11" t="s">
        <v>26</v>
      </c>
      <c r="G4" s="11" t="s">
        <v>0</v>
      </c>
      <c r="H4" s="11" t="s">
        <v>13</v>
      </c>
      <c r="L4" s="2" t="s">
        <v>11</v>
      </c>
      <c r="M4" s="2" t="s">
        <v>10</v>
      </c>
      <c r="V4" s="2" t="s">
        <v>11</v>
      </c>
      <c r="W4" s="2" t="s">
        <v>10</v>
      </c>
      <c r="AG4" s="14" t="s">
        <v>47</v>
      </c>
    </row>
    <row r="5" spans="1:35" x14ac:dyDescent="0.25">
      <c r="A5" s="10">
        <v>38353</v>
      </c>
      <c r="B5">
        <v>886</v>
      </c>
      <c r="C5" t="s">
        <v>2</v>
      </c>
      <c r="F5" s="10">
        <v>38353</v>
      </c>
      <c r="G5">
        <v>551</v>
      </c>
      <c r="H5" s="11" t="s">
        <v>16</v>
      </c>
      <c r="L5" s="2" t="s">
        <v>7</v>
      </c>
      <c r="M5" t="s">
        <v>3</v>
      </c>
      <c r="N5" t="s">
        <v>5</v>
      </c>
      <c r="O5" t="s">
        <v>2</v>
      </c>
      <c r="P5" t="s">
        <v>4</v>
      </c>
      <c r="Q5" t="s">
        <v>6</v>
      </c>
      <c r="R5" t="s">
        <v>9</v>
      </c>
      <c r="V5" s="2" t="s">
        <v>7</v>
      </c>
      <c r="W5" t="s">
        <v>16</v>
      </c>
      <c r="X5" t="s">
        <v>15</v>
      </c>
      <c r="Y5" t="s">
        <v>9</v>
      </c>
      <c r="AE5" t="s">
        <v>41</v>
      </c>
      <c r="AF5" t="s">
        <v>46</v>
      </c>
      <c r="AG5" t="s">
        <v>44</v>
      </c>
      <c r="AI5" s="12" t="s">
        <v>45</v>
      </c>
    </row>
    <row r="6" spans="1:35" x14ac:dyDescent="0.25">
      <c r="A6" s="10">
        <v>38353</v>
      </c>
      <c r="B6" s="11">
        <v>203</v>
      </c>
      <c r="C6" s="11" t="s">
        <v>3</v>
      </c>
      <c r="D6" s="1"/>
      <c r="F6" s="10">
        <v>38353</v>
      </c>
      <c r="G6" s="11">
        <v>538</v>
      </c>
      <c r="H6" s="11" t="s">
        <v>15</v>
      </c>
      <c r="L6" s="3">
        <v>38353</v>
      </c>
      <c r="M6" s="5">
        <v>203</v>
      </c>
      <c r="N6" s="5"/>
      <c r="O6" s="5">
        <v>886</v>
      </c>
      <c r="P6" s="5"/>
      <c r="Q6" s="5"/>
      <c r="R6" s="5">
        <v>1089</v>
      </c>
      <c r="V6" s="3">
        <v>38353</v>
      </c>
      <c r="W6" s="5">
        <v>551</v>
      </c>
      <c r="X6" s="5">
        <v>538</v>
      </c>
      <c r="Y6" s="5">
        <v>1089</v>
      </c>
      <c r="AD6" s="3">
        <v>39965</v>
      </c>
      <c r="AE6">
        <f>VLOOKUP(AD6,L:R,3,0)</f>
        <v>6710</v>
      </c>
      <c r="AF6">
        <f>VLOOKUP(AD6,L:R,7,0)</f>
        <v>169223</v>
      </c>
      <c r="AG6">
        <f>VLOOKUP(AD6,V:Z,3,0)</f>
        <v>146791</v>
      </c>
      <c r="AH6" s="1">
        <f>AD6</f>
        <v>39965</v>
      </c>
      <c r="AI6" s="12">
        <f t="shared" ref="AI6:AI37" si="0">AE6/AG6</f>
        <v>4.5711249327274835E-2</v>
      </c>
    </row>
    <row r="7" spans="1:35" x14ac:dyDescent="0.25">
      <c r="A7" s="10">
        <v>38384</v>
      </c>
      <c r="B7" s="11">
        <v>200</v>
      </c>
      <c r="C7" s="11" t="s">
        <v>3</v>
      </c>
      <c r="D7" s="1"/>
      <c r="F7" s="10">
        <v>38384</v>
      </c>
      <c r="G7" s="11">
        <v>534</v>
      </c>
      <c r="H7" s="11" t="s">
        <v>15</v>
      </c>
      <c r="L7" s="3">
        <v>38384</v>
      </c>
      <c r="M7" s="5">
        <v>200</v>
      </c>
      <c r="N7" s="5"/>
      <c r="O7" s="5">
        <v>870</v>
      </c>
      <c r="P7" s="5"/>
      <c r="Q7" s="5"/>
      <c r="R7" s="5">
        <v>1070</v>
      </c>
      <c r="V7" s="3">
        <v>38384</v>
      </c>
      <c r="W7" s="5">
        <v>536</v>
      </c>
      <c r="X7" s="5">
        <v>534</v>
      </c>
      <c r="Y7" s="5">
        <v>1070</v>
      </c>
      <c r="AD7" s="3">
        <v>39995</v>
      </c>
      <c r="AE7">
        <f t="shared" ref="AE7:AE70" si="1">VLOOKUP(AD7,L:R,3,0)</f>
        <v>7064</v>
      </c>
      <c r="AF7">
        <f t="shared" ref="AF7:AF70" si="2">VLOOKUP(AD7,L:R,7,0)</f>
        <v>167924</v>
      </c>
      <c r="AG7">
        <f t="shared" ref="AG7:AG70" si="3">VLOOKUP(AD7,V:Z,3,0)</f>
        <v>142852</v>
      </c>
      <c r="AH7" s="1">
        <f t="shared" ref="AH7:AH70" si="4">AD7</f>
        <v>39995</v>
      </c>
      <c r="AI7" s="12">
        <f t="shared" si="0"/>
        <v>4.9449780192086915E-2</v>
      </c>
    </row>
    <row r="8" spans="1:35" x14ac:dyDescent="0.25">
      <c r="A8" s="10">
        <v>38384</v>
      </c>
      <c r="B8" s="11">
        <v>870</v>
      </c>
      <c r="C8" s="11" t="s">
        <v>2</v>
      </c>
      <c r="D8" s="1"/>
      <c r="F8" s="10">
        <v>38384</v>
      </c>
      <c r="G8" s="11">
        <v>536</v>
      </c>
      <c r="H8" s="11" t="s">
        <v>16</v>
      </c>
      <c r="L8" s="3">
        <v>38412</v>
      </c>
      <c r="M8" s="5">
        <v>141</v>
      </c>
      <c r="N8" s="5"/>
      <c r="O8" s="5">
        <v>736</v>
      </c>
      <c r="P8" s="5"/>
      <c r="Q8" s="5"/>
      <c r="R8" s="5">
        <v>877</v>
      </c>
      <c r="V8" s="3">
        <v>38412</v>
      </c>
      <c r="W8" s="5">
        <v>443</v>
      </c>
      <c r="X8" s="5">
        <v>434</v>
      </c>
      <c r="Y8" s="5">
        <v>877</v>
      </c>
      <c r="AD8" s="3">
        <v>40026</v>
      </c>
      <c r="AE8">
        <f t="shared" si="1"/>
        <v>10110</v>
      </c>
      <c r="AF8">
        <f t="shared" si="2"/>
        <v>158038</v>
      </c>
      <c r="AG8">
        <f t="shared" si="3"/>
        <v>124476</v>
      </c>
      <c r="AH8" s="1">
        <f t="shared" si="4"/>
        <v>40026</v>
      </c>
      <c r="AI8" s="12">
        <f t="shared" si="0"/>
        <v>8.1220476236382913E-2</v>
      </c>
    </row>
    <row r="9" spans="1:35" x14ac:dyDescent="0.25">
      <c r="A9" s="10">
        <v>38412</v>
      </c>
      <c r="B9" s="11">
        <v>736</v>
      </c>
      <c r="C9" s="11" t="s">
        <v>2</v>
      </c>
      <c r="D9" s="1"/>
      <c r="F9" s="10">
        <v>38412</v>
      </c>
      <c r="G9" s="11">
        <v>443</v>
      </c>
      <c r="H9" s="11" t="s">
        <v>16</v>
      </c>
      <c r="L9" s="3">
        <v>38443</v>
      </c>
      <c r="M9" s="5">
        <v>214</v>
      </c>
      <c r="N9" s="5"/>
      <c r="O9" s="5">
        <v>807</v>
      </c>
      <c r="P9" s="5"/>
      <c r="Q9" s="5"/>
      <c r="R9" s="5">
        <v>1021</v>
      </c>
      <c r="V9" s="3">
        <v>38443</v>
      </c>
      <c r="W9" s="5">
        <v>461</v>
      </c>
      <c r="X9" s="5">
        <v>560</v>
      </c>
      <c r="Y9" s="5">
        <v>1021</v>
      </c>
      <c r="AD9" s="3">
        <v>40057</v>
      </c>
      <c r="AE9">
        <f t="shared" si="1"/>
        <v>8591</v>
      </c>
      <c r="AF9">
        <f t="shared" si="2"/>
        <v>124948</v>
      </c>
      <c r="AG9">
        <f t="shared" si="3"/>
        <v>87106</v>
      </c>
      <c r="AH9" s="1">
        <f t="shared" si="4"/>
        <v>40057</v>
      </c>
      <c r="AI9" s="12">
        <f t="shared" si="0"/>
        <v>9.8626960255321097E-2</v>
      </c>
    </row>
    <row r="10" spans="1:35" x14ac:dyDescent="0.25">
      <c r="A10" s="10">
        <v>38412</v>
      </c>
      <c r="B10" s="11">
        <v>141</v>
      </c>
      <c r="C10" s="11" t="s">
        <v>3</v>
      </c>
      <c r="D10" s="1"/>
      <c r="F10" s="10">
        <v>38412</v>
      </c>
      <c r="G10" s="11">
        <v>434</v>
      </c>
      <c r="H10" s="11" t="s">
        <v>15</v>
      </c>
      <c r="L10" s="3">
        <v>38473</v>
      </c>
      <c r="M10" s="5">
        <v>328</v>
      </c>
      <c r="N10" s="5"/>
      <c r="O10" s="5">
        <v>1241</v>
      </c>
      <c r="P10" s="5"/>
      <c r="Q10" s="5"/>
      <c r="R10" s="5">
        <v>1569</v>
      </c>
      <c r="V10" s="3">
        <v>38473</v>
      </c>
      <c r="W10" s="5">
        <v>691</v>
      </c>
      <c r="X10" s="5">
        <v>878</v>
      </c>
      <c r="Y10" s="5">
        <v>1569</v>
      </c>
      <c r="AD10" s="3">
        <v>40087</v>
      </c>
      <c r="AE10">
        <f t="shared" si="1"/>
        <v>7271</v>
      </c>
      <c r="AF10">
        <f t="shared" si="2"/>
        <v>85201</v>
      </c>
      <c r="AG10">
        <f t="shared" si="3"/>
        <v>54292</v>
      </c>
      <c r="AH10" s="1">
        <f t="shared" si="4"/>
        <v>40087</v>
      </c>
      <c r="AI10" s="12">
        <f t="shared" si="0"/>
        <v>0.1339239666985928</v>
      </c>
    </row>
    <row r="11" spans="1:35" x14ac:dyDescent="0.25">
      <c r="A11" s="10">
        <v>38443</v>
      </c>
      <c r="B11" s="11">
        <v>214</v>
      </c>
      <c r="C11" s="11" t="s">
        <v>3</v>
      </c>
      <c r="D11" s="1"/>
      <c r="F11" s="10">
        <v>38443</v>
      </c>
      <c r="G11" s="11">
        <v>560</v>
      </c>
      <c r="H11" s="11" t="s">
        <v>15</v>
      </c>
      <c r="L11" s="3">
        <v>38504</v>
      </c>
      <c r="M11" s="5">
        <v>228</v>
      </c>
      <c r="N11" s="5"/>
      <c r="O11" s="5">
        <v>1286</v>
      </c>
      <c r="P11" s="5"/>
      <c r="Q11" s="5"/>
      <c r="R11" s="5">
        <v>1514</v>
      </c>
      <c r="V11" s="3">
        <v>38504</v>
      </c>
      <c r="W11" s="5">
        <v>807</v>
      </c>
      <c r="X11" s="5">
        <v>707</v>
      </c>
      <c r="Y11" s="5">
        <v>1514</v>
      </c>
      <c r="AD11" s="3">
        <v>40118</v>
      </c>
      <c r="AE11">
        <f t="shared" si="1"/>
        <v>6267</v>
      </c>
      <c r="AF11">
        <f t="shared" si="2"/>
        <v>77417</v>
      </c>
      <c r="AG11">
        <f t="shared" si="3"/>
        <v>48305</v>
      </c>
      <c r="AH11" s="1">
        <f t="shared" si="4"/>
        <v>40118</v>
      </c>
      <c r="AI11" s="12">
        <f t="shared" si="0"/>
        <v>0.12973812234758306</v>
      </c>
    </row>
    <row r="12" spans="1:35" x14ac:dyDescent="0.25">
      <c r="A12" s="10">
        <v>38443</v>
      </c>
      <c r="B12" s="11">
        <v>807</v>
      </c>
      <c r="C12" s="11" t="s">
        <v>2</v>
      </c>
      <c r="D12" s="1"/>
      <c r="F12" s="10">
        <v>38443</v>
      </c>
      <c r="G12" s="11">
        <v>461</v>
      </c>
      <c r="H12" s="11" t="s">
        <v>16</v>
      </c>
      <c r="L12" s="3">
        <v>38534</v>
      </c>
      <c r="M12" s="5">
        <v>255</v>
      </c>
      <c r="N12" s="5"/>
      <c r="O12" s="5">
        <v>1677</v>
      </c>
      <c r="P12" s="5"/>
      <c r="Q12" s="5"/>
      <c r="R12" s="5">
        <v>1932</v>
      </c>
      <c r="V12" s="3">
        <v>38534</v>
      </c>
      <c r="W12" s="5">
        <v>1136</v>
      </c>
      <c r="X12" s="5">
        <v>796</v>
      </c>
      <c r="Y12" s="5">
        <v>1932</v>
      </c>
      <c r="AD12" s="3">
        <v>40148</v>
      </c>
      <c r="AE12">
        <f t="shared" si="1"/>
        <v>9286</v>
      </c>
      <c r="AF12">
        <f t="shared" si="2"/>
        <v>89349</v>
      </c>
      <c r="AG12">
        <f t="shared" si="3"/>
        <v>58549</v>
      </c>
      <c r="AH12" s="1">
        <f t="shared" si="4"/>
        <v>40148</v>
      </c>
      <c r="AI12" s="12">
        <f t="shared" si="0"/>
        <v>0.15860219645083606</v>
      </c>
    </row>
    <row r="13" spans="1:35" x14ac:dyDescent="0.25">
      <c r="A13" s="10">
        <v>38473</v>
      </c>
      <c r="B13" s="11">
        <v>328</v>
      </c>
      <c r="C13" s="11" t="s">
        <v>3</v>
      </c>
      <c r="D13" s="1"/>
      <c r="F13" s="10">
        <v>38473</v>
      </c>
      <c r="G13" s="11">
        <v>691</v>
      </c>
      <c r="H13" s="11" t="s">
        <v>16</v>
      </c>
      <c r="L13" s="3">
        <v>38565</v>
      </c>
      <c r="M13" s="5">
        <v>319</v>
      </c>
      <c r="N13" s="5"/>
      <c r="O13" s="5">
        <v>2059</v>
      </c>
      <c r="P13" s="5"/>
      <c r="Q13" s="5"/>
      <c r="R13" s="5">
        <v>2378</v>
      </c>
      <c r="V13" s="3">
        <v>38565</v>
      </c>
      <c r="W13" s="5">
        <v>1378</v>
      </c>
      <c r="X13" s="5">
        <v>1000</v>
      </c>
      <c r="Y13" s="5">
        <v>2378</v>
      </c>
      <c r="AD13" s="3">
        <v>40179</v>
      </c>
      <c r="AE13">
        <f t="shared" si="1"/>
        <v>12219</v>
      </c>
      <c r="AF13">
        <f t="shared" si="2"/>
        <v>91026</v>
      </c>
      <c r="AG13">
        <f t="shared" si="3"/>
        <v>62306</v>
      </c>
      <c r="AH13" s="1">
        <f t="shared" si="4"/>
        <v>40179</v>
      </c>
      <c r="AI13" s="12">
        <f t="shared" si="0"/>
        <v>0.19611273392610665</v>
      </c>
    </row>
    <row r="14" spans="1:35" x14ac:dyDescent="0.25">
      <c r="A14" s="10">
        <v>38473</v>
      </c>
      <c r="B14" s="11">
        <v>1241</v>
      </c>
      <c r="C14" s="11" t="s">
        <v>2</v>
      </c>
      <c r="D14" s="1"/>
      <c r="F14" s="10">
        <v>38473</v>
      </c>
      <c r="G14" s="11">
        <v>878</v>
      </c>
      <c r="H14" s="11" t="s">
        <v>15</v>
      </c>
      <c r="L14" s="3">
        <v>38596</v>
      </c>
      <c r="M14" s="5">
        <v>522</v>
      </c>
      <c r="N14" s="5"/>
      <c r="O14" s="5">
        <v>2809</v>
      </c>
      <c r="P14" s="5"/>
      <c r="Q14" s="5"/>
      <c r="R14" s="5">
        <v>3331</v>
      </c>
      <c r="V14" s="3">
        <v>38596</v>
      </c>
      <c r="W14" s="5">
        <v>1664</v>
      </c>
      <c r="X14" s="5">
        <v>1667</v>
      </c>
      <c r="Y14" s="5">
        <v>3331</v>
      </c>
      <c r="AD14" s="3">
        <v>40210</v>
      </c>
      <c r="AE14">
        <f t="shared" si="1"/>
        <v>13101</v>
      </c>
      <c r="AF14">
        <f t="shared" si="2"/>
        <v>90729</v>
      </c>
      <c r="AG14">
        <f t="shared" si="3"/>
        <v>65898</v>
      </c>
      <c r="AH14" s="1">
        <f t="shared" si="4"/>
        <v>40210</v>
      </c>
      <c r="AI14" s="12">
        <f t="shared" si="0"/>
        <v>0.19880724756441773</v>
      </c>
    </row>
    <row r="15" spans="1:35" x14ac:dyDescent="0.25">
      <c r="A15" s="10">
        <v>38504</v>
      </c>
      <c r="B15" s="11">
        <v>1286</v>
      </c>
      <c r="C15" s="11" t="s">
        <v>2</v>
      </c>
      <c r="D15" s="1"/>
      <c r="F15" s="10">
        <v>38504</v>
      </c>
      <c r="G15" s="11">
        <v>707</v>
      </c>
      <c r="H15" s="11" t="s">
        <v>15</v>
      </c>
      <c r="L15" s="3">
        <v>38626</v>
      </c>
      <c r="M15" s="5">
        <v>863</v>
      </c>
      <c r="N15" s="5"/>
      <c r="O15" s="5">
        <v>5579</v>
      </c>
      <c r="P15" s="5"/>
      <c r="Q15" s="5"/>
      <c r="R15" s="5">
        <v>6442</v>
      </c>
      <c r="V15" s="3">
        <v>38626</v>
      </c>
      <c r="W15" s="5">
        <v>3200</v>
      </c>
      <c r="X15" s="5">
        <v>3242</v>
      </c>
      <c r="Y15" s="5">
        <v>6442</v>
      </c>
      <c r="AD15" s="3">
        <v>40238</v>
      </c>
      <c r="AE15">
        <f t="shared" si="1"/>
        <v>12009</v>
      </c>
      <c r="AF15">
        <f t="shared" si="2"/>
        <v>75804</v>
      </c>
      <c r="AG15">
        <f t="shared" si="3"/>
        <v>57402</v>
      </c>
      <c r="AH15" s="1">
        <f t="shared" si="4"/>
        <v>40238</v>
      </c>
      <c r="AI15" s="12">
        <f t="shared" si="0"/>
        <v>0.20920873837148532</v>
      </c>
    </row>
    <row r="16" spans="1:35" x14ac:dyDescent="0.25">
      <c r="A16" s="10">
        <v>38504</v>
      </c>
      <c r="B16" s="11">
        <v>228</v>
      </c>
      <c r="C16" s="11" t="s">
        <v>3</v>
      </c>
      <c r="D16" s="1"/>
      <c r="F16" s="10">
        <v>38504</v>
      </c>
      <c r="G16" s="11">
        <v>807</v>
      </c>
      <c r="H16" s="11" t="s">
        <v>16</v>
      </c>
      <c r="L16" s="3">
        <v>38657</v>
      </c>
      <c r="M16" s="5">
        <v>1916</v>
      </c>
      <c r="N16" s="5"/>
      <c r="O16" s="5">
        <v>12921</v>
      </c>
      <c r="P16" s="5"/>
      <c r="Q16" s="5"/>
      <c r="R16" s="5">
        <v>14837</v>
      </c>
      <c r="V16" s="3">
        <v>38657</v>
      </c>
      <c r="W16" s="5">
        <v>6604</v>
      </c>
      <c r="X16" s="5">
        <v>8233</v>
      </c>
      <c r="Y16" s="5">
        <v>14837</v>
      </c>
      <c r="AD16" s="3">
        <v>40269</v>
      </c>
      <c r="AE16">
        <f t="shared" si="1"/>
        <v>7833</v>
      </c>
      <c r="AF16">
        <f t="shared" si="2"/>
        <v>63296</v>
      </c>
      <c r="AG16">
        <f t="shared" si="3"/>
        <v>43064</v>
      </c>
      <c r="AH16" s="1">
        <f t="shared" si="4"/>
        <v>40269</v>
      </c>
      <c r="AI16" s="12">
        <f t="shared" si="0"/>
        <v>0.18189206762028609</v>
      </c>
    </row>
    <row r="17" spans="1:35" x14ac:dyDescent="0.25">
      <c r="A17" s="10">
        <v>38534</v>
      </c>
      <c r="B17" s="11">
        <v>1677</v>
      </c>
      <c r="C17" s="11" t="s">
        <v>2</v>
      </c>
      <c r="D17" s="1"/>
      <c r="F17" s="10">
        <v>38534</v>
      </c>
      <c r="G17" s="11">
        <v>796</v>
      </c>
      <c r="H17" s="11" t="s">
        <v>15</v>
      </c>
      <c r="L17" s="3">
        <v>38687</v>
      </c>
      <c r="M17" s="5">
        <v>8255</v>
      </c>
      <c r="N17" s="5"/>
      <c r="O17" s="5">
        <v>48663</v>
      </c>
      <c r="P17" s="5"/>
      <c r="Q17" s="5"/>
      <c r="R17" s="5">
        <v>56918</v>
      </c>
      <c r="V17" s="3">
        <v>38687</v>
      </c>
      <c r="W17" s="5">
        <v>23709</v>
      </c>
      <c r="X17" s="5">
        <v>33209</v>
      </c>
      <c r="Y17" s="5">
        <v>56918</v>
      </c>
      <c r="AD17" s="3">
        <v>40299</v>
      </c>
      <c r="AE17">
        <f t="shared" si="1"/>
        <v>9812</v>
      </c>
      <c r="AF17">
        <f t="shared" si="2"/>
        <v>66574</v>
      </c>
      <c r="AG17">
        <f t="shared" si="3"/>
        <v>42670</v>
      </c>
      <c r="AH17" s="1">
        <f t="shared" si="4"/>
        <v>40299</v>
      </c>
      <c r="AI17" s="12">
        <f t="shared" si="0"/>
        <v>0.22995078509491446</v>
      </c>
    </row>
    <row r="18" spans="1:35" x14ac:dyDescent="0.25">
      <c r="A18" s="10">
        <v>38534</v>
      </c>
      <c r="B18" s="11">
        <v>255</v>
      </c>
      <c r="C18" s="11" t="s">
        <v>3</v>
      </c>
      <c r="D18" s="1"/>
      <c r="F18" s="10">
        <v>38534</v>
      </c>
      <c r="G18" s="11">
        <v>1136</v>
      </c>
      <c r="H18" s="11" t="s">
        <v>16</v>
      </c>
      <c r="L18" s="3">
        <v>38718</v>
      </c>
      <c r="M18" s="5">
        <v>12595</v>
      </c>
      <c r="N18" s="5"/>
      <c r="O18" s="5">
        <v>80257</v>
      </c>
      <c r="P18" s="5"/>
      <c r="Q18" s="5"/>
      <c r="R18" s="5">
        <v>92852</v>
      </c>
      <c r="V18" s="3">
        <v>38718</v>
      </c>
      <c r="W18" s="5">
        <v>41091</v>
      </c>
      <c r="X18" s="5">
        <v>51761</v>
      </c>
      <c r="Y18" s="5">
        <v>92852</v>
      </c>
      <c r="AD18" s="3">
        <v>40330</v>
      </c>
      <c r="AE18">
        <f t="shared" si="1"/>
        <v>9091</v>
      </c>
      <c r="AF18">
        <f t="shared" si="2"/>
        <v>65901</v>
      </c>
      <c r="AG18">
        <f t="shared" si="3"/>
        <v>38274</v>
      </c>
      <c r="AH18" s="1">
        <f t="shared" si="4"/>
        <v>40330</v>
      </c>
      <c r="AI18" s="12">
        <f t="shared" si="0"/>
        <v>0.23752416784239955</v>
      </c>
    </row>
    <row r="19" spans="1:35" x14ac:dyDescent="0.25">
      <c r="A19" s="10">
        <v>38565</v>
      </c>
      <c r="B19" s="11">
        <v>319</v>
      </c>
      <c r="C19" s="11" t="s">
        <v>3</v>
      </c>
      <c r="D19" s="1"/>
      <c r="F19" s="10">
        <v>38565</v>
      </c>
      <c r="G19" s="11">
        <v>1378</v>
      </c>
      <c r="H19" s="11" t="s">
        <v>16</v>
      </c>
      <c r="L19" s="3">
        <v>38749</v>
      </c>
      <c r="M19" s="5">
        <v>11442</v>
      </c>
      <c r="N19" s="5"/>
      <c r="O19" s="5">
        <v>77506</v>
      </c>
      <c r="P19" s="5"/>
      <c r="Q19" s="5"/>
      <c r="R19" s="5">
        <v>88948</v>
      </c>
      <c r="V19" s="3">
        <v>38749</v>
      </c>
      <c r="W19" s="5">
        <v>41038</v>
      </c>
      <c r="X19" s="5">
        <v>47910</v>
      </c>
      <c r="Y19" s="5">
        <v>88948</v>
      </c>
      <c r="AD19" s="3">
        <v>40360</v>
      </c>
      <c r="AE19">
        <f t="shared" si="1"/>
        <v>7236</v>
      </c>
      <c r="AF19">
        <f t="shared" si="2"/>
        <v>62624</v>
      </c>
      <c r="AG19">
        <f t="shared" si="3"/>
        <v>32621</v>
      </c>
      <c r="AH19" s="1">
        <f t="shared" si="4"/>
        <v>40360</v>
      </c>
      <c r="AI19" s="12">
        <f t="shared" si="0"/>
        <v>0.22182029980687287</v>
      </c>
    </row>
    <row r="20" spans="1:35" x14ac:dyDescent="0.25">
      <c r="A20" s="10">
        <v>38565</v>
      </c>
      <c r="B20" s="11">
        <v>2059</v>
      </c>
      <c r="C20" s="11" t="s">
        <v>2</v>
      </c>
      <c r="D20" s="1"/>
      <c r="F20" s="10">
        <v>38565</v>
      </c>
      <c r="G20" s="11">
        <v>1000</v>
      </c>
      <c r="H20" s="11" t="s">
        <v>15</v>
      </c>
      <c r="L20" s="3">
        <v>38777</v>
      </c>
      <c r="M20" s="5">
        <v>10778</v>
      </c>
      <c r="N20" s="5"/>
      <c r="O20" s="5">
        <v>64032</v>
      </c>
      <c r="P20" s="5"/>
      <c r="Q20" s="5"/>
      <c r="R20" s="5">
        <v>74810</v>
      </c>
      <c r="V20" s="3">
        <v>38777</v>
      </c>
      <c r="W20" s="5">
        <v>31303</v>
      </c>
      <c r="X20" s="5">
        <v>43507</v>
      </c>
      <c r="Y20" s="5">
        <v>74810</v>
      </c>
      <c r="AD20" s="3">
        <v>40391</v>
      </c>
      <c r="AE20">
        <f t="shared" si="1"/>
        <v>11105</v>
      </c>
      <c r="AF20">
        <f t="shared" si="2"/>
        <v>73681</v>
      </c>
      <c r="AG20">
        <f t="shared" si="3"/>
        <v>41238</v>
      </c>
      <c r="AH20" s="1">
        <f t="shared" si="4"/>
        <v>40391</v>
      </c>
      <c r="AI20" s="12">
        <f t="shared" si="0"/>
        <v>0.2692904602551045</v>
      </c>
    </row>
    <row r="21" spans="1:35" x14ac:dyDescent="0.25">
      <c r="A21" s="10">
        <v>38596</v>
      </c>
      <c r="B21" s="11">
        <v>2809</v>
      </c>
      <c r="C21" s="11" t="s">
        <v>2</v>
      </c>
      <c r="D21" s="1"/>
      <c r="F21" s="10">
        <v>38596</v>
      </c>
      <c r="G21" s="11">
        <v>1664</v>
      </c>
      <c r="H21" s="11" t="s">
        <v>16</v>
      </c>
      <c r="L21" s="3">
        <v>38808</v>
      </c>
      <c r="M21" s="5">
        <v>11587</v>
      </c>
      <c r="N21" s="5"/>
      <c r="O21" s="5">
        <v>72352</v>
      </c>
      <c r="P21" s="5"/>
      <c r="Q21" s="5"/>
      <c r="R21" s="5">
        <v>83939</v>
      </c>
      <c r="V21" s="3">
        <v>38808</v>
      </c>
      <c r="W21" s="5">
        <v>35484</v>
      </c>
      <c r="X21" s="5">
        <v>48455</v>
      </c>
      <c r="Y21" s="5">
        <v>83939</v>
      </c>
      <c r="AD21" s="3">
        <v>40422</v>
      </c>
      <c r="AE21">
        <f t="shared" si="1"/>
        <v>15462</v>
      </c>
      <c r="AF21">
        <f t="shared" si="2"/>
        <v>71847</v>
      </c>
      <c r="AG21">
        <f t="shared" si="3"/>
        <v>52162</v>
      </c>
      <c r="AH21" s="1">
        <f t="shared" si="4"/>
        <v>40422</v>
      </c>
      <c r="AI21" s="12">
        <f t="shared" si="0"/>
        <v>0.29642268317932596</v>
      </c>
    </row>
    <row r="22" spans="1:35" x14ac:dyDescent="0.25">
      <c r="A22" s="10">
        <v>38596</v>
      </c>
      <c r="B22" s="11">
        <v>522</v>
      </c>
      <c r="C22" s="11" t="s">
        <v>3</v>
      </c>
      <c r="D22" s="1"/>
      <c r="F22" s="10">
        <v>38596</v>
      </c>
      <c r="G22" s="11">
        <v>1667</v>
      </c>
      <c r="H22" s="11" t="s">
        <v>15</v>
      </c>
      <c r="L22" s="3">
        <v>38838</v>
      </c>
      <c r="M22" s="5">
        <v>11927</v>
      </c>
      <c r="N22" s="5"/>
      <c r="O22" s="5">
        <v>82768</v>
      </c>
      <c r="P22" s="5"/>
      <c r="Q22" s="5"/>
      <c r="R22" s="5">
        <v>94695</v>
      </c>
      <c r="V22" s="3">
        <v>38838</v>
      </c>
      <c r="W22" s="5">
        <v>43938</v>
      </c>
      <c r="X22" s="5">
        <v>50757</v>
      </c>
      <c r="Y22" s="5">
        <v>94695</v>
      </c>
      <c r="AD22" s="3">
        <v>40452</v>
      </c>
      <c r="AE22">
        <f t="shared" si="1"/>
        <v>18826</v>
      </c>
      <c r="AF22">
        <f t="shared" si="2"/>
        <v>83604</v>
      </c>
      <c r="AG22">
        <f t="shared" si="3"/>
        <v>64623</v>
      </c>
      <c r="AH22" s="1">
        <f t="shared" si="4"/>
        <v>40452</v>
      </c>
      <c r="AI22" s="12">
        <f t="shared" si="0"/>
        <v>0.29132042771149591</v>
      </c>
    </row>
    <row r="23" spans="1:35" x14ac:dyDescent="0.25">
      <c r="A23" s="10">
        <v>38626</v>
      </c>
      <c r="B23" s="11">
        <v>5579</v>
      </c>
      <c r="C23" s="11" t="s">
        <v>2</v>
      </c>
      <c r="D23" s="1"/>
      <c r="F23" s="10">
        <v>38626</v>
      </c>
      <c r="G23" s="11">
        <v>3200</v>
      </c>
      <c r="H23" s="11" t="s">
        <v>16</v>
      </c>
      <c r="L23" s="3">
        <v>38869</v>
      </c>
      <c r="M23" s="5">
        <v>10447</v>
      </c>
      <c r="N23" s="5"/>
      <c r="O23" s="5">
        <v>77395</v>
      </c>
      <c r="P23" s="5"/>
      <c r="Q23" s="5"/>
      <c r="R23" s="5">
        <v>87842</v>
      </c>
      <c r="V23" s="3">
        <v>38869</v>
      </c>
      <c r="W23" s="5">
        <v>44161</v>
      </c>
      <c r="X23" s="5">
        <v>43681</v>
      </c>
      <c r="Y23" s="5">
        <v>87842</v>
      </c>
      <c r="AD23" s="3">
        <v>40483</v>
      </c>
      <c r="AE23">
        <f t="shared" si="1"/>
        <v>22721</v>
      </c>
      <c r="AF23">
        <f t="shared" si="2"/>
        <v>84149</v>
      </c>
      <c r="AG23">
        <f t="shared" si="3"/>
        <v>67903</v>
      </c>
      <c r="AH23" s="1">
        <f t="shared" si="4"/>
        <v>40483</v>
      </c>
      <c r="AI23" s="12">
        <f t="shared" si="0"/>
        <v>0.3346096637851052</v>
      </c>
    </row>
    <row r="24" spans="1:35" x14ac:dyDescent="0.25">
      <c r="A24" s="10">
        <v>38626</v>
      </c>
      <c r="B24" s="11">
        <v>863</v>
      </c>
      <c r="C24" s="11" t="s">
        <v>3</v>
      </c>
      <c r="D24" s="1"/>
      <c r="F24" s="10">
        <v>38626</v>
      </c>
      <c r="G24" s="11">
        <v>3242</v>
      </c>
      <c r="H24" s="11" t="s">
        <v>15</v>
      </c>
      <c r="L24" s="3">
        <v>38899</v>
      </c>
      <c r="M24" s="5">
        <v>10084</v>
      </c>
      <c r="N24" s="5"/>
      <c r="O24" s="5">
        <v>83910</v>
      </c>
      <c r="P24" s="5"/>
      <c r="Q24" s="5"/>
      <c r="R24" s="5">
        <v>93994</v>
      </c>
      <c r="V24" s="3">
        <v>38899</v>
      </c>
      <c r="W24" s="5">
        <v>51943</v>
      </c>
      <c r="X24" s="5">
        <v>42051</v>
      </c>
      <c r="Y24" s="5">
        <v>93994</v>
      </c>
      <c r="AD24" s="3">
        <v>40513</v>
      </c>
      <c r="AE24">
        <f t="shared" si="1"/>
        <v>25802</v>
      </c>
      <c r="AF24">
        <f t="shared" si="2"/>
        <v>92172</v>
      </c>
      <c r="AG24">
        <f t="shared" si="3"/>
        <v>76288</v>
      </c>
      <c r="AH24" s="1">
        <f t="shared" si="4"/>
        <v>40513</v>
      </c>
      <c r="AI24" s="12">
        <f t="shared" si="0"/>
        <v>0.33821833053691275</v>
      </c>
    </row>
    <row r="25" spans="1:35" x14ac:dyDescent="0.25">
      <c r="A25" s="10">
        <v>38657</v>
      </c>
      <c r="B25" s="11">
        <v>12921</v>
      </c>
      <c r="C25" s="11" t="s">
        <v>2</v>
      </c>
      <c r="D25" s="1"/>
      <c r="F25" s="10">
        <v>38657</v>
      </c>
      <c r="G25" s="11">
        <v>6604</v>
      </c>
      <c r="H25" s="11" t="s">
        <v>16</v>
      </c>
      <c r="L25" s="3">
        <v>38930</v>
      </c>
      <c r="M25" s="5">
        <v>9338</v>
      </c>
      <c r="N25" s="5"/>
      <c r="O25" s="5">
        <v>89982</v>
      </c>
      <c r="P25" s="5"/>
      <c r="Q25" s="5"/>
      <c r="R25" s="5">
        <v>99320</v>
      </c>
      <c r="V25" s="3">
        <v>38930</v>
      </c>
      <c r="W25" s="5">
        <v>59950</v>
      </c>
      <c r="X25" s="5">
        <v>39370</v>
      </c>
      <c r="Y25" s="5">
        <v>99320</v>
      </c>
      <c r="AD25" s="3">
        <v>40544</v>
      </c>
      <c r="AE25">
        <f t="shared" si="1"/>
        <v>25645</v>
      </c>
      <c r="AF25">
        <f t="shared" si="2"/>
        <v>88589</v>
      </c>
      <c r="AG25">
        <f t="shared" si="3"/>
        <v>73623</v>
      </c>
      <c r="AH25" s="1">
        <f t="shared" si="4"/>
        <v>40544</v>
      </c>
      <c r="AI25" s="12">
        <f t="shared" si="0"/>
        <v>0.34832864729771945</v>
      </c>
    </row>
    <row r="26" spans="1:35" x14ac:dyDescent="0.25">
      <c r="A26" s="10">
        <v>38657</v>
      </c>
      <c r="B26" s="11">
        <v>1916</v>
      </c>
      <c r="C26" s="11" t="s">
        <v>3</v>
      </c>
      <c r="D26" s="1"/>
      <c r="F26" s="10">
        <v>38657</v>
      </c>
      <c r="G26" s="11">
        <v>8233</v>
      </c>
      <c r="H26" s="11" t="s">
        <v>15</v>
      </c>
      <c r="L26" s="3">
        <v>38961</v>
      </c>
      <c r="M26" s="5">
        <v>8972</v>
      </c>
      <c r="N26" s="5"/>
      <c r="O26" s="5">
        <v>81525</v>
      </c>
      <c r="P26" s="5"/>
      <c r="Q26" s="5"/>
      <c r="R26" s="5">
        <v>90497</v>
      </c>
      <c r="V26" s="3">
        <v>38961</v>
      </c>
      <c r="W26" s="5">
        <v>53276</v>
      </c>
      <c r="X26" s="5">
        <v>37221</v>
      </c>
      <c r="Y26" s="5">
        <v>90497</v>
      </c>
      <c r="AD26" s="3">
        <v>40575</v>
      </c>
      <c r="AE26">
        <f t="shared" si="1"/>
        <v>19730</v>
      </c>
      <c r="AF26">
        <f t="shared" si="2"/>
        <v>83866</v>
      </c>
      <c r="AG26">
        <f t="shared" si="3"/>
        <v>65712</v>
      </c>
      <c r="AH26" s="1">
        <f t="shared" si="4"/>
        <v>40575</v>
      </c>
      <c r="AI26" s="12">
        <f t="shared" si="0"/>
        <v>0.30024957389822254</v>
      </c>
    </row>
    <row r="27" spans="1:35" x14ac:dyDescent="0.25">
      <c r="A27" s="10">
        <v>38687</v>
      </c>
      <c r="B27" s="11">
        <v>8255</v>
      </c>
      <c r="C27" s="11" t="s">
        <v>3</v>
      </c>
      <c r="D27" s="1"/>
      <c r="F27" s="10">
        <v>38687</v>
      </c>
      <c r="G27" s="11">
        <v>23709</v>
      </c>
      <c r="H27" s="11" t="s">
        <v>16</v>
      </c>
      <c r="L27" s="3">
        <v>38991</v>
      </c>
      <c r="M27" s="5">
        <v>9641</v>
      </c>
      <c r="N27" s="5"/>
      <c r="O27" s="5">
        <v>81713</v>
      </c>
      <c r="P27" s="5"/>
      <c r="Q27" s="5"/>
      <c r="R27" s="5">
        <v>91354</v>
      </c>
      <c r="V27" s="3">
        <v>38991</v>
      </c>
      <c r="W27" s="5">
        <v>51798</v>
      </c>
      <c r="X27" s="5">
        <v>39556</v>
      </c>
      <c r="Y27" s="5">
        <v>91354</v>
      </c>
      <c r="AD27" s="3">
        <v>40603</v>
      </c>
      <c r="AE27">
        <f t="shared" si="1"/>
        <v>16913</v>
      </c>
      <c r="AF27">
        <f t="shared" si="2"/>
        <v>64130</v>
      </c>
      <c r="AG27">
        <f t="shared" si="3"/>
        <v>50651</v>
      </c>
      <c r="AH27" s="1">
        <f t="shared" si="4"/>
        <v>40603</v>
      </c>
      <c r="AI27" s="12">
        <f t="shared" si="0"/>
        <v>0.33391245977374584</v>
      </c>
    </row>
    <row r="28" spans="1:35" x14ac:dyDescent="0.25">
      <c r="A28" s="10">
        <v>38687</v>
      </c>
      <c r="B28" s="11">
        <v>48663</v>
      </c>
      <c r="C28" s="11" t="s">
        <v>2</v>
      </c>
      <c r="D28" s="1"/>
      <c r="F28" s="10">
        <v>38687</v>
      </c>
      <c r="G28" s="11">
        <v>33209</v>
      </c>
      <c r="H28" s="11" t="s">
        <v>15</v>
      </c>
      <c r="L28" s="3">
        <v>39022</v>
      </c>
      <c r="M28" s="5">
        <v>10894</v>
      </c>
      <c r="N28" s="5"/>
      <c r="O28" s="5">
        <v>76928</v>
      </c>
      <c r="P28" s="5"/>
      <c r="Q28" s="5"/>
      <c r="R28" s="5">
        <v>87822</v>
      </c>
      <c r="V28" s="3">
        <v>39022</v>
      </c>
      <c r="W28" s="5">
        <v>45107</v>
      </c>
      <c r="X28" s="5">
        <v>42715</v>
      </c>
      <c r="Y28" s="5">
        <v>87822</v>
      </c>
      <c r="AD28" s="3">
        <v>40634</v>
      </c>
      <c r="AE28">
        <f t="shared" si="1"/>
        <v>10499</v>
      </c>
      <c r="AF28">
        <f t="shared" si="2"/>
        <v>40820</v>
      </c>
      <c r="AG28">
        <f t="shared" si="3"/>
        <v>30500</v>
      </c>
      <c r="AH28" s="1">
        <f t="shared" si="4"/>
        <v>40634</v>
      </c>
      <c r="AI28" s="12">
        <f t="shared" si="0"/>
        <v>0.34422950819672132</v>
      </c>
    </row>
    <row r="29" spans="1:35" x14ac:dyDescent="0.25">
      <c r="A29" s="10">
        <v>38718</v>
      </c>
      <c r="B29" s="11">
        <v>12595</v>
      </c>
      <c r="C29" s="11" t="s">
        <v>3</v>
      </c>
      <c r="D29" s="1"/>
      <c r="F29" s="10">
        <v>38718</v>
      </c>
      <c r="G29" s="11">
        <v>41091</v>
      </c>
      <c r="H29" s="11" t="s">
        <v>16</v>
      </c>
      <c r="L29" s="3">
        <v>39052</v>
      </c>
      <c r="M29" s="5">
        <v>15093</v>
      </c>
      <c r="N29" s="5"/>
      <c r="O29" s="5">
        <v>87403</v>
      </c>
      <c r="P29" s="5"/>
      <c r="Q29" s="5"/>
      <c r="R29" s="5">
        <v>102496</v>
      </c>
      <c r="V29" s="3">
        <v>39052</v>
      </c>
      <c r="W29" s="5">
        <v>45859</v>
      </c>
      <c r="X29" s="5">
        <v>56637</v>
      </c>
      <c r="Y29" s="5">
        <v>102496</v>
      </c>
      <c r="AD29" s="3">
        <v>40664</v>
      </c>
      <c r="AE29">
        <f t="shared" si="1"/>
        <v>7066</v>
      </c>
      <c r="AF29">
        <f t="shared" si="2"/>
        <v>41766</v>
      </c>
      <c r="AG29">
        <f t="shared" si="3"/>
        <v>25805</v>
      </c>
      <c r="AH29" s="1">
        <f t="shared" si="4"/>
        <v>40664</v>
      </c>
      <c r="AI29" s="12">
        <f t="shared" si="0"/>
        <v>0.2738229025382678</v>
      </c>
    </row>
    <row r="30" spans="1:35" x14ac:dyDescent="0.25">
      <c r="A30" s="10">
        <v>38718</v>
      </c>
      <c r="B30" s="11">
        <v>80257</v>
      </c>
      <c r="C30" s="11" t="s">
        <v>2</v>
      </c>
      <c r="D30" s="1"/>
      <c r="F30" s="10">
        <v>38718</v>
      </c>
      <c r="G30" s="11">
        <v>51761</v>
      </c>
      <c r="H30" s="11" t="s">
        <v>15</v>
      </c>
      <c r="L30" s="3">
        <v>39083</v>
      </c>
      <c r="M30" s="5">
        <v>14657</v>
      </c>
      <c r="N30" s="5"/>
      <c r="O30" s="5">
        <v>79907</v>
      </c>
      <c r="P30" s="5"/>
      <c r="Q30" s="5"/>
      <c r="R30" s="5">
        <v>94564</v>
      </c>
      <c r="V30" s="3">
        <v>39083</v>
      </c>
      <c r="W30" s="5">
        <v>42325</v>
      </c>
      <c r="X30" s="5">
        <v>52239</v>
      </c>
      <c r="Y30" s="5">
        <v>94564</v>
      </c>
      <c r="AD30" s="3">
        <v>40695</v>
      </c>
      <c r="AE30">
        <f t="shared" si="1"/>
        <v>6830</v>
      </c>
      <c r="AF30">
        <f t="shared" si="2"/>
        <v>39466</v>
      </c>
      <c r="AG30">
        <f t="shared" si="3"/>
        <v>22121</v>
      </c>
      <c r="AH30" s="1">
        <f t="shared" si="4"/>
        <v>40695</v>
      </c>
      <c r="AI30" s="12">
        <f t="shared" si="0"/>
        <v>0.30875638533520183</v>
      </c>
    </row>
    <row r="31" spans="1:35" x14ac:dyDescent="0.25">
      <c r="A31" s="10">
        <v>38749</v>
      </c>
      <c r="B31" s="11">
        <v>11442</v>
      </c>
      <c r="C31" s="11" t="s">
        <v>3</v>
      </c>
      <c r="D31" s="1"/>
      <c r="F31" s="10">
        <v>38749</v>
      </c>
      <c r="G31" s="11">
        <v>47910</v>
      </c>
      <c r="H31" s="11" t="s">
        <v>15</v>
      </c>
      <c r="L31" s="3">
        <v>39114</v>
      </c>
      <c r="M31" s="5">
        <v>18281</v>
      </c>
      <c r="N31" s="5"/>
      <c r="O31" s="5">
        <v>80729</v>
      </c>
      <c r="P31" s="5"/>
      <c r="Q31" s="5"/>
      <c r="R31" s="5">
        <v>99010</v>
      </c>
      <c r="V31" s="3">
        <v>39114</v>
      </c>
      <c r="W31" s="5">
        <v>39079</v>
      </c>
      <c r="X31" s="5">
        <v>59931</v>
      </c>
      <c r="Y31" s="5">
        <v>99010</v>
      </c>
      <c r="AD31" s="3">
        <v>40725</v>
      </c>
      <c r="AE31">
        <f t="shared" si="1"/>
        <v>5521</v>
      </c>
      <c r="AF31">
        <f t="shared" si="2"/>
        <v>36820</v>
      </c>
      <c r="AG31">
        <f t="shared" si="3"/>
        <v>18824</v>
      </c>
      <c r="AH31" s="1">
        <f t="shared" si="4"/>
        <v>40725</v>
      </c>
      <c r="AI31" s="12">
        <f t="shared" si="0"/>
        <v>0.29329579260518485</v>
      </c>
    </row>
    <row r="32" spans="1:35" x14ac:dyDescent="0.25">
      <c r="A32" s="10">
        <v>38749</v>
      </c>
      <c r="B32" s="11">
        <v>77506</v>
      </c>
      <c r="C32" s="11" t="s">
        <v>2</v>
      </c>
      <c r="D32" s="1"/>
      <c r="F32" s="10">
        <v>38749</v>
      </c>
      <c r="G32" s="11">
        <v>41038</v>
      </c>
      <c r="H32" s="11" t="s">
        <v>16</v>
      </c>
      <c r="L32" s="3">
        <v>39142</v>
      </c>
      <c r="M32" s="5">
        <v>17882</v>
      </c>
      <c r="N32" s="5"/>
      <c r="O32" s="5">
        <v>70059</v>
      </c>
      <c r="P32" s="5"/>
      <c r="Q32" s="5"/>
      <c r="R32" s="5">
        <v>87941</v>
      </c>
      <c r="V32" s="3">
        <v>39142</v>
      </c>
      <c r="W32" s="5">
        <v>31140</v>
      </c>
      <c r="X32" s="5">
        <v>56801</v>
      </c>
      <c r="Y32" s="5">
        <v>87941</v>
      </c>
      <c r="AD32" s="3">
        <v>40756</v>
      </c>
      <c r="AE32">
        <f t="shared" si="1"/>
        <v>6205</v>
      </c>
      <c r="AF32">
        <f t="shared" si="2"/>
        <v>47943</v>
      </c>
      <c r="AG32">
        <f t="shared" si="3"/>
        <v>23650</v>
      </c>
      <c r="AH32" s="1">
        <f t="shared" si="4"/>
        <v>40756</v>
      </c>
      <c r="AI32" s="12">
        <f t="shared" si="0"/>
        <v>0.26236786469344608</v>
      </c>
    </row>
    <row r="33" spans="1:35" x14ac:dyDescent="0.25">
      <c r="A33" s="10">
        <v>38777</v>
      </c>
      <c r="B33" s="11">
        <v>10778</v>
      </c>
      <c r="C33" s="11" t="s">
        <v>3</v>
      </c>
      <c r="D33" s="1"/>
      <c r="F33" s="10">
        <v>38777</v>
      </c>
      <c r="G33" s="11">
        <v>31303</v>
      </c>
      <c r="H33" s="11" t="s">
        <v>16</v>
      </c>
      <c r="L33" s="3">
        <v>39173</v>
      </c>
      <c r="M33" s="5">
        <v>15173</v>
      </c>
      <c r="N33" s="5"/>
      <c r="O33" s="5">
        <v>73705</v>
      </c>
      <c r="P33" s="5"/>
      <c r="Q33" s="5"/>
      <c r="R33" s="5">
        <v>88878</v>
      </c>
      <c r="V33" s="3">
        <v>39173</v>
      </c>
      <c r="W33" s="5">
        <v>36891</v>
      </c>
      <c r="X33" s="5">
        <v>51987</v>
      </c>
      <c r="Y33" s="5">
        <v>88878</v>
      </c>
      <c r="AD33" s="3">
        <v>40787</v>
      </c>
      <c r="AE33">
        <f t="shared" si="1"/>
        <v>7401</v>
      </c>
      <c r="AF33">
        <f t="shared" si="2"/>
        <v>46028</v>
      </c>
      <c r="AG33">
        <f t="shared" si="3"/>
        <v>24964</v>
      </c>
      <c r="AH33" s="1">
        <f t="shared" si="4"/>
        <v>40787</v>
      </c>
      <c r="AI33" s="12">
        <f t="shared" si="0"/>
        <v>0.29646691235378947</v>
      </c>
    </row>
    <row r="34" spans="1:35" x14ac:dyDescent="0.25">
      <c r="A34" s="10">
        <v>38777</v>
      </c>
      <c r="B34" s="11">
        <v>64032</v>
      </c>
      <c r="C34" s="11" t="s">
        <v>2</v>
      </c>
      <c r="D34" s="1"/>
      <c r="F34" s="10">
        <v>38777</v>
      </c>
      <c r="G34" s="11">
        <v>43507</v>
      </c>
      <c r="H34" s="11" t="s">
        <v>15</v>
      </c>
      <c r="L34" s="3">
        <v>39203</v>
      </c>
      <c r="M34" s="5">
        <v>19010</v>
      </c>
      <c r="N34" s="5"/>
      <c r="O34" s="5">
        <v>91026</v>
      </c>
      <c r="P34" s="5"/>
      <c r="Q34" s="5"/>
      <c r="R34" s="5">
        <v>110036</v>
      </c>
      <c r="V34" s="3">
        <v>39203</v>
      </c>
      <c r="W34" s="5">
        <v>46666</v>
      </c>
      <c r="X34" s="5">
        <v>63370</v>
      </c>
      <c r="Y34" s="5">
        <v>110036</v>
      </c>
      <c r="AD34" s="3">
        <v>40817</v>
      </c>
      <c r="AE34">
        <f t="shared" si="1"/>
        <v>7168</v>
      </c>
      <c r="AF34">
        <f t="shared" si="2"/>
        <v>46310</v>
      </c>
      <c r="AG34">
        <f t="shared" si="3"/>
        <v>26275</v>
      </c>
      <c r="AH34" s="1">
        <f t="shared" si="4"/>
        <v>40817</v>
      </c>
      <c r="AI34" s="12">
        <f t="shared" si="0"/>
        <v>0.27280685061845861</v>
      </c>
    </row>
    <row r="35" spans="1:35" x14ac:dyDescent="0.25">
      <c r="A35" s="10">
        <v>38808</v>
      </c>
      <c r="B35" s="11">
        <v>11587</v>
      </c>
      <c r="C35" s="11" t="s">
        <v>3</v>
      </c>
      <c r="D35" s="1"/>
      <c r="F35" s="10">
        <v>38808</v>
      </c>
      <c r="G35" s="11">
        <v>48455</v>
      </c>
      <c r="H35" s="11" t="s">
        <v>15</v>
      </c>
      <c r="L35" s="3">
        <v>39234</v>
      </c>
      <c r="M35" s="5">
        <v>20314</v>
      </c>
      <c r="N35" s="5"/>
      <c r="O35" s="5">
        <v>92371</v>
      </c>
      <c r="P35" s="5"/>
      <c r="Q35" s="5"/>
      <c r="R35" s="5">
        <v>112685</v>
      </c>
      <c r="V35" s="3">
        <v>39234</v>
      </c>
      <c r="W35" s="5">
        <v>47775</v>
      </c>
      <c r="X35" s="5">
        <v>64910</v>
      </c>
      <c r="Y35" s="5">
        <v>112685</v>
      </c>
      <c r="AD35" s="3">
        <v>40848</v>
      </c>
      <c r="AE35">
        <f t="shared" si="1"/>
        <v>9500</v>
      </c>
      <c r="AF35">
        <f t="shared" si="2"/>
        <v>55860</v>
      </c>
      <c r="AG35">
        <f t="shared" si="3"/>
        <v>39802</v>
      </c>
      <c r="AH35" s="1">
        <f t="shared" si="4"/>
        <v>40848</v>
      </c>
      <c r="AI35" s="12">
        <f t="shared" si="0"/>
        <v>0.23868147329279935</v>
      </c>
    </row>
    <row r="36" spans="1:35" x14ac:dyDescent="0.25">
      <c r="A36" s="10">
        <v>38808</v>
      </c>
      <c r="B36" s="11">
        <v>72352</v>
      </c>
      <c r="C36" s="11" t="s">
        <v>2</v>
      </c>
      <c r="D36" s="1"/>
      <c r="F36" s="10">
        <v>38808</v>
      </c>
      <c r="G36" s="11">
        <v>35484</v>
      </c>
      <c r="H36" s="11" t="s">
        <v>16</v>
      </c>
      <c r="L36" s="3">
        <v>39264</v>
      </c>
      <c r="M36" s="5">
        <v>17422</v>
      </c>
      <c r="N36" s="5"/>
      <c r="O36" s="5">
        <v>89770</v>
      </c>
      <c r="P36" s="5"/>
      <c r="Q36" s="5"/>
      <c r="R36" s="5">
        <v>107192</v>
      </c>
      <c r="V36" s="3">
        <v>39264</v>
      </c>
      <c r="W36" s="5">
        <v>48295</v>
      </c>
      <c r="X36" s="5">
        <v>58897</v>
      </c>
      <c r="Y36" s="5">
        <v>107192</v>
      </c>
      <c r="AD36" s="3">
        <v>40878</v>
      </c>
      <c r="AE36">
        <f t="shared" si="1"/>
        <v>10752</v>
      </c>
      <c r="AF36">
        <f t="shared" si="2"/>
        <v>50639</v>
      </c>
      <c r="AG36">
        <f t="shared" si="3"/>
        <v>39477</v>
      </c>
      <c r="AH36" s="1">
        <f t="shared" si="4"/>
        <v>40878</v>
      </c>
      <c r="AI36" s="12">
        <f t="shared" si="0"/>
        <v>0.27236112166578008</v>
      </c>
    </row>
    <row r="37" spans="1:35" x14ac:dyDescent="0.25">
      <c r="A37" s="10">
        <v>38838</v>
      </c>
      <c r="B37" s="11">
        <v>11927</v>
      </c>
      <c r="C37" s="11" t="s">
        <v>3</v>
      </c>
      <c r="D37" s="1"/>
      <c r="F37" s="10">
        <v>38838</v>
      </c>
      <c r="G37" s="11">
        <v>50757</v>
      </c>
      <c r="H37" s="11" t="s">
        <v>15</v>
      </c>
      <c r="L37" s="3">
        <v>39295</v>
      </c>
      <c r="M37" s="5">
        <v>13521</v>
      </c>
      <c r="N37" s="5"/>
      <c r="O37" s="5">
        <v>80477</v>
      </c>
      <c r="P37" s="5"/>
      <c r="Q37" s="5"/>
      <c r="R37" s="5">
        <v>93998</v>
      </c>
      <c r="V37" s="3">
        <v>39295</v>
      </c>
      <c r="W37" s="5">
        <v>46378</v>
      </c>
      <c r="X37" s="5">
        <v>47620</v>
      </c>
      <c r="Y37" s="5">
        <v>93998</v>
      </c>
      <c r="AD37" s="3">
        <v>40909</v>
      </c>
      <c r="AE37">
        <f t="shared" si="1"/>
        <v>11894</v>
      </c>
      <c r="AF37">
        <f t="shared" si="2"/>
        <v>53099</v>
      </c>
      <c r="AG37">
        <f t="shared" si="3"/>
        <v>42170</v>
      </c>
      <c r="AH37" s="1">
        <f t="shared" si="4"/>
        <v>40909</v>
      </c>
      <c r="AI37" s="12">
        <f t="shared" si="0"/>
        <v>0.28204884989328904</v>
      </c>
    </row>
    <row r="38" spans="1:35" x14ac:dyDescent="0.25">
      <c r="A38" s="10">
        <v>38838</v>
      </c>
      <c r="B38" s="11">
        <v>82768</v>
      </c>
      <c r="C38" s="11" t="s">
        <v>2</v>
      </c>
      <c r="D38" s="1"/>
      <c r="F38" s="10">
        <v>38838</v>
      </c>
      <c r="G38" s="11">
        <v>43938</v>
      </c>
      <c r="H38" s="11" t="s">
        <v>16</v>
      </c>
      <c r="L38" s="3">
        <v>39326</v>
      </c>
      <c r="M38" s="5">
        <v>11717</v>
      </c>
      <c r="N38" s="5"/>
      <c r="O38" s="5">
        <v>75501</v>
      </c>
      <c r="P38" s="5"/>
      <c r="Q38" s="5"/>
      <c r="R38" s="5">
        <v>87218</v>
      </c>
      <c r="V38" s="3">
        <v>39326</v>
      </c>
      <c r="W38" s="5">
        <v>45072</v>
      </c>
      <c r="X38" s="5">
        <v>42146</v>
      </c>
      <c r="Y38" s="5">
        <v>87218</v>
      </c>
      <c r="AD38" s="3">
        <v>40940</v>
      </c>
      <c r="AE38">
        <f t="shared" si="1"/>
        <v>9686</v>
      </c>
      <c r="AF38">
        <f t="shared" si="2"/>
        <v>57910</v>
      </c>
      <c r="AG38">
        <f t="shared" si="3"/>
        <v>44652</v>
      </c>
      <c r="AH38" s="1">
        <f t="shared" si="4"/>
        <v>40940</v>
      </c>
      <c r="AI38" s="12">
        <f t="shared" ref="AI38:AI69" si="5">AE38/AG38</f>
        <v>0.21692197437964705</v>
      </c>
    </row>
    <row r="39" spans="1:35" x14ac:dyDescent="0.25">
      <c r="A39" s="10">
        <v>38869</v>
      </c>
      <c r="B39" s="11">
        <v>10447</v>
      </c>
      <c r="C39" s="11" t="s">
        <v>3</v>
      </c>
      <c r="D39" s="1"/>
      <c r="F39" s="10">
        <v>38869</v>
      </c>
      <c r="G39" s="11">
        <v>44161</v>
      </c>
      <c r="H39" s="11" t="s">
        <v>16</v>
      </c>
      <c r="L39" s="3">
        <v>39356</v>
      </c>
      <c r="M39" s="5">
        <v>11364</v>
      </c>
      <c r="N39" s="5"/>
      <c r="O39" s="5">
        <v>70709</v>
      </c>
      <c r="P39" s="5"/>
      <c r="Q39" s="5"/>
      <c r="R39" s="5">
        <v>82073</v>
      </c>
      <c r="V39" s="3">
        <v>39356</v>
      </c>
      <c r="W39" s="5">
        <v>42086</v>
      </c>
      <c r="X39" s="5">
        <v>39987</v>
      </c>
      <c r="Y39" s="5">
        <v>82073</v>
      </c>
      <c r="AD39" s="3">
        <v>40969</v>
      </c>
      <c r="AE39">
        <f t="shared" si="1"/>
        <v>9403</v>
      </c>
      <c r="AF39">
        <f t="shared" si="2"/>
        <v>47420</v>
      </c>
      <c r="AG39">
        <f t="shared" si="3"/>
        <v>39231</v>
      </c>
      <c r="AH39" s="1">
        <f t="shared" si="4"/>
        <v>40969</v>
      </c>
      <c r="AI39" s="12">
        <f t="shared" si="5"/>
        <v>0.23968290382605592</v>
      </c>
    </row>
    <row r="40" spans="1:35" x14ac:dyDescent="0.25">
      <c r="A40" s="10">
        <v>38869</v>
      </c>
      <c r="B40" s="11">
        <v>77395</v>
      </c>
      <c r="C40" s="11" t="s">
        <v>2</v>
      </c>
      <c r="D40" s="1"/>
      <c r="F40" s="10">
        <v>38869</v>
      </c>
      <c r="G40" s="11">
        <v>43681</v>
      </c>
      <c r="H40" s="11" t="s">
        <v>15</v>
      </c>
      <c r="L40" s="3">
        <v>39387</v>
      </c>
      <c r="M40" s="5">
        <v>13162</v>
      </c>
      <c r="N40" s="5"/>
      <c r="O40" s="5">
        <v>63039</v>
      </c>
      <c r="P40" s="5"/>
      <c r="Q40" s="5"/>
      <c r="R40" s="5">
        <v>76201</v>
      </c>
      <c r="V40" s="3">
        <v>39387</v>
      </c>
      <c r="W40" s="5">
        <v>33872</v>
      </c>
      <c r="X40" s="5">
        <v>42329</v>
      </c>
      <c r="Y40" s="5">
        <v>76201</v>
      </c>
      <c r="AD40" s="3">
        <v>41000</v>
      </c>
      <c r="AE40">
        <f t="shared" si="1"/>
        <v>9341</v>
      </c>
      <c r="AF40">
        <f t="shared" si="2"/>
        <v>46120</v>
      </c>
      <c r="AG40">
        <f t="shared" si="3"/>
        <v>38016</v>
      </c>
      <c r="AH40" s="1">
        <f t="shared" si="4"/>
        <v>41000</v>
      </c>
      <c r="AI40" s="12">
        <f t="shared" si="5"/>
        <v>0.24571233164983164</v>
      </c>
    </row>
    <row r="41" spans="1:35" x14ac:dyDescent="0.25">
      <c r="A41" s="10">
        <v>38899</v>
      </c>
      <c r="B41" s="11">
        <v>10084</v>
      </c>
      <c r="C41" s="11" t="s">
        <v>3</v>
      </c>
      <c r="D41" s="1"/>
      <c r="F41" s="10">
        <v>38899</v>
      </c>
      <c r="G41" s="11">
        <v>51943</v>
      </c>
      <c r="H41" s="11" t="s">
        <v>16</v>
      </c>
      <c r="L41" s="3">
        <v>39417</v>
      </c>
      <c r="M41" s="5">
        <v>15915</v>
      </c>
      <c r="N41" s="5"/>
      <c r="O41" s="5">
        <v>65060</v>
      </c>
      <c r="P41" s="5"/>
      <c r="Q41" s="5"/>
      <c r="R41" s="5">
        <v>80975</v>
      </c>
      <c r="V41" s="3">
        <v>39417</v>
      </c>
      <c r="W41" s="5">
        <v>31735</v>
      </c>
      <c r="X41" s="5">
        <v>49240</v>
      </c>
      <c r="Y41" s="5">
        <v>80975</v>
      </c>
      <c r="AD41" s="3">
        <v>41030</v>
      </c>
      <c r="AE41">
        <f t="shared" si="1"/>
        <v>8758</v>
      </c>
      <c r="AF41">
        <f t="shared" si="2"/>
        <v>48045</v>
      </c>
      <c r="AG41">
        <f t="shared" si="3"/>
        <v>37464</v>
      </c>
      <c r="AH41" s="1">
        <f t="shared" si="4"/>
        <v>41030</v>
      </c>
      <c r="AI41" s="12">
        <f t="shared" si="5"/>
        <v>0.23377108691010037</v>
      </c>
    </row>
    <row r="42" spans="1:35" x14ac:dyDescent="0.25">
      <c r="A42" s="10">
        <v>38899</v>
      </c>
      <c r="B42" s="11">
        <v>83910</v>
      </c>
      <c r="C42" s="11" t="s">
        <v>2</v>
      </c>
      <c r="D42" s="1"/>
      <c r="F42" s="10">
        <v>38899</v>
      </c>
      <c r="G42" s="11">
        <v>42051</v>
      </c>
      <c r="H42" s="11" t="s">
        <v>15</v>
      </c>
      <c r="L42" s="3">
        <v>39448</v>
      </c>
      <c r="M42" s="5">
        <v>15440</v>
      </c>
      <c r="N42" s="5"/>
      <c r="O42" s="5">
        <v>56354</v>
      </c>
      <c r="P42" s="5"/>
      <c r="Q42" s="5"/>
      <c r="R42" s="5">
        <v>71794</v>
      </c>
      <c r="V42" s="3">
        <v>39448</v>
      </c>
      <c r="W42" s="5">
        <v>27663</v>
      </c>
      <c r="X42" s="5">
        <v>44131</v>
      </c>
      <c r="Y42" s="5">
        <v>71794</v>
      </c>
      <c r="AD42" s="3">
        <v>41061</v>
      </c>
      <c r="AE42">
        <f t="shared" si="1"/>
        <v>7590</v>
      </c>
      <c r="AF42">
        <f t="shared" si="2"/>
        <v>48800</v>
      </c>
      <c r="AG42">
        <f t="shared" si="3"/>
        <v>33026</v>
      </c>
      <c r="AH42" s="1">
        <f t="shared" si="4"/>
        <v>41061</v>
      </c>
      <c r="AI42" s="12">
        <f t="shared" si="5"/>
        <v>0.22981893053957489</v>
      </c>
    </row>
    <row r="43" spans="1:35" x14ac:dyDescent="0.25">
      <c r="A43" s="10">
        <v>38930</v>
      </c>
      <c r="B43" s="11">
        <v>9338</v>
      </c>
      <c r="C43" s="11" t="s">
        <v>3</v>
      </c>
      <c r="D43" s="1"/>
      <c r="F43" s="10">
        <v>38930</v>
      </c>
      <c r="G43" s="11">
        <v>59950</v>
      </c>
      <c r="H43" s="11" t="s">
        <v>16</v>
      </c>
      <c r="L43" s="3">
        <v>39479</v>
      </c>
      <c r="M43" s="5">
        <v>23561</v>
      </c>
      <c r="N43" s="5"/>
      <c r="O43" s="5">
        <v>65022</v>
      </c>
      <c r="P43" s="5"/>
      <c r="Q43" s="5"/>
      <c r="R43" s="5">
        <v>88583</v>
      </c>
      <c r="V43" s="3">
        <v>39479</v>
      </c>
      <c r="W43" s="5">
        <v>28576</v>
      </c>
      <c r="X43" s="5">
        <v>60007</v>
      </c>
      <c r="Y43" s="5">
        <v>88583</v>
      </c>
      <c r="AD43" s="3">
        <v>41091</v>
      </c>
      <c r="AE43">
        <f t="shared" si="1"/>
        <v>7435</v>
      </c>
      <c r="AF43">
        <f t="shared" si="2"/>
        <v>57435</v>
      </c>
      <c r="AG43">
        <f t="shared" si="3"/>
        <v>36057</v>
      </c>
      <c r="AH43" s="1">
        <f t="shared" si="4"/>
        <v>41091</v>
      </c>
      <c r="AI43" s="12">
        <f t="shared" si="5"/>
        <v>0.20620129239814738</v>
      </c>
    </row>
    <row r="44" spans="1:35" x14ac:dyDescent="0.25">
      <c r="A44" s="10">
        <v>38930</v>
      </c>
      <c r="B44" s="11">
        <v>89982</v>
      </c>
      <c r="C44" s="11" t="s">
        <v>2</v>
      </c>
      <c r="D44" s="1"/>
      <c r="F44" s="10">
        <v>38930</v>
      </c>
      <c r="G44" s="11">
        <v>39370</v>
      </c>
      <c r="H44" s="11" t="s">
        <v>15</v>
      </c>
      <c r="L44" s="3">
        <v>39508</v>
      </c>
      <c r="M44" s="5">
        <v>27146</v>
      </c>
      <c r="N44" s="5"/>
      <c r="O44" s="5">
        <v>54372</v>
      </c>
      <c r="P44" s="5"/>
      <c r="Q44" s="5"/>
      <c r="R44" s="5">
        <v>81518</v>
      </c>
      <c r="V44" s="3">
        <v>39508</v>
      </c>
      <c r="W44" s="5">
        <v>21746</v>
      </c>
      <c r="X44" s="5">
        <v>59772</v>
      </c>
      <c r="Y44" s="5">
        <v>81518</v>
      </c>
      <c r="AD44" s="3">
        <v>41122</v>
      </c>
      <c r="AE44">
        <f t="shared" si="1"/>
        <v>7800</v>
      </c>
      <c r="AF44">
        <f t="shared" si="2"/>
        <v>55473</v>
      </c>
      <c r="AG44">
        <f t="shared" si="3"/>
        <v>36003</v>
      </c>
      <c r="AH44" s="1">
        <f t="shared" si="4"/>
        <v>41122</v>
      </c>
      <c r="AI44" s="12">
        <f t="shared" si="5"/>
        <v>0.21664861261561535</v>
      </c>
    </row>
    <row r="45" spans="1:35" x14ac:dyDescent="0.25">
      <c r="A45" s="10">
        <v>38961</v>
      </c>
      <c r="B45" s="11">
        <v>8972</v>
      </c>
      <c r="C45" s="11" t="s">
        <v>3</v>
      </c>
      <c r="D45" s="1"/>
      <c r="F45" s="10">
        <v>38961</v>
      </c>
      <c r="G45" s="11">
        <v>37221</v>
      </c>
      <c r="H45" s="11" t="s">
        <v>15</v>
      </c>
      <c r="L45" s="3">
        <v>39539</v>
      </c>
      <c r="M45" s="5">
        <v>49347</v>
      </c>
      <c r="N45" s="5"/>
      <c r="O45" s="5">
        <v>72773</v>
      </c>
      <c r="P45" s="5"/>
      <c r="Q45" s="5"/>
      <c r="R45" s="5">
        <v>122120</v>
      </c>
      <c r="V45" s="3">
        <v>39539</v>
      </c>
      <c r="W45" s="5">
        <v>25190</v>
      </c>
      <c r="X45" s="5">
        <v>96930</v>
      </c>
      <c r="Y45" s="5">
        <v>122120</v>
      </c>
      <c r="AD45" s="3">
        <v>41153</v>
      </c>
      <c r="AE45">
        <f t="shared" si="1"/>
        <v>9870</v>
      </c>
      <c r="AF45">
        <f t="shared" si="2"/>
        <v>63622</v>
      </c>
      <c r="AG45">
        <f t="shared" si="3"/>
        <v>43995</v>
      </c>
      <c r="AH45" s="1">
        <f t="shared" si="4"/>
        <v>41153</v>
      </c>
      <c r="AI45" s="12">
        <f t="shared" si="5"/>
        <v>0.22434367541766109</v>
      </c>
    </row>
    <row r="46" spans="1:35" x14ac:dyDescent="0.25">
      <c r="A46" s="10">
        <v>38961</v>
      </c>
      <c r="B46" s="11">
        <v>81525</v>
      </c>
      <c r="C46" s="11" t="s">
        <v>2</v>
      </c>
      <c r="D46" s="1"/>
      <c r="F46" s="10">
        <v>38961</v>
      </c>
      <c r="G46" s="11">
        <v>53276</v>
      </c>
      <c r="H46" s="11" t="s">
        <v>16</v>
      </c>
      <c r="L46" s="3">
        <v>39569</v>
      </c>
      <c r="M46" s="5">
        <v>33642</v>
      </c>
      <c r="N46" s="5"/>
      <c r="O46" s="5">
        <v>74873</v>
      </c>
      <c r="P46" s="5"/>
      <c r="Q46" s="5"/>
      <c r="R46" s="5">
        <v>108515</v>
      </c>
      <c r="V46" s="3">
        <v>39569</v>
      </c>
      <c r="W46" s="5">
        <v>30884</v>
      </c>
      <c r="X46" s="5">
        <v>77631</v>
      </c>
      <c r="Y46" s="5">
        <v>108515</v>
      </c>
      <c r="AD46" s="3">
        <v>41183</v>
      </c>
      <c r="AE46">
        <f t="shared" si="1"/>
        <v>10684</v>
      </c>
      <c r="AF46">
        <f t="shared" si="2"/>
        <v>75845</v>
      </c>
      <c r="AG46">
        <f t="shared" si="3"/>
        <v>54695</v>
      </c>
      <c r="AH46" s="1">
        <f t="shared" si="4"/>
        <v>41183</v>
      </c>
      <c r="AI46" s="12">
        <f t="shared" si="5"/>
        <v>0.19533778224700613</v>
      </c>
    </row>
    <row r="47" spans="1:35" x14ac:dyDescent="0.25">
      <c r="A47" s="10">
        <v>38991</v>
      </c>
      <c r="B47" s="11">
        <v>9641</v>
      </c>
      <c r="C47" s="11" t="s">
        <v>3</v>
      </c>
      <c r="D47" s="1"/>
      <c r="F47" s="10">
        <v>38991</v>
      </c>
      <c r="G47" s="11">
        <v>39556</v>
      </c>
      <c r="H47" s="11" t="s">
        <v>15</v>
      </c>
      <c r="L47" s="3">
        <v>39600</v>
      </c>
      <c r="M47" s="5">
        <v>31997</v>
      </c>
      <c r="N47" s="5"/>
      <c r="O47" s="5">
        <v>75480</v>
      </c>
      <c r="P47" s="5"/>
      <c r="Q47" s="5"/>
      <c r="R47" s="5">
        <v>107477</v>
      </c>
      <c r="V47" s="3">
        <v>39600</v>
      </c>
      <c r="W47" s="5">
        <v>31563</v>
      </c>
      <c r="X47" s="5">
        <v>75914</v>
      </c>
      <c r="Y47" s="5">
        <v>107477</v>
      </c>
      <c r="AD47" s="3">
        <v>41214</v>
      </c>
      <c r="AE47">
        <f t="shared" si="1"/>
        <v>12836</v>
      </c>
      <c r="AF47">
        <f t="shared" si="2"/>
        <v>86434</v>
      </c>
      <c r="AG47">
        <f t="shared" si="3"/>
        <v>64599</v>
      </c>
      <c r="AH47" s="1">
        <f t="shared" si="4"/>
        <v>41214</v>
      </c>
      <c r="AI47" s="12">
        <f t="shared" si="5"/>
        <v>0.1987027662966919</v>
      </c>
    </row>
    <row r="48" spans="1:35" x14ac:dyDescent="0.25">
      <c r="A48" s="10">
        <v>38991</v>
      </c>
      <c r="B48" s="11">
        <v>81713</v>
      </c>
      <c r="C48" s="11" t="s">
        <v>2</v>
      </c>
      <c r="D48" s="1"/>
      <c r="F48" s="10">
        <v>38991</v>
      </c>
      <c r="G48" s="11">
        <v>51798</v>
      </c>
      <c r="H48" s="11" t="s">
        <v>16</v>
      </c>
      <c r="L48" s="3">
        <v>39630</v>
      </c>
      <c r="M48" s="5">
        <v>19659</v>
      </c>
      <c r="N48" s="5"/>
      <c r="O48" s="5">
        <v>62082</v>
      </c>
      <c r="P48" s="5"/>
      <c r="Q48" s="5"/>
      <c r="R48" s="5">
        <v>81741</v>
      </c>
      <c r="V48" s="3">
        <v>39630</v>
      </c>
      <c r="W48" s="5">
        <v>32255</v>
      </c>
      <c r="X48" s="5">
        <v>49486</v>
      </c>
      <c r="Y48" s="5">
        <v>81741</v>
      </c>
      <c r="AD48" s="3">
        <v>41244</v>
      </c>
      <c r="AE48">
        <f t="shared" si="1"/>
        <v>13536</v>
      </c>
      <c r="AF48">
        <f t="shared" si="2"/>
        <v>87451</v>
      </c>
      <c r="AG48">
        <f t="shared" si="3"/>
        <v>66930</v>
      </c>
      <c r="AH48" s="1">
        <f t="shared" si="4"/>
        <v>41244</v>
      </c>
      <c r="AI48" s="12">
        <f t="shared" si="5"/>
        <v>0.20224114746750335</v>
      </c>
    </row>
    <row r="49" spans="1:35" x14ac:dyDescent="0.25">
      <c r="A49" s="10">
        <v>39022</v>
      </c>
      <c r="B49" s="11">
        <v>76928</v>
      </c>
      <c r="C49" s="11" t="s">
        <v>2</v>
      </c>
      <c r="D49" s="1"/>
      <c r="F49" s="10">
        <v>39022</v>
      </c>
      <c r="G49" s="11">
        <v>42715</v>
      </c>
      <c r="H49" s="11" t="s">
        <v>15</v>
      </c>
      <c r="L49" s="3">
        <v>39661</v>
      </c>
      <c r="M49" s="5">
        <v>14440</v>
      </c>
      <c r="N49" s="5"/>
      <c r="O49" s="5">
        <v>60418</v>
      </c>
      <c r="P49" s="5"/>
      <c r="Q49" s="5"/>
      <c r="R49" s="5">
        <v>74858</v>
      </c>
      <c r="V49" s="3">
        <v>39661</v>
      </c>
      <c r="W49" s="5">
        <v>35903</v>
      </c>
      <c r="X49" s="5">
        <v>38955</v>
      </c>
      <c r="Y49" s="5">
        <v>74858</v>
      </c>
      <c r="AD49" s="3">
        <v>41275</v>
      </c>
      <c r="AE49">
        <f t="shared" si="1"/>
        <v>12555</v>
      </c>
      <c r="AF49">
        <f t="shared" si="2"/>
        <v>74149</v>
      </c>
      <c r="AG49">
        <f t="shared" si="3"/>
        <v>58458</v>
      </c>
      <c r="AH49" s="1">
        <f t="shared" si="4"/>
        <v>41275</v>
      </c>
      <c r="AI49" s="12">
        <f t="shared" si="5"/>
        <v>0.21476957815867803</v>
      </c>
    </row>
    <row r="50" spans="1:35" x14ac:dyDescent="0.25">
      <c r="A50" s="10">
        <v>39022</v>
      </c>
      <c r="B50" s="11">
        <v>10894</v>
      </c>
      <c r="C50" s="11" t="s">
        <v>3</v>
      </c>
      <c r="D50" s="1"/>
      <c r="F50" s="10">
        <v>39022</v>
      </c>
      <c r="G50" s="11">
        <v>45107</v>
      </c>
      <c r="H50" s="11" t="s">
        <v>16</v>
      </c>
      <c r="L50" s="3">
        <v>39692</v>
      </c>
      <c r="M50" s="5">
        <v>9666</v>
      </c>
      <c r="N50" s="5"/>
      <c r="O50" s="5">
        <v>51267</v>
      </c>
      <c r="P50" s="5"/>
      <c r="Q50" s="5"/>
      <c r="R50" s="5">
        <v>60933</v>
      </c>
      <c r="V50" s="3">
        <v>39692</v>
      </c>
      <c r="W50" s="5">
        <v>32528</v>
      </c>
      <c r="X50" s="5">
        <v>28405</v>
      </c>
      <c r="Y50" s="5">
        <v>60933</v>
      </c>
      <c r="AD50" s="3">
        <v>41306</v>
      </c>
      <c r="AE50">
        <f t="shared" si="1"/>
        <v>13011</v>
      </c>
      <c r="AF50">
        <f t="shared" si="2"/>
        <v>82010</v>
      </c>
      <c r="AG50">
        <f t="shared" si="3"/>
        <v>64955</v>
      </c>
      <c r="AH50" s="1">
        <f t="shared" si="4"/>
        <v>41306</v>
      </c>
      <c r="AI50" s="12">
        <f t="shared" si="5"/>
        <v>0.20030790547301977</v>
      </c>
    </row>
    <row r="51" spans="1:35" x14ac:dyDescent="0.25">
      <c r="A51" s="10">
        <v>39052</v>
      </c>
      <c r="B51" s="11">
        <v>87403</v>
      </c>
      <c r="C51" s="11" t="s">
        <v>2</v>
      </c>
      <c r="D51" s="1"/>
      <c r="F51" s="10">
        <v>39052</v>
      </c>
      <c r="G51" s="11">
        <v>45859</v>
      </c>
      <c r="H51" s="11" t="s">
        <v>16</v>
      </c>
      <c r="L51" s="3">
        <v>39722</v>
      </c>
      <c r="M51" s="5">
        <v>6021</v>
      </c>
      <c r="N51" s="5"/>
      <c r="O51" s="5">
        <v>34340</v>
      </c>
      <c r="P51" s="5"/>
      <c r="Q51" s="5"/>
      <c r="R51" s="5">
        <v>40361</v>
      </c>
      <c r="V51" s="3">
        <v>39722</v>
      </c>
      <c r="W51" s="5">
        <v>22385</v>
      </c>
      <c r="X51" s="5">
        <v>17976</v>
      </c>
      <c r="Y51" s="5">
        <v>40361</v>
      </c>
      <c r="AD51" s="3">
        <v>41334</v>
      </c>
      <c r="AE51">
        <f t="shared" si="1"/>
        <v>14091</v>
      </c>
      <c r="AF51">
        <f t="shared" si="2"/>
        <v>86798</v>
      </c>
      <c r="AG51">
        <f t="shared" si="3"/>
        <v>71099</v>
      </c>
      <c r="AH51" s="1">
        <f t="shared" si="4"/>
        <v>41334</v>
      </c>
      <c r="AI51" s="12">
        <f t="shared" si="5"/>
        <v>0.19818844146893769</v>
      </c>
    </row>
    <row r="52" spans="1:35" x14ac:dyDescent="0.25">
      <c r="A52" s="10">
        <v>39052</v>
      </c>
      <c r="B52" s="11">
        <v>15093</v>
      </c>
      <c r="C52" s="11" t="s">
        <v>3</v>
      </c>
      <c r="D52" s="1"/>
      <c r="F52" s="10">
        <v>39052</v>
      </c>
      <c r="G52" s="11">
        <v>56637</v>
      </c>
      <c r="H52" s="11" t="s">
        <v>15</v>
      </c>
      <c r="L52" s="3">
        <v>39753</v>
      </c>
      <c r="M52" s="5">
        <v>9170</v>
      </c>
      <c r="N52" s="5"/>
      <c r="O52" s="5">
        <v>39831</v>
      </c>
      <c r="P52" s="5"/>
      <c r="Q52" s="5"/>
      <c r="R52" s="5">
        <v>49001</v>
      </c>
      <c r="V52" s="3">
        <v>39753</v>
      </c>
      <c r="W52" s="5">
        <v>25336</v>
      </c>
      <c r="X52" s="5">
        <v>23665</v>
      </c>
      <c r="Y52" s="5">
        <v>49001</v>
      </c>
      <c r="AD52" s="3">
        <v>41365</v>
      </c>
      <c r="AE52">
        <f t="shared" si="1"/>
        <v>14320</v>
      </c>
      <c r="AF52">
        <f t="shared" si="2"/>
        <v>84864</v>
      </c>
      <c r="AG52">
        <f t="shared" si="3"/>
        <v>66340</v>
      </c>
      <c r="AH52" s="1">
        <f t="shared" si="4"/>
        <v>41365</v>
      </c>
      <c r="AI52" s="12">
        <f t="shared" si="5"/>
        <v>0.21585770274344288</v>
      </c>
    </row>
    <row r="53" spans="1:35" x14ac:dyDescent="0.25">
      <c r="A53" s="10">
        <v>39083</v>
      </c>
      <c r="B53" s="11">
        <v>14657</v>
      </c>
      <c r="C53" s="11" t="s">
        <v>3</v>
      </c>
      <c r="D53" s="1"/>
      <c r="F53" s="10">
        <v>39083</v>
      </c>
      <c r="G53" s="11">
        <v>52239</v>
      </c>
      <c r="H53" s="11" t="s">
        <v>15</v>
      </c>
      <c r="L53" s="3">
        <v>39783</v>
      </c>
      <c r="M53" s="5">
        <v>13913</v>
      </c>
      <c r="N53" s="5"/>
      <c r="O53" s="5">
        <v>42123</v>
      </c>
      <c r="P53" s="5"/>
      <c r="Q53" s="5"/>
      <c r="R53" s="5">
        <v>56036</v>
      </c>
      <c r="V53" s="3">
        <v>39783</v>
      </c>
      <c r="W53" s="5">
        <v>23797</v>
      </c>
      <c r="X53" s="5">
        <v>32239</v>
      </c>
      <c r="Y53" s="5">
        <v>56036</v>
      </c>
      <c r="AD53" s="3">
        <v>41395</v>
      </c>
      <c r="AE53">
        <f t="shared" si="1"/>
        <v>14365</v>
      </c>
      <c r="AF53">
        <f t="shared" si="2"/>
        <v>76551</v>
      </c>
      <c r="AG53">
        <f t="shared" si="3"/>
        <v>56011</v>
      </c>
      <c r="AH53" s="1">
        <f t="shared" si="4"/>
        <v>41395</v>
      </c>
      <c r="AI53" s="12">
        <f t="shared" si="5"/>
        <v>0.25646747960222099</v>
      </c>
    </row>
    <row r="54" spans="1:35" x14ac:dyDescent="0.25">
      <c r="A54" s="10">
        <v>39083</v>
      </c>
      <c r="B54" s="11">
        <v>79907</v>
      </c>
      <c r="C54" s="11" t="s">
        <v>2</v>
      </c>
      <c r="D54" s="1"/>
      <c r="F54" s="10">
        <v>39083</v>
      </c>
      <c r="G54" s="11">
        <v>42325</v>
      </c>
      <c r="H54" s="11" t="s">
        <v>16</v>
      </c>
      <c r="L54" s="3">
        <v>39814</v>
      </c>
      <c r="M54" s="5">
        <v>6521</v>
      </c>
      <c r="N54" s="5"/>
      <c r="O54" s="5">
        <v>25811</v>
      </c>
      <c r="P54" s="5"/>
      <c r="Q54" s="5"/>
      <c r="R54" s="5">
        <v>32332</v>
      </c>
      <c r="V54" s="3">
        <v>39814</v>
      </c>
      <c r="W54" s="5">
        <v>16286</v>
      </c>
      <c r="X54" s="5">
        <v>16046</v>
      </c>
      <c r="Y54" s="5">
        <v>32332</v>
      </c>
      <c r="AD54" s="3">
        <v>41426</v>
      </c>
      <c r="AE54">
        <f t="shared" si="1"/>
        <v>13328</v>
      </c>
      <c r="AF54">
        <f t="shared" si="2"/>
        <v>71196</v>
      </c>
      <c r="AG54">
        <f t="shared" si="3"/>
        <v>49949</v>
      </c>
      <c r="AH54" s="1">
        <f t="shared" si="4"/>
        <v>41426</v>
      </c>
      <c r="AI54" s="12">
        <f t="shared" si="5"/>
        <v>0.26683216881218841</v>
      </c>
    </row>
    <row r="55" spans="1:35" x14ac:dyDescent="0.25">
      <c r="A55" s="10">
        <v>39114</v>
      </c>
      <c r="B55" s="11">
        <v>80729</v>
      </c>
      <c r="C55" s="11" t="s">
        <v>2</v>
      </c>
      <c r="D55" s="1"/>
      <c r="F55" s="10">
        <v>39114</v>
      </c>
      <c r="G55" s="11">
        <v>39079</v>
      </c>
      <c r="H55" s="11" t="s">
        <v>16</v>
      </c>
      <c r="L55" s="3">
        <v>39845</v>
      </c>
      <c r="M55" s="5">
        <v>29448</v>
      </c>
      <c r="N55" s="5"/>
      <c r="O55" s="5">
        <v>43675</v>
      </c>
      <c r="P55" s="5"/>
      <c r="Q55" s="5"/>
      <c r="R55" s="5">
        <v>73123</v>
      </c>
      <c r="V55" s="3">
        <v>39845</v>
      </c>
      <c r="W55" s="5">
        <v>22677</v>
      </c>
      <c r="X55" s="5">
        <v>50446</v>
      </c>
      <c r="Y55" s="5">
        <v>73123</v>
      </c>
      <c r="AD55" s="3">
        <v>41456</v>
      </c>
      <c r="AE55">
        <f t="shared" si="1"/>
        <v>13096</v>
      </c>
      <c r="AF55">
        <f t="shared" si="2"/>
        <v>85816</v>
      </c>
      <c r="AG55">
        <f t="shared" si="3"/>
        <v>57445</v>
      </c>
      <c r="AH55" s="1">
        <f t="shared" si="4"/>
        <v>41456</v>
      </c>
      <c r="AI55" s="12">
        <f t="shared" si="5"/>
        <v>0.22797458438506396</v>
      </c>
    </row>
    <row r="56" spans="1:35" x14ac:dyDescent="0.25">
      <c r="A56" s="10">
        <v>39114</v>
      </c>
      <c r="B56" s="11">
        <v>18281</v>
      </c>
      <c r="C56" s="11" t="s">
        <v>3</v>
      </c>
      <c r="D56" s="1"/>
      <c r="F56" s="10">
        <v>39114</v>
      </c>
      <c r="G56" s="11">
        <v>59931</v>
      </c>
      <c r="H56" s="11" t="s">
        <v>15</v>
      </c>
      <c r="L56" s="3">
        <v>39873</v>
      </c>
      <c r="M56" s="5">
        <v>74749</v>
      </c>
      <c r="N56" s="5"/>
      <c r="O56" s="5">
        <v>52634</v>
      </c>
      <c r="P56" s="5"/>
      <c r="Q56" s="5"/>
      <c r="R56" s="5">
        <v>127383</v>
      </c>
      <c r="V56" s="3">
        <v>39873</v>
      </c>
      <c r="W56" s="5">
        <v>14672</v>
      </c>
      <c r="X56" s="5">
        <v>112711</v>
      </c>
      <c r="Y56" s="5">
        <v>127383</v>
      </c>
      <c r="AD56" s="3">
        <v>41487</v>
      </c>
      <c r="AE56">
        <f t="shared" si="1"/>
        <v>11152</v>
      </c>
      <c r="AF56">
        <f t="shared" si="2"/>
        <v>78178</v>
      </c>
      <c r="AG56">
        <f t="shared" si="3"/>
        <v>49603</v>
      </c>
      <c r="AH56" s="1">
        <f t="shared" si="4"/>
        <v>41487</v>
      </c>
      <c r="AI56" s="12">
        <f t="shared" si="5"/>
        <v>0.22482511138439207</v>
      </c>
    </row>
    <row r="57" spans="1:35" x14ac:dyDescent="0.25">
      <c r="A57" s="10">
        <v>39142</v>
      </c>
      <c r="B57" s="11">
        <v>70059</v>
      </c>
      <c r="C57" s="11" t="s">
        <v>2</v>
      </c>
      <c r="D57" s="1"/>
      <c r="F57" s="10">
        <v>39142</v>
      </c>
      <c r="G57" s="11">
        <v>31140</v>
      </c>
      <c r="H57" s="11" t="s">
        <v>16</v>
      </c>
      <c r="L57" s="3">
        <v>39904</v>
      </c>
      <c r="M57" s="5">
        <v>96937</v>
      </c>
      <c r="N57" s="5"/>
      <c r="O57" s="5">
        <v>66109</v>
      </c>
      <c r="P57" s="5"/>
      <c r="Q57" s="5"/>
      <c r="R57" s="5">
        <v>163046</v>
      </c>
      <c r="V57" s="3">
        <v>39904</v>
      </c>
      <c r="W57" s="5">
        <v>16437</v>
      </c>
      <c r="X57" s="5">
        <v>146609</v>
      </c>
      <c r="Y57" s="5">
        <v>163046</v>
      </c>
      <c r="AD57" s="3">
        <v>41518</v>
      </c>
      <c r="AE57">
        <f t="shared" si="1"/>
        <v>9637</v>
      </c>
      <c r="AF57">
        <f t="shared" si="2"/>
        <v>65351</v>
      </c>
      <c r="AG57">
        <f t="shared" si="3"/>
        <v>38828</v>
      </c>
      <c r="AH57" s="1">
        <f t="shared" si="4"/>
        <v>41518</v>
      </c>
      <c r="AI57" s="12">
        <f t="shared" si="5"/>
        <v>0.24819717729473575</v>
      </c>
    </row>
    <row r="58" spans="1:35" x14ac:dyDescent="0.25">
      <c r="A58" s="10">
        <v>39142</v>
      </c>
      <c r="B58" s="11">
        <v>17882</v>
      </c>
      <c r="C58" s="11" t="s">
        <v>3</v>
      </c>
      <c r="D58" s="1"/>
      <c r="F58" s="10">
        <v>39142</v>
      </c>
      <c r="G58" s="11">
        <v>56801</v>
      </c>
      <c r="H58" s="11" t="s">
        <v>15</v>
      </c>
      <c r="L58" s="3">
        <v>39934</v>
      </c>
      <c r="M58" s="5">
        <v>100891</v>
      </c>
      <c r="N58" s="5"/>
      <c r="O58" s="5">
        <v>79368</v>
      </c>
      <c r="P58" s="5"/>
      <c r="Q58" s="5"/>
      <c r="R58" s="5">
        <v>180259</v>
      </c>
      <c r="V58" s="3">
        <v>39934</v>
      </c>
      <c r="W58" s="5">
        <v>23794</v>
      </c>
      <c r="X58" s="5">
        <v>156465</v>
      </c>
      <c r="Y58" s="5">
        <v>180259</v>
      </c>
      <c r="AD58" s="3">
        <v>41548</v>
      </c>
      <c r="AE58">
        <f t="shared" si="1"/>
        <v>7185</v>
      </c>
      <c r="AF58">
        <f t="shared" si="2"/>
        <v>51169</v>
      </c>
      <c r="AG58">
        <f t="shared" si="3"/>
        <v>26886</v>
      </c>
      <c r="AH58" s="1">
        <f t="shared" si="4"/>
        <v>41548</v>
      </c>
      <c r="AI58" s="12">
        <f t="shared" si="5"/>
        <v>0.26723945547868777</v>
      </c>
    </row>
    <row r="59" spans="1:35" x14ac:dyDescent="0.25">
      <c r="A59" s="10">
        <v>39173</v>
      </c>
      <c r="B59" s="11">
        <v>73705</v>
      </c>
      <c r="C59" s="11" t="s">
        <v>2</v>
      </c>
      <c r="D59" s="1"/>
      <c r="F59" s="10">
        <v>39173</v>
      </c>
      <c r="G59" s="11">
        <v>36891</v>
      </c>
      <c r="H59" s="11" t="s">
        <v>16</v>
      </c>
      <c r="L59" s="3">
        <v>39965</v>
      </c>
      <c r="M59" s="5"/>
      <c r="N59" s="5">
        <v>6710</v>
      </c>
      <c r="O59" s="5">
        <v>73587</v>
      </c>
      <c r="P59" s="5">
        <v>88926</v>
      </c>
      <c r="Q59" s="5"/>
      <c r="R59" s="5">
        <v>169223</v>
      </c>
      <c r="V59" s="3">
        <v>39965</v>
      </c>
      <c r="W59" s="5">
        <v>22432</v>
      </c>
      <c r="X59" s="5">
        <v>146791</v>
      </c>
      <c r="Y59" s="5">
        <v>169223</v>
      </c>
      <c r="AD59" s="3">
        <v>41579</v>
      </c>
      <c r="AE59">
        <f t="shared" si="1"/>
        <v>5561</v>
      </c>
      <c r="AF59">
        <f t="shared" si="2"/>
        <v>40813</v>
      </c>
      <c r="AG59">
        <f t="shared" si="3"/>
        <v>20443</v>
      </c>
      <c r="AH59" s="1">
        <f t="shared" si="4"/>
        <v>41579</v>
      </c>
      <c r="AI59" s="12">
        <f t="shared" si="5"/>
        <v>0.2720246539157658</v>
      </c>
    </row>
    <row r="60" spans="1:35" x14ac:dyDescent="0.25">
      <c r="A60" s="10">
        <v>39173</v>
      </c>
      <c r="B60" s="11">
        <v>15173</v>
      </c>
      <c r="C60" s="11" t="s">
        <v>3</v>
      </c>
      <c r="D60" s="1"/>
      <c r="F60" s="10">
        <v>39173</v>
      </c>
      <c r="G60" s="11">
        <v>51987</v>
      </c>
      <c r="H60" s="11" t="s">
        <v>15</v>
      </c>
      <c r="L60" s="3">
        <v>39995</v>
      </c>
      <c r="M60" s="5"/>
      <c r="N60" s="5">
        <v>7064</v>
      </c>
      <c r="O60" s="5">
        <v>75008</v>
      </c>
      <c r="P60" s="5">
        <v>85852</v>
      </c>
      <c r="Q60" s="5"/>
      <c r="R60" s="5">
        <v>167924</v>
      </c>
      <c r="V60" s="3">
        <v>39995</v>
      </c>
      <c r="W60" s="5">
        <v>25072</v>
      </c>
      <c r="X60" s="5">
        <v>142852</v>
      </c>
      <c r="Y60" s="5">
        <v>167924</v>
      </c>
      <c r="AD60" s="3">
        <v>41609</v>
      </c>
      <c r="AE60">
        <f t="shared" si="1"/>
        <v>5307</v>
      </c>
      <c r="AF60">
        <f t="shared" si="2"/>
        <v>43828</v>
      </c>
      <c r="AG60">
        <f t="shared" si="3"/>
        <v>20950</v>
      </c>
      <c r="AH60" s="1">
        <f t="shared" si="4"/>
        <v>41609</v>
      </c>
      <c r="AI60" s="12">
        <f t="shared" si="5"/>
        <v>0.25331742243436756</v>
      </c>
    </row>
    <row r="61" spans="1:35" x14ac:dyDescent="0.25">
      <c r="A61" s="10">
        <v>39203</v>
      </c>
      <c r="B61" s="11">
        <v>19010</v>
      </c>
      <c r="C61" s="11" t="s">
        <v>3</v>
      </c>
      <c r="D61" s="1"/>
      <c r="F61" s="10">
        <v>39203</v>
      </c>
      <c r="G61" s="11">
        <v>63370</v>
      </c>
      <c r="H61" s="11" t="s">
        <v>15</v>
      </c>
      <c r="L61" s="3">
        <v>40026</v>
      </c>
      <c r="M61" s="5"/>
      <c r="N61" s="5">
        <v>10110</v>
      </c>
      <c r="O61" s="5">
        <v>80507</v>
      </c>
      <c r="P61" s="5">
        <v>67421</v>
      </c>
      <c r="Q61" s="5"/>
      <c r="R61" s="5">
        <v>158038</v>
      </c>
      <c r="V61" s="3">
        <v>40026</v>
      </c>
      <c r="W61" s="5">
        <v>33562</v>
      </c>
      <c r="X61" s="5">
        <v>124476</v>
      </c>
      <c r="Y61" s="5">
        <v>158038</v>
      </c>
      <c r="AD61" s="3">
        <v>41640</v>
      </c>
      <c r="AE61">
        <f t="shared" si="1"/>
        <v>4763</v>
      </c>
      <c r="AF61">
        <f t="shared" si="2"/>
        <v>44471</v>
      </c>
      <c r="AG61">
        <f t="shared" si="3"/>
        <v>22294</v>
      </c>
      <c r="AH61" s="1">
        <f t="shared" si="4"/>
        <v>41640</v>
      </c>
      <c r="AI61" s="12">
        <f t="shared" si="5"/>
        <v>0.21364492688615772</v>
      </c>
    </row>
    <row r="62" spans="1:35" x14ac:dyDescent="0.25">
      <c r="A62" s="10">
        <v>39203</v>
      </c>
      <c r="B62" s="11">
        <v>91026</v>
      </c>
      <c r="C62" s="11" t="s">
        <v>2</v>
      </c>
      <c r="D62" s="1"/>
      <c r="F62" s="10">
        <v>39203</v>
      </c>
      <c r="G62" s="11">
        <v>46666</v>
      </c>
      <c r="H62" s="11" t="s">
        <v>16</v>
      </c>
      <c r="L62" s="3">
        <v>40057</v>
      </c>
      <c r="M62" s="5"/>
      <c r="N62" s="5">
        <v>8591</v>
      </c>
      <c r="O62" s="5">
        <v>74192</v>
      </c>
      <c r="P62" s="5">
        <v>42165</v>
      </c>
      <c r="Q62" s="5"/>
      <c r="R62" s="5">
        <v>124948</v>
      </c>
      <c r="V62" s="3">
        <v>40057</v>
      </c>
      <c r="W62" s="5">
        <v>37842</v>
      </c>
      <c r="X62" s="5">
        <v>87106</v>
      </c>
      <c r="Y62" s="5">
        <v>124948</v>
      </c>
      <c r="AD62" s="3">
        <v>41671</v>
      </c>
      <c r="AE62">
        <f t="shared" si="1"/>
        <v>4713</v>
      </c>
      <c r="AF62">
        <f t="shared" si="2"/>
        <v>45779</v>
      </c>
      <c r="AG62">
        <f t="shared" si="3"/>
        <v>22659</v>
      </c>
      <c r="AH62" s="1">
        <f t="shared" si="4"/>
        <v>41671</v>
      </c>
      <c r="AI62" s="12">
        <f t="shared" si="5"/>
        <v>0.20799682245465378</v>
      </c>
    </row>
    <row r="63" spans="1:35" x14ac:dyDescent="0.25">
      <c r="A63" s="10">
        <v>39234</v>
      </c>
      <c r="B63" s="11">
        <v>20314</v>
      </c>
      <c r="C63" s="11" t="s">
        <v>3</v>
      </c>
      <c r="D63" s="1"/>
      <c r="F63" s="10">
        <v>39234</v>
      </c>
      <c r="G63" s="11">
        <v>47775</v>
      </c>
      <c r="H63" s="11" t="s">
        <v>16</v>
      </c>
      <c r="L63" s="3">
        <v>40087</v>
      </c>
      <c r="M63" s="5"/>
      <c r="N63" s="5">
        <v>7271</v>
      </c>
      <c r="O63" s="5">
        <v>55098</v>
      </c>
      <c r="P63" s="5">
        <v>22832</v>
      </c>
      <c r="Q63" s="5"/>
      <c r="R63" s="5">
        <v>85201</v>
      </c>
      <c r="V63" s="3">
        <v>40087</v>
      </c>
      <c r="W63" s="5">
        <v>30909</v>
      </c>
      <c r="X63" s="5">
        <v>54292</v>
      </c>
      <c r="Y63" s="5">
        <v>85201</v>
      </c>
      <c r="AD63" s="3">
        <v>41699</v>
      </c>
      <c r="AE63">
        <f t="shared" si="1"/>
        <v>4009</v>
      </c>
      <c r="AF63">
        <f t="shared" si="2"/>
        <v>31876</v>
      </c>
      <c r="AG63">
        <f t="shared" si="3"/>
        <v>16538</v>
      </c>
      <c r="AH63" s="1">
        <f t="shared" si="4"/>
        <v>41699</v>
      </c>
      <c r="AI63" s="12">
        <f t="shared" si="5"/>
        <v>0.24241141613254324</v>
      </c>
    </row>
    <row r="64" spans="1:35" x14ac:dyDescent="0.25">
      <c r="A64" s="10">
        <v>39234</v>
      </c>
      <c r="B64" s="11">
        <v>92371</v>
      </c>
      <c r="C64" s="11" t="s">
        <v>2</v>
      </c>
      <c r="D64" s="1"/>
      <c r="F64" s="10">
        <v>39234</v>
      </c>
      <c r="G64" s="11">
        <v>64910</v>
      </c>
      <c r="H64" s="11" t="s">
        <v>15</v>
      </c>
      <c r="L64" s="3">
        <v>40118</v>
      </c>
      <c r="M64" s="5"/>
      <c r="N64" s="5">
        <v>6267</v>
      </c>
      <c r="O64" s="5">
        <v>51584</v>
      </c>
      <c r="P64" s="5">
        <v>19566</v>
      </c>
      <c r="Q64" s="5"/>
      <c r="R64" s="5">
        <v>77417</v>
      </c>
      <c r="V64" s="3">
        <v>40118</v>
      </c>
      <c r="W64" s="5">
        <v>29112</v>
      </c>
      <c r="X64" s="5">
        <v>48305</v>
      </c>
      <c r="Y64" s="5">
        <v>77417</v>
      </c>
      <c r="AD64" s="3">
        <v>41730</v>
      </c>
      <c r="AE64">
        <f t="shared" si="1"/>
        <v>0</v>
      </c>
      <c r="AF64">
        <f t="shared" si="2"/>
        <v>31455</v>
      </c>
      <c r="AG64">
        <f t="shared" si="3"/>
        <v>15114</v>
      </c>
      <c r="AH64" s="1">
        <f t="shared" si="4"/>
        <v>41730</v>
      </c>
      <c r="AI64" s="12">
        <f t="shared" si="5"/>
        <v>0</v>
      </c>
    </row>
    <row r="65" spans="1:35" x14ac:dyDescent="0.25">
      <c r="A65" s="10">
        <v>39264</v>
      </c>
      <c r="B65" s="11">
        <v>17422</v>
      </c>
      <c r="C65" s="11" t="s">
        <v>3</v>
      </c>
      <c r="D65" s="1"/>
      <c r="F65" s="10">
        <v>39264</v>
      </c>
      <c r="G65" s="11">
        <v>48295</v>
      </c>
      <c r="H65" s="11" t="s">
        <v>16</v>
      </c>
      <c r="L65" s="3">
        <v>40148</v>
      </c>
      <c r="M65" s="5"/>
      <c r="N65" s="5">
        <v>9286</v>
      </c>
      <c r="O65" s="5">
        <v>55305</v>
      </c>
      <c r="P65" s="5">
        <v>24758</v>
      </c>
      <c r="Q65" s="5"/>
      <c r="R65" s="5">
        <v>89349</v>
      </c>
      <c r="V65" s="3">
        <v>40148</v>
      </c>
      <c r="W65" s="5">
        <v>30800</v>
      </c>
      <c r="X65" s="5">
        <v>58549</v>
      </c>
      <c r="Y65" s="5">
        <v>89349</v>
      </c>
      <c r="AD65" s="3">
        <v>41760</v>
      </c>
      <c r="AE65">
        <f t="shared" si="1"/>
        <v>0</v>
      </c>
      <c r="AF65">
        <f t="shared" si="2"/>
        <v>40342</v>
      </c>
      <c r="AG65">
        <f t="shared" si="3"/>
        <v>18555</v>
      </c>
      <c r="AH65" s="1">
        <f t="shared" si="4"/>
        <v>41760</v>
      </c>
      <c r="AI65" s="12">
        <f t="shared" si="5"/>
        <v>0</v>
      </c>
    </row>
    <row r="66" spans="1:35" x14ac:dyDescent="0.25">
      <c r="A66" s="10">
        <v>39264</v>
      </c>
      <c r="B66" s="11">
        <v>89770</v>
      </c>
      <c r="C66" s="11" t="s">
        <v>2</v>
      </c>
      <c r="D66" s="1"/>
      <c r="F66" s="10">
        <v>39264</v>
      </c>
      <c r="G66" s="11">
        <v>58897</v>
      </c>
      <c r="H66" s="11" t="s">
        <v>15</v>
      </c>
      <c r="L66" s="3">
        <v>40179</v>
      </c>
      <c r="M66" s="5"/>
      <c r="N66" s="5">
        <v>12219</v>
      </c>
      <c r="O66" s="5">
        <v>53222</v>
      </c>
      <c r="P66" s="5">
        <v>25585</v>
      </c>
      <c r="Q66" s="5"/>
      <c r="R66" s="5">
        <v>91026</v>
      </c>
      <c r="V66" s="3">
        <v>40179</v>
      </c>
      <c r="W66" s="5">
        <v>28720</v>
      </c>
      <c r="X66" s="5">
        <v>62306</v>
      </c>
      <c r="Y66" s="5">
        <v>91026</v>
      </c>
      <c r="AD66" s="3">
        <v>41791</v>
      </c>
      <c r="AE66">
        <f t="shared" si="1"/>
        <v>0</v>
      </c>
      <c r="AF66">
        <f t="shared" si="2"/>
        <v>41368</v>
      </c>
      <c r="AG66">
        <f t="shared" si="3"/>
        <v>18408</v>
      </c>
      <c r="AH66" s="1">
        <f t="shared" si="4"/>
        <v>41791</v>
      </c>
      <c r="AI66" s="12">
        <f t="shared" si="5"/>
        <v>0</v>
      </c>
    </row>
    <row r="67" spans="1:35" x14ac:dyDescent="0.25">
      <c r="A67" s="10">
        <v>39295</v>
      </c>
      <c r="B67" s="11">
        <v>13521</v>
      </c>
      <c r="C67" s="11" t="s">
        <v>3</v>
      </c>
      <c r="D67" s="1"/>
      <c r="F67" s="10">
        <v>39295</v>
      </c>
      <c r="G67" s="11">
        <v>46378</v>
      </c>
      <c r="H67" s="11" t="s">
        <v>16</v>
      </c>
      <c r="L67" s="3">
        <v>40210</v>
      </c>
      <c r="M67" s="5"/>
      <c r="N67" s="5">
        <v>13101</v>
      </c>
      <c r="O67" s="5">
        <v>49834</v>
      </c>
      <c r="P67" s="5">
        <v>27794</v>
      </c>
      <c r="Q67" s="5"/>
      <c r="R67" s="5">
        <v>90729</v>
      </c>
      <c r="V67" s="3">
        <v>40210</v>
      </c>
      <c r="W67" s="5">
        <v>24831</v>
      </c>
      <c r="X67" s="5">
        <v>65898</v>
      </c>
      <c r="Y67" s="5">
        <v>90729</v>
      </c>
      <c r="AD67" s="3">
        <v>41821</v>
      </c>
      <c r="AE67">
        <f t="shared" si="1"/>
        <v>0</v>
      </c>
      <c r="AF67">
        <f t="shared" si="2"/>
        <v>43669</v>
      </c>
      <c r="AG67">
        <f t="shared" si="3"/>
        <v>17628</v>
      </c>
      <c r="AH67" s="1">
        <f t="shared" si="4"/>
        <v>41821</v>
      </c>
      <c r="AI67" s="12">
        <f t="shared" si="5"/>
        <v>0</v>
      </c>
    </row>
    <row r="68" spans="1:35" x14ac:dyDescent="0.25">
      <c r="A68" s="10">
        <v>39295</v>
      </c>
      <c r="B68" s="11">
        <v>80477</v>
      </c>
      <c r="C68" s="11" t="s">
        <v>2</v>
      </c>
      <c r="D68" s="1"/>
      <c r="F68" s="10">
        <v>39295</v>
      </c>
      <c r="G68" s="11">
        <v>47620</v>
      </c>
      <c r="H68" s="11" t="s">
        <v>15</v>
      </c>
      <c r="L68" s="3">
        <v>40238</v>
      </c>
      <c r="M68" s="5"/>
      <c r="N68" s="5">
        <v>12009</v>
      </c>
      <c r="O68" s="5">
        <v>40417</v>
      </c>
      <c r="P68" s="5">
        <v>23378</v>
      </c>
      <c r="Q68" s="5"/>
      <c r="R68" s="5">
        <v>75804</v>
      </c>
      <c r="V68" s="3">
        <v>40238</v>
      </c>
      <c r="W68" s="5">
        <v>18402</v>
      </c>
      <c r="X68" s="5">
        <v>57402</v>
      </c>
      <c r="Y68" s="5">
        <v>75804</v>
      </c>
      <c r="AD68" s="3">
        <v>41852</v>
      </c>
      <c r="AE68">
        <f t="shared" si="1"/>
        <v>0</v>
      </c>
      <c r="AF68">
        <f t="shared" si="2"/>
        <v>52306</v>
      </c>
      <c r="AG68">
        <f t="shared" si="3"/>
        <v>21496</v>
      </c>
      <c r="AH68" s="1">
        <f t="shared" si="4"/>
        <v>41852</v>
      </c>
      <c r="AI68" s="12">
        <f t="shared" si="5"/>
        <v>0</v>
      </c>
    </row>
    <row r="69" spans="1:35" x14ac:dyDescent="0.25">
      <c r="A69" s="10">
        <v>39326</v>
      </c>
      <c r="B69" s="11">
        <v>11717</v>
      </c>
      <c r="C69" s="11" t="s">
        <v>3</v>
      </c>
      <c r="D69" s="1"/>
      <c r="F69" s="10">
        <v>39326</v>
      </c>
      <c r="G69" s="11">
        <v>42146</v>
      </c>
      <c r="H69" s="11" t="s">
        <v>15</v>
      </c>
      <c r="L69" s="3">
        <v>40269</v>
      </c>
      <c r="M69" s="5"/>
      <c r="N69" s="5">
        <v>7833</v>
      </c>
      <c r="O69" s="5">
        <v>38919</v>
      </c>
      <c r="P69" s="5">
        <v>16544</v>
      </c>
      <c r="Q69" s="5"/>
      <c r="R69" s="5">
        <v>63296</v>
      </c>
      <c r="V69" s="3">
        <v>40269</v>
      </c>
      <c r="W69" s="5">
        <v>20232</v>
      </c>
      <c r="X69" s="5">
        <v>43064</v>
      </c>
      <c r="Y69" s="5">
        <v>63296</v>
      </c>
      <c r="AD69" s="3">
        <v>41883</v>
      </c>
      <c r="AE69">
        <f t="shared" si="1"/>
        <v>0</v>
      </c>
      <c r="AF69">
        <f t="shared" si="2"/>
        <v>54594</v>
      </c>
      <c r="AG69">
        <f t="shared" si="3"/>
        <v>23073</v>
      </c>
      <c r="AH69" s="1">
        <f t="shared" si="4"/>
        <v>41883</v>
      </c>
      <c r="AI69" s="12">
        <f t="shared" si="5"/>
        <v>0</v>
      </c>
    </row>
    <row r="70" spans="1:35" x14ac:dyDescent="0.25">
      <c r="A70" s="10">
        <v>39326</v>
      </c>
      <c r="B70" s="11">
        <v>75501</v>
      </c>
      <c r="C70" s="11" t="s">
        <v>2</v>
      </c>
      <c r="D70" s="1"/>
      <c r="F70" s="10">
        <v>39326</v>
      </c>
      <c r="G70" s="11">
        <v>45072</v>
      </c>
      <c r="H70" s="11" t="s">
        <v>16</v>
      </c>
      <c r="L70" s="3">
        <v>40299</v>
      </c>
      <c r="M70" s="5"/>
      <c r="N70" s="5">
        <v>9812</v>
      </c>
      <c r="O70" s="5">
        <v>41253</v>
      </c>
      <c r="P70" s="5">
        <v>15509</v>
      </c>
      <c r="Q70" s="5"/>
      <c r="R70" s="5">
        <v>66574</v>
      </c>
      <c r="V70" s="3">
        <v>40299</v>
      </c>
      <c r="W70" s="5">
        <v>23904</v>
      </c>
      <c r="X70" s="5">
        <v>42670</v>
      </c>
      <c r="Y70" s="5">
        <v>66574</v>
      </c>
      <c r="AD70" s="3">
        <v>41913</v>
      </c>
      <c r="AE70">
        <f t="shared" si="1"/>
        <v>0</v>
      </c>
      <c r="AF70">
        <f t="shared" si="2"/>
        <v>52711</v>
      </c>
      <c r="AG70">
        <f t="shared" si="3"/>
        <v>23336</v>
      </c>
      <c r="AH70" s="1">
        <f t="shared" si="4"/>
        <v>41913</v>
      </c>
      <c r="AI70" s="12">
        <f>AE70/AG70</f>
        <v>0</v>
      </c>
    </row>
    <row r="71" spans="1:35" x14ac:dyDescent="0.25">
      <c r="A71" s="10">
        <v>39356</v>
      </c>
      <c r="B71" s="11">
        <v>11364</v>
      </c>
      <c r="C71" s="11" t="s">
        <v>3</v>
      </c>
      <c r="D71" s="1"/>
      <c r="F71" s="10">
        <v>39356</v>
      </c>
      <c r="G71" s="11">
        <v>42086</v>
      </c>
      <c r="H71" s="11" t="s">
        <v>16</v>
      </c>
      <c r="L71" s="3">
        <v>40330</v>
      </c>
      <c r="M71" s="5"/>
      <c r="N71" s="5">
        <v>9091</v>
      </c>
      <c r="O71" s="5">
        <v>43330</v>
      </c>
      <c r="P71" s="5">
        <v>13480</v>
      </c>
      <c r="Q71" s="5"/>
      <c r="R71" s="5">
        <v>65901</v>
      </c>
      <c r="V71" s="3">
        <v>40330</v>
      </c>
      <c r="W71" s="5">
        <v>27627</v>
      </c>
      <c r="X71" s="5">
        <v>38274</v>
      </c>
      <c r="Y71" s="5">
        <v>65901</v>
      </c>
      <c r="AD71" s="3">
        <v>41944</v>
      </c>
      <c r="AE71">
        <f t="shared" ref="AE71:AE86" si="6">VLOOKUP(AD71,L:R,3,0)</f>
        <v>0</v>
      </c>
      <c r="AF71">
        <f t="shared" ref="AF71:AF86" si="7">VLOOKUP(AD71,L:R,7,0)</f>
        <v>51400</v>
      </c>
      <c r="AG71">
        <f t="shared" ref="AG71:AG86" si="8">VLOOKUP(AD71,V:Z,3,0)</f>
        <v>25044</v>
      </c>
      <c r="AH71" s="1">
        <f>AD71</f>
        <v>41944</v>
      </c>
      <c r="AI71" s="12">
        <f>AE71/AG71</f>
        <v>0</v>
      </c>
    </row>
    <row r="72" spans="1:35" x14ac:dyDescent="0.25">
      <c r="A72" s="10">
        <v>39356</v>
      </c>
      <c r="B72" s="11">
        <v>70709</v>
      </c>
      <c r="C72" s="11" t="s">
        <v>2</v>
      </c>
      <c r="D72" s="1"/>
      <c r="F72" s="10">
        <v>39356</v>
      </c>
      <c r="G72" s="11">
        <v>39987</v>
      </c>
      <c r="H72" s="11" t="s">
        <v>15</v>
      </c>
      <c r="L72" s="3">
        <v>40360</v>
      </c>
      <c r="M72" s="5"/>
      <c r="N72" s="5">
        <v>7236</v>
      </c>
      <c r="O72" s="5">
        <v>44430</v>
      </c>
      <c r="P72" s="5">
        <v>10958</v>
      </c>
      <c r="Q72" s="5"/>
      <c r="R72" s="5">
        <v>62624</v>
      </c>
      <c r="V72" s="3">
        <v>40360</v>
      </c>
      <c r="W72" s="5">
        <v>30003</v>
      </c>
      <c r="X72" s="5">
        <v>32621</v>
      </c>
      <c r="Y72" s="5">
        <v>62624</v>
      </c>
      <c r="AD72" s="3">
        <v>41974</v>
      </c>
      <c r="AE72">
        <f t="shared" si="6"/>
        <v>0</v>
      </c>
      <c r="AF72">
        <f t="shared" si="7"/>
        <v>48547</v>
      </c>
      <c r="AG72">
        <f t="shared" si="8"/>
        <v>24616</v>
      </c>
      <c r="AH72" s="1">
        <f>AD72</f>
        <v>41974</v>
      </c>
      <c r="AI72" s="12">
        <f>AE72/AG72</f>
        <v>0</v>
      </c>
    </row>
    <row r="73" spans="1:35" x14ac:dyDescent="0.25">
      <c r="A73" s="10">
        <v>39387</v>
      </c>
      <c r="B73" s="11">
        <v>13162</v>
      </c>
      <c r="C73" s="11" t="s">
        <v>3</v>
      </c>
      <c r="D73" s="1"/>
      <c r="F73" s="10">
        <v>39387</v>
      </c>
      <c r="G73" s="11">
        <v>33872</v>
      </c>
      <c r="H73" s="11" t="s">
        <v>16</v>
      </c>
      <c r="L73" s="3">
        <v>40391</v>
      </c>
      <c r="M73" s="5"/>
      <c r="N73" s="5">
        <v>11105</v>
      </c>
      <c r="O73" s="5">
        <v>47557</v>
      </c>
      <c r="P73" s="5">
        <v>15019</v>
      </c>
      <c r="Q73" s="5"/>
      <c r="R73" s="5">
        <v>73681</v>
      </c>
      <c r="V73" s="3">
        <v>40391</v>
      </c>
      <c r="W73" s="5">
        <v>32443</v>
      </c>
      <c r="X73" s="5">
        <v>41238</v>
      </c>
      <c r="Y73" s="5">
        <v>73681</v>
      </c>
      <c r="AD73" s="3">
        <v>42005</v>
      </c>
      <c r="AE73">
        <f t="shared" si="6"/>
        <v>0</v>
      </c>
      <c r="AF73">
        <f t="shared" si="7"/>
        <v>46904</v>
      </c>
      <c r="AG73">
        <f t="shared" si="8"/>
        <v>27032</v>
      </c>
      <c r="AH73" s="1">
        <f>AD73</f>
        <v>42005</v>
      </c>
      <c r="AI73" s="12">
        <f>AE73/AG73</f>
        <v>0</v>
      </c>
    </row>
    <row r="74" spans="1:35" x14ac:dyDescent="0.25">
      <c r="A74" s="10">
        <v>39387</v>
      </c>
      <c r="B74" s="11">
        <v>63039</v>
      </c>
      <c r="C74" s="11" t="s">
        <v>2</v>
      </c>
      <c r="D74" s="1"/>
      <c r="F74" s="10">
        <v>39387</v>
      </c>
      <c r="G74" s="11">
        <v>42329</v>
      </c>
      <c r="H74" s="11" t="s">
        <v>15</v>
      </c>
      <c r="L74" s="3">
        <v>40422</v>
      </c>
      <c r="M74" s="5"/>
      <c r="N74" s="5">
        <v>15462</v>
      </c>
      <c r="O74" s="5">
        <v>36071</v>
      </c>
      <c r="P74" s="5">
        <v>20314</v>
      </c>
      <c r="Q74" s="5"/>
      <c r="R74" s="5">
        <v>71847</v>
      </c>
      <c r="V74" s="3">
        <v>40422</v>
      </c>
      <c r="W74" s="5">
        <v>19685</v>
      </c>
      <c r="X74" s="5">
        <v>52162</v>
      </c>
      <c r="Y74" s="5">
        <v>71847</v>
      </c>
      <c r="AD74" s="3">
        <v>42036</v>
      </c>
      <c r="AE74">
        <f t="shared" si="6"/>
        <v>0</v>
      </c>
      <c r="AF74">
        <f t="shared" si="7"/>
        <v>48922</v>
      </c>
      <c r="AG74">
        <f t="shared" si="8"/>
        <v>27859</v>
      </c>
      <c r="AH74" s="1">
        <f>AD74</f>
        <v>42036</v>
      </c>
      <c r="AI74" s="12">
        <f>AE74/AG74</f>
        <v>0</v>
      </c>
    </row>
    <row r="75" spans="1:35" x14ac:dyDescent="0.25">
      <c r="A75" s="10">
        <v>39417</v>
      </c>
      <c r="B75" s="11">
        <v>15915</v>
      </c>
      <c r="C75" s="11" t="s">
        <v>3</v>
      </c>
      <c r="D75" s="1"/>
      <c r="F75" s="10">
        <v>39417</v>
      </c>
      <c r="G75" s="11">
        <v>31735</v>
      </c>
      <c r="H75" s="11" t="s">
        <v>16</v>
      </c>
      <c r="L75" s="3">
        <v>40452</v>
      </c>
      <c r="M75" s="5"/>
      <c r="N75" s="5">
        <v>18826</v>
      </c>
      <c r="O75" s="5">
        <v>37439</v>
      </c>
      <c r="P75" s="5">
        <v>27339</v>
      </c>
      <c r="Q75" s="5"/>
      <c r="R75" s="5">
        <v>83604</v>
      </c>
      <c r="V75" s="3">
        <v>40452</v>
      </c>
      <c r="W75" s="5">
        <v>18981</v>
      </c>
      <c r="X75" s="5">
        <v>64623</v>
      </c>
      <c r="Y75" s="5">
        <v>83604</v>
      </c>
      <c r="AD75" s="3">
        <v>42064</v>
      </c>
      <c r="AE75">
        <f t="shared" si="6"/>
        <v>0</v>
      </c>
      <c r="AF75">
        <f t="shared" si="7"/>
        <v>44815</v>
      </c>
      <c r="AG75">
        <f t="shared" si="8"/>
        <v>29599</v>
      </c>
      <c r="AH75" s="1">
        <f>AD75</f>
        <v>42064</v>
      </c>
      <c r="AI75" s="12">
        <f>AE75/AG75</f>
        <v>0</v>
      </c>
    </row>
    <row r="76" spans="1:35" x14ac:dyDescent="0.25">
      <c r="A76" s="10">
        <v>39417</v>
      </c>
      <c r="B76" s="11">
        <v>65060</v>
      </c>
      <c r="C76" s="11" t="s">
        <v>2</v>
      </c>
      <c r="D76" s="1"/>
      <c r="F76" s="10">
        <v>39417</v>
      </c>
      <c r="G76" s="11">
        <v>49240</v>
      </c>
      <c r="H76" s="11" t="s">
        <v>15</v>
      </c>
      <c r="L76" s="3">
        <v>40483</v>
      </c>
      <c r="M76" s="5"/>
      <c r="N76" s="5">
        <v>22721</v>
      </c>
      <c r="O76" s="5">
        <v>33559</v>
      </c>
      <c r="P76" s="5">
        <v>27869</v>
      </c>
      <c r="Q76" s="5"/>
      <c r="R76" s="5">
        <v>84149</v>
      </c>
      <c r="V76" s="3">
        <v>40483</v>
      </c>
      <c r="W76" s="5">
        <v>16246</v>
      </c>
      <c r="X76" s="5">
        <v>67903</v>
      </c>
      <c r="Y76" s="5">
        <v>84149</v>
      </c>
      <c r="AD76" s="3">
        <v>42095</v>
      </c>
      <c r="AE76">
        <f t="shared" si="6"/>
        <v>0</v>
      </c>
      <c r="AF76">
        <f t="shared" si="7"/>
        <v>58702</v>
      </c>
      <c r="AG76">
        <f t="shared" si="8"/>
        <v>41109</v>
      </c>
      <c r="AH76" s="1">
        <f>AD76</f>
        <v>42095</v>
      </c>
      <c r="AI76" s="12">
        <f>AE76/AG76</f>
        <v>0</v>
      </c>
    </row>
    <row r="77" spans="1:35" x14ac:dyDescent="0.25">
      <c r="A77" s="10">
        <v>39448</v>
      </c>
      <c r="B77" s="11">
        <v>15440</v>
      </c>
      <c r="C77" s="11" t="s">
        <v>3</v>
      </c>
      <c r="D77" s="1"/>
      <c r="F77" s="10">
        <v>39448</v>
      </c>
      <c r="G77" s="11">
        <v>44131</v>
      </c>
      <c r="H77" s="11" t="s">
        <v>15</v>
      </c>
      <c r="L77" s="3">
        <v>40513</v>
      </c>
      <c r="M77" s="5"/>
      <c r="N77" s="5">
        <v>25802</v>
      </c>
      <c r="O77" s="5">
        <v>34929</v>
      </c>
      <c r="P77" s="5">
        <v>31441</v>
      </c>
      <c r="Q77" s="5"/>
      <c r="R77" s="5">
        <v>92172</v>
      </c>
      <c r="V77" s="3">
        <v>40513</v>
      </c>
      <c r="W77" s="5">
        <v>15884</v>
      </c>
      <c r="X77" s="5">
        <v>76288</v>
      </c>
      <c r="Y77" s="5">
        <v>92172</v>
      </c>
      <c r="AD77" s="3">
        <v>42125</v>
      </c>
      <c r="AE77">
        <f t="shared" si="6"/>
        <v>0</v>
      </c>
      <c r="AF77">
        <f t="shared" si="7"/>
        <v>72919</v>
      </c>
      <c r="AG77">
        <f t="shared" si="8"/>
        <v>48196</v>
      </c>
      <c r="AH77" s="1">
        <f>AD77</f>
        <v>42125</v>
      </c>
      <c r="AI77" s="12">
        <f>AE77/AG77</f>
        <v>0</v>
      </c>
    </row>
    <row r="78" spans="1:35" x14ac:dyDescent="0.25">
      <c r="A78" s="10">
        <v>39448</v>
      </c>
      <c r="B78" s="11">
        <v>56354</v>
      </c>
      <c r="C78" s="11" t="s">
        <v>2</v>
      </c>
      <c r="D78" s="1"/>
      <c r="F78" s="10">
        <v>39448</v>
      </c>
      <c r="G78" s="11">
        <v>27663</v>
      </c>
      <c r="H78" s="11" t="s">
        <v>16</v>
      </c>
      <c r="L78" s="3">
        <v>40544</v>
      </c>
      <c r="M78" s="5"/>
      <c r="N78" s="5">
        <v>25645</v>
      </c>
      <c r="O78" s="5">
        <v>32922</v>
      </c>
      <c r="P78" s="5">
        <v>30022</v>
      </c>
      <c r="Q78" s="5"/>
      <c r="R78" s="5">
        <v>88589</v>
      </c>
      <c r="V78" s="3">
        <v>40544</v>
      </c>
      <c r="W78" s="5">
        <v>14966</v>
      </c>
      <c r="X78" s="5">
        <v>73623</v>
      </c>
      <c r="Y78" s="5">
        <v>88589</v>
      </c>
      <c r="AD78" s="3">
        <v>42156</v>
      </c>
      <c r="AE78">
        <f t="shared" si="6"/>
        <v>0</v>
      </c>
      <c r="AF78">
        <f t="shared" si="7"/>
        <v>67936</v>
      </c>
      <c r="AG78">
        <f t="shared" si="8"/>
        <v>41159</v>
      </c>
      <c r="AH78" s="1">
        <f>AD78</f>
        <v>42156</v>
      </c>
      <c r="AI78" s="12">
        <f>AE78/AG78</f>
        <v>0</v>
      </c>
    </row>
    <row r="79" spans="1:35" x14ac:dyDescent="0.25">
      <c r="A79" s="10">
        <v>39479</v>
      </c>
      <c r="B79" s="11">
        <v>23561</v>
      </c>
      <c r="C79" s="11" t="s">
        <v>3</v>
      </c>
      <c r="D79" s="1"/>
      <c r="F79" s="10">
        <v>39479</v>
      </c>
      <c r="G79" s="11">
        <v>28576</v>
      </c>
      <c r="H79" s="11" t="s">
        <v>16</v>
      </c>
      <c r="L79" s="3">
        <v>40575</v>
      </c>
      <c r="M79" s="5"/>
      <c r="N79" s="5">
        <v>19730</v>
      </c>
      <c r="O79" s="5">
        <v>36770</v>
      </c>
      <c r="P79" s="5">
        <v>27366</v>
      </c>
      <c r="Q79" s="5"/>
      <c r="R79" s="5">
        <v>83866</v>
      </c>
      <c r="V79" s="3">
        <v>40575</v>
      </c>
      <c r="W79" s="5">
        <v>18154</v>
      </c>
      <c r="X79" s="5">
        <v>65712</v>
      </c>
      <c r="Y79" s="5">
        <v>83866</v>
      </c>
      <c r="AD79" s="3">
        <v>42186</v>
      </c>
      <c r="AE79">
        <f t="shared" si="6"/>
        <v>0</v>
      </c>
      <c r="AF79">
        <f t="shared" si="7"/>
        <v>65553</v>
      </c>
      <c r="AG79">
        <f t="shared" si="8"/>
        <v>36802</v>
      </c>
      <c r="AH79" s="1">
        <f>AD79</f>
        <v>42186</v>
      </c>
      <c r="AI79" s="12">
        <f>AE79/AG79</f>
        <v>0</v>
      </c>
    </row>
    <row r="80" spans="1:35" x14ac:dyDescent="0.25">
      <c r="A80" s="10">
        <v>39479</v>
      </c>
      <c r="B80" s="11">
        <v>65022</v>
      </c>
      <c r="C80" s="11" t="s">
        <v>2</v>
      </c>
      <c r="D80" s="1"/>
      <c r="F80" s="10">
        <v>39479</v>
      </c>
      <c r="G80" s="11">
        <v>60007</v>
      </c>
      <c r="H80" s="11" t="s">
        <v>15</v>
      </c>
      <c r="L80" s="3">
        <v>40603</v>
      </c>
      <c r="M80" s="5"/>
      <c r="N80" s="5">
        <v>16913</v>
      </c>
      <c r="O80" s="5">
        <v>29376</v>
      </c>
      <c r="P80" s="5">
        <v>17841</v>
      </c>
      <c r="Q80" s="5"/>
      <c r="R80" s="5">
        <v>64130</v>
      </c>
      <c r="V80" s="3">
        <v>40603</v>
      </c>
      <c r="W80" s="5">
        <v>13479</v>
      </c>
      <c r="X80" s="5">
        <v>50651</v>
      </c>
      <c r="Y80" s="5">
        <v>64130</v>
      </c>
      <c r="AD80" s="3">
        <v>42217</v>
      </c>
      <c r="AE80">
        <f t="shared" si="6"/>
        <v>0</v>
      </c>
      <c r="AF80">
        <f t="shared" si="7"/>
        <v>62735</v>
      </c>
      <c r="AG80">
        <f t="shared" si="8"/>
        <v>31676</v>
      </c>
      <c r="AH80" s="1">
        <f>AD80</f>
        <v>42217</v>
      </c>
      <c r="AI80" s="12">
        <f>AE80/AG80</f>
        <v>0</v>
      </c>
    </row>
    <row r="81" spans="1:35" x14ac:dyDescent="0.25">
      <c r="A81" s="10">
        <v>39508</v>
      </c>
      <c r="B81" s="11">
        <v>27146</v>
      </c>
      <c r="C81" s="11" t="s">
        <v>3</v>
      </c>
      <c r="D81" s="1"/>
      <c r="F81" s="10">
        <v>39508</v>
      </c>
      <c r="G81" s="11">
        <v>21746</v>
      </c>
      <c r="H81" s="11" t="s">
        <v>16</v>
      </c>
      <c r="L81" s="3">
        <v>40634</v>
      </c>
      <c r="M81" s="5"/>
      <c r="N81" s="5">
        <v>10499</v>
      </c>
      <c r="O81" s="5">
        <v>20527</v>
      </c>
      <c r="P81" s="5">
        <v>9794</v>
      </c>
      <c r="Q81" s="5"/>
      <c r="R81" s="5">
        <v>40820</v>
      </c>
      <c r="V81" s="3">
        <v>40634</v>
      </c>
      <c r="W81" s="5">
        <v>10320</v>
      </c>
      <c r="X81" s="5">
        <v>30500</v>
      </c>
      <c r="Y81" s="5">
        <v>40820</v>
      </c>
      <c r="AD81" s="3">
        <v>42248</v>
      </c>
      <c r="AE81">
        <f t="shared" si="6"/>
        <v>0</v>
      </c>
      <c r="AF81">
        <f t="shared" si="7"/>
        <v>58667</v>
      </c>
      <c r="AG81">
        <f t="shared" si="8"/>
        <v>27892</v>
      </c>
      <c r="AH81" s="1">
        <f>AD81</f>
        <v>42248</v>
      </c>
      <c r="AI81" s="12">
        <f>AE81/AG81</f>
        <v>0</v>
      </c>
    </row>
    <row r="82" spans="1:35" x14ac:dyDescent="0.25">
      <c r="A82" s="10">
        <v>39508</v>
      </c>
      <c r="B82" s="11">
        <v>54372</v>
      </c>
      <c r="C82" s="11" t="s">
        <v>2</v>
      </c>
      <c r="D82" s="1"/>
      <c r="F82" s="10">
        <v>39508</v>
      </c>
      <c r="G82" s="11">
        <v>59772</v>
      </c>
      <c r="H82" s="11" t="s">
        <v>15</v>
      </c>
      <c r="L82" s="3">
        <v>40664</v>
      </c>
      <c r="M82" s="5"/>
      <c r="N82" s="5">
        <v>7066</v>
      </c>
      <c r="O82" s="5">
        <v>26218</v>
      </c>
      <c r="P82" s="5">
        <v>8482</v>
      </c>
      <c r="Q82" s="5"/>
      <c r="R82" s="5">
        <v>41766</v>
      </c>
      <c r="V82" s="3">
        <v>40664</v>
      </c>
      <c r="W82" s="5">
        <v>15961</v>
      </c>
      <c r="X82" s="5">
        <v>25805</v>
      </c>
      <c r="Y82" s="5">
        <v>41766</v>
      </c>
      <c r="AD82" s="3">
        <v>42278</v>
      </c>
      <c r="AE82">
        <f t="shared" si="6"/>
        <v>0</v>
      </c>
      <c r="AF82">
        <f t="shared" si="7"/>
        <v>56130</v>
      </c>
      <c r="AG82">
        <f t="shared" si="8"/>
        <v>26475</v>
      </c>
      <c r="AH82" s="1">
        <f>AD82</f>
        <v>42278</v>
      </c>
      <c r="AI82" s="12">
        <f>AE82/AG82</f>
        <v>0</v>
      </c>
    </row>
    <row r="83" spans="1:35" x14ac:dyDescent="0.25">
      <c r="A83" s="10">
        <v>39539</v>
      </c>
      <c r="B83" s="11">
        <v>72773</v>
      </c>
      <c r="C83" s="11" t="s">
        <v>2</v>
      </c>
      <c r="D83" s="1"/>
      <c r="F83" s="10">
        <v>39539</v>
      </c>
      <c r="G83" s="11">
        <v>96930</v>
      </c>
      <c r="H83" s="11" t="s">
        <v>15</v>
      </c>
      <c r="L83" s="3">
        <v>40695</v>
      </c>
      <c r="M83" s="5"/>
      <c r="N83" s="5">
        <v>6830</v>
      </c>
      <c r="O83" s="5">
        <v>25950</v>
      </c>
      <c r="P83" s="5">
        <v>6686</v>
      </c>
      <c r="Q83" s="5"/>
      <c r="R83" s="5">
        <v>39466</v>
      </c>
      <c r="V83" s="3">
        <v>40695</v>
      </c>
      <c r="W83" s="5">
        <v>17345</v>
      </c>
      <c r="X83" s="5">
        <v>22121</v>
      </c>
      <c r="Y83" s="5">
        <v>39466</v>
      </c>
      <c r="AD83" s="3">
        <v>42309</v>
      </c>
      <c r="AE83">
        <f t="shared" si="6"/>
        <v>0</v>
      </c>
      <c r="AF83">
        <f t="shared" si="7"/>
        <v>55504</v>
      </c>
      <c r="AG83">
        <f t="shared" si="8"/>
        <v>28323</v>
      </c>
      <c r="AH83" s="1">
        <f>AD83</f>
        <v>42309</v>
      </c>
      <c r="AI83" s="12">
        <f>AE83/AG83</f>
        <v>0</v>
      </c>
    </row>
    <row r="84" spans="1:35" x14ac:dyDescent="0.25">
      <c r="A84" s="10">
        <v>39539</v>
      </c>
      <c r="B84" s="11">
        <v>49347</v>
      </c>
      <c r="C84" s="11" t="s">
        <v>3</v>
      </c>
      <c r="D84" s="1"/>
      <c r="F84" s="10">
        <v>39539</v>
      </c>
      <c r="G84" s="11">
        <v>25190</v>
      </c>
      <c r="H84" s="11" t="s">
        <v>16</v>
      </c>
      <c r="L84" s="3">
        <v>40725</v>
      </c>
      <c r="M84" s="5"/>
      <c r="N84" s="5">
        <v>5521</v>
      </c>
      <c r="O84" s="5">
        <v>25796</v>
      </c>
      <c r="P84" s="5">
        <v>5503</v>
      </c>
      <c r="Q84" s="5"/>
      <c r="R84" s="5">
        <v>36820</v>
      </c>
      <c r="V84" s="3">
        <v>40725</v>
      </c>
      <c r="W84" s="5">
        <v>17996</v>
      </c>
      <c r="X84" s="5">
        <v>18824</v>
      </c>
      <c r="Y84" s="5">
        <v>36820</v>
      </c>
      <c r="AD84" s="3">
        <v>42339</v>
      </c>
      <c r="AE84">
        <f t="shared" si="6"/>
        <v>0</v>
      </c>
      <c r="AF84">
        <f t="shared" si="7"/>
        <v>54854</v>
      </c>
      <c r="AG84">
        <f t="shared" si="8"/>
        <v>29817</v>
      </c>
      <c r="AH84" s="1">
        <f>AD84</f>
        <v>42339</v>
      </c>
      <c r="AI84" s="12">
        <f>AE84/AG84</f>
        <v>0</v>
      </c>
    </row>
    <row r="85" spans="1:35" x14ac:dyDescent="0.25">
      <c r="A85" s="10">
        <v>39569</v>
      </c>
      <c r="B85" s="11">
        <v>74873</v>
      </c>
      <c r="C85" s="11" t="s">
        <v>2</v>
      </c>
      <c r="D85" s="1"/>
      <c r="F85" s="10">
        <v>39569</v>
      </c>
      <c r="G85" s="11">
        <v>77631</v>
      </c>
      <c r="H85" s="11" t="s">
        <v>15</v>
      </c>
      <c r="L85" s="3">
        <v>40756</v>
      </c>
      <c r="M85" s="5"/>
      <c r="N85" s="5">
        <v>6205</v>
      </c>
      <c r="O85" s="5">
        <v>33880</v>
      </c>
      <c r="P85" s="5">
        <v>7858</v>
      </c>
      <c r="Q85" s="5"/>
      <c r="R85" s="5">
        <v>47943</v>
      </c>
      <c r="V85" s="3">
        <v>40756</v>
      </c>
      <c r="W85" s="5">
        <v>24293</v>
      </c>
      <c r="X85" s="5">
        <v>23650</v>
      </c>
      <c r="Y85" s="5">
        <v>47943</v>
      </c>
      <c r="AD85" s="3">
        <v>42370</v>
      </c>
      <c r="AE85">
        <f t="shared" si="6"/>
        <v>0</v>
      </c>
      <c r="AF85">
        <f t="shared" si="7"/>
        <v>44991</v>
      </c>
      <c r="AG85">
        <f t="shared" si="8"/>
        <v>25986</v>
      </c>
      <c r="AH85" s="1">
        <f>AD85</f>
        <v>42370</v>
      </c>
      <c r="AI85" s="12">
        <f>AE85/AG85</f>
        <v>0</v>
      </c>
    </row>
    <row r="86" spans="1:35" x14ac:dyDescent="0.25">
      <c r="A86" s="10">
        <v>39569</v>
      </c>
      <c r="B86" s="11">
        <v>33642</v>
      </c>
      <c r="C86" s="11" t="s">
        <v>3</v>
      </c>
      <c r="D86" s="1"/>
      <c r="F86" s="10">
        <v>39569</v>
      </c>
      <c r="G86" s="11">
        <v>30884</v>
      </c>
      <c r="H86" s="11" t="s">
        <v>16</v>
      </c>
      <c r="L86" s="3">
        <v>40787</v>
      </c>
      <c r="M86" s="5"/>
      <c r="N86" s="5">
        <v>7401</v>
      </c>
      <c r="O86" s="5">
        <v>29986</v>
      </c>
      <c r="P86" s="5">
        <v>8641</v>
      </c>
      <c r="Q86" s="5"/>
      <c r="R86" s="5">
        <v>46028</v>
      </c>
      <c r="V86" s="3">
        <v>40787</v>
      </c>
      <c r="W86" s="5">
        <v>21064</v>
      </c>
      <c r="X86" s="5">
        <v>24964</v>
      </c>
      <c r="Y86" s="5">
        <v>46028</v>
      </c>
      <c r="AD86" s="3">
        <v>42401</v>
      </c>
      <c r="AE86">
        <f t="shared" si="6"/>
        <v>0</v>
      </c>
      <c r="AF86">
        <f t="shared" si="7"/>
        <v>28035</v>
      </c>
      <c r="AG86">
        <f t="shared" si="8"/>
        <v>15543</v>
      </c>
      <c r="AH86" s="1">
        <f>AD86</f>
        <v>42401</v>
      </c>
      <c r="AI86" s="12">
        <f>AE86/AG86</f>
        <v>0</v>
      </c>
    </row>
    <row r="87" spans="1:35" x14ac:dyDescent="0.25">
      <c r="A87" s="10">
        <v>39600</v>
      </c>
      <c r="B87" s="11">
        <v>31997</v>
      </c>
      <c r="C87" s="11" t="s">
        <v>3</v>
      </c>
      <c r="D87" s="1"/>
      <c r="F87" s="10">
        <v>39600</v>
      </c>
      <c r="G87" s="11">
        <v>31563</v>
      </c>
      <c r="H87" s="11" t="s">
        <v>16</v>
      </c>
      <c r="L87" s="3">
        <v>40817</v>
      </c>
      <c r="M87" s="5"/>
      <c r="N87" s="5">
        <v>7168</v>
      </c>
      <c r="O87" s="5">
        <v>29112</v>
      </c>
      <c r="P87" s="5">
        <v>10030</v>
      </c>
      <c r="Q87" s="5"/>
      <c r="R87" s="5">
        <v>46310</v>
      </c>
      <c r="V87" s="3">
        <v>40817</v>
      </c>
      <c r="W87" s="5">
        <v>20035</v>
      </c>
      <c r="X87" s="5">
        <v>26275</v>
      </c>
      <c r="Y87" s="5">
        <v>46310</v>
      </c>
      <c r="AD87" s="3"/>
      <c r="AH87" s="1"/>
    </row>
    <row r="88" spans="1:35" x14ac:dyDescent="0.25">
      <c r="A88" s="10">
        <v>39600</v>
      </c>
      <c r="B88" s="11">
        <v>75480</v>
      </c>
      <c r="C88" s="11" t="s">
        <v>2</v>
      </c>
      <c r="D88" s="1"/>
      <c r="F88" s="10">
        <v>39600</v>
      </c>
      <c r="G88" s="11">
        <v>75914</v>
      </c>
      <c r="H88" s="11" t="s">
        <v>15</v>
      </c>
      <c r="L88" s="3">
        <v>40848</v>
      </c>
      <c r="M88" s="5"/>
      <c r="N88" s="5">
        <v>9500</v>
      </c>
      <c r="O88" s="5">
        <v>26214</v>
      </c>
      <c r="P88" s="5">
        <v>20146</v>
      </c>
      <c r="Q88" s="5"/>
      <c r="R88" s="5">
        <v>55860</v>
      </c>
      <c r="V88" s="3">
        <v>40848</v>
      </c>
      <c r="W88" s="5">
        <v>16058</v>
      </c>
      <c r="X88" s="5">
        <v>39802</v>
      </c>
      <c r="Y88" s="5">
        <v>55860</v>
      </c>
      <c r="AD88" s="3"/>
      <c r="AH88" s="1"/>
    </row>
    <row r="89" spans="1:35" x14ac:dyDescent="0.25">
      <c r="A89" s="10">
        <v>39630</v>
      </c>
      <c r="B89" s="11">
        <v>62082</v>
      </c>
      <c r="C89" s="11" t="s">
        <v>2</v>
      </c>
      <c r="D89" s="1"/>
      <c r="F89" s="10">
        <v>39630</v>
      </c>
      <c r="G89" s="11">
        <v>32255</v>
      </c>
      <c r="H89" s="11" t="s">
        <v>16</v>
      </c>
      <c r="L89" s="3">
        <v>40878</v>
      </c>
      <c r="M89" s="5"/>
      <c r="N89" s="5">
        <v>10752</v>
      </c>
      <c r="O89" s="5">
        <v>20209</v>
      </c>
      <c r="P89" s="5">
        <v>19678</v>
      </c>
      <c r="Q89" s="5"/>
      <c r="R89" s="5">
        <v>50639</v>
      </c>
      <c r="V89" s="3">
        <v>40878</v>
      </c>
      <c r="W89" s="5">
        <v>11162</v>
      </c>
      <c r="X89" s="5">
        <v>39477</v>
      </c>
      <c r="Y89" s="5">
        <v>50639</v>
      </c>
      <c r="AD89" s="3"/>
      <c r="AH89" s="1"/>
    </row>
    <row r="90" spans="1:35" x14ac:dyDescent="0.25">
      <c r="A90" s="10">
        <v>39630</v>
      </c>
      <c r="B90" s="11">
        <v>19659</v>
      </c>
      <c r="C90" s="11" t="s">
        <v>3</v>
      </c>
      <c r="D90" s="1"/>
      <c r="F90" s="10">
        <v>39630</v>
      </c>
      <c r="G90" s="11">
        <v>49486</v>
      </c>
      <c r="H90" s="11" t="s">
        <v>15</v>
      </c>
      <c r="L90" s="3">
        <v>40909</v>
      </c>
      <c r="M90" s="5"/>
      <c r="N90" s="5">
        <v>11894</v>
      </c>
      <c r="O90" s="5">
        <v>20830</v>
      </c>
      <c r="P90" s="5">
        <v>20375</v>
      </c>
      <c r="Q90" s="5"/>
      <c r="R90" s="5">
        <v>53099</v>
      </c>
      <c r="V90" s="3">
        <v>40909</v>
      </c>
      <c r="W90" s="5">
        <v>10929</v>
      </c>
      <c r="X90" s="5">
        <v>42170</v>
      </c>
      <c r="Y90" s="5">
        <v>53099</v>
      </c>
      <c r="AD90" s="3"/>
      <c r="AH90" s="1"/>
    </row>
    <row r="91" spans="1:35" x14ac:dyDescent="0.25">
      <c r="A91" s="10">
        <v>39661</v>
      </c>
      <c r="B91" s="11">
        <v>60418</v>
      </c>
      <c r="C91" s="11" t="s">
        <v>2</v>
      </c>
      <c r="D91" s="1"/>
      <c r="F91" s="10">
        <v>39661</v>
      </c>
      <c r="G91" s="11">
        <v>35903</v>
      </c>
      <c r="H91" s="11" t="s">
        <v>16</v>
      </c>
      <c r="L91" s="3">
        <v>40940</v>
      </c>
      <c r="M91" s="5"/>
      <c r="N91" s="5">
        <v>9686</v>
      </c>
      <c r="O91" s="5">
        <v>25352</v>
      </c>
      <c r="P91" s="5">
        <v>22872</v>
      </c>
      <c r="Q91" s="5"/>
      <c r="R91" s="5">
        <v>57910</v>
      </c>
      <c r="V91" s="3">
        <v>40940</v>
      </c>
      <c r="W91" s="5">
        <v>13258</v>
      </c>
      <c r="X91" s="5">
        <v>44652</v>
      </c>
      <c r="Y91" s="5">
        <v>57910</v>
      </c>
      <c r="AD91" s="3"/>
      <c r="AH91" s="1"/>
    </row>
    <row r="92" spans="1:35" x14ac:dyDescent="0.25">
      <c r="A92" s="10">
        <v>39661</v>
      </c>
      <c r="B92" s="11">
        <v>14440</v>
      </c>
      <c r="C92" s="11" t="s">
        <v>3</v>
      </c>
      <c r="D92" s="1"/>
      <c r="F92" s="10">
        <v>39661</v>
      </c>
      <c r="G92" s="11">
        <v>38955</v>
      </c>
      <c r="H92" s="11" t="s">
        <v>15</v>
      </c>
      <c r="L92" s="3">
        <v>40969</v>
      </c>
      <c r="M92" s="5"/>
      <c r="N92" s="5">
        <v>9403</v>
      </c>
      <c r="O92" s="5">
        <v>17789</v>
      </c>
      <c r="P92" s="5">
        <v>20228</v>
      </c>
      <c r="Q92" s="5"/>
      <c r="R92" s="5">
        <v>47420</v>
      </c>
      <c r="V92" s="3">
        <v>40969</v>
      </c>
      <c r="W92" s="5">
        <v>8189</v>
      </c>
      <c r="X92" s="5">
        <v>39231</v>
      </c>
      <c r="Y92" s="5">
        <v>47420</v>
      </c>
      <c r="AD92" s="3"/>
      <c r="AH92" s="1"/>
    </row>
    <row r="93" spans="1:35" x14ac:dyDescent="0.25">
      <c r="A93" s="10">
        <v>39692</v>
      </c>
      <c r="B93" s="11">
        <v>51267</v>
      </c>
      <c r="C93" s="11" t="s">
        <v>2</v>
      </c>
      <c r="D93" s="1"/>
      <c r="F93" s="10">
        <v>39692</v>
      </c>
      <c r="G93" s="11">
        <v>28405</v>
      </c>
      <c r="H93" s="11" t="s">
        <v>15</v>
      </c>
      <c r="L93" s="3">
        <v>41000</v>
      </c>
      <c r="M93" s="5"/>
      <c r="N93" s="5">
        <v>9341</v>
      </c>
      <c r="O93" s="5">
        <v>16863</v>
      </c>
      <c r="P93" s="5">
        <v>19916</v>
      </c>
      <c r="Q93" s="5"/>
      <c r="R93" s="5">
        <v>46120</v>
      </c>
      <c r="V93" s="3">
        <v>41000</v>
      </c>
      <c r="W93" s="5">
        <v>8104</v>
      </c>
      <c r="X93" s="5">
        <v>38016</v>
      </c>
      <c r="Y93" s="5">
        <v>46120</v>
      </c>
      <c r="AD93" s="3"/>
      <c r="AH93" s="1"/>
    </row>
    <row r="94" spans="1:35" x14ac:dyDescent="0.25">
      <c r="A94" s="10">
        <v>39692</v>
      </c>
      <c r="B94" s="11">
        <v>9666</v>
      </c>
      <c r="C94" s="11" t="s">
        <v>3</v>
      </c>
      <c r="D94" s="1"/>
      <c r="F94" s="10">
        <v>39692</v>
      </c>
      <c r="G94" s="11">
        <v>32528</v>
      </c>
      <c r="H94" s="11" t="s">
        <v>16</v>
      </c>
      <c r="L94" s="3">
        <v>41030</v>
      </c>
      <c r="M94" s="5"/>
      <c r="N94" s="5">
        <v>8758</v>
      </c>
      <c r="O94" s="5">
        <v>19821</v>
      </c>
      <c r="P94" s="5">
        <v>19466</v>
      </c>
      <c r="Q94" s="5"/>
      <c r="R94" s="5">
        <v>48045</v>
      </c>
      <c r="V94" s="3">
        <v>41030</v>
      </c>
      <c r="W94" s="5">
        <v>10581</v>
      </c>
      <c r="X94" s="5">
        <v>37464</v>
      </c>
      <c r="Y94" s="5">
        <v>48045</v>
      </c>
      <c r="AD94" s="3"/>
      <c r="AH94" s="1"/>
    </row>
    <row r="95" spans="1:35" x14ac:dyDescent="0.25">
      <c r="A95" s="10">
        <v>39722</v>
      </c>
      <c r="B95" s="11">
        <v>6021</v>
      </c>
      <c r="C95" s="11" t="s">
        <v>3</v>
      </c>
      <c r="D95" s="1"/>
      <c r="F95" s="10">
        <v>39722</v>
      </c>
      <c r="G95" s="11">
        <v>22385</v>
      </c>
      <c r="H95" s="11" t="s">
        <v>16</v>
      </c>
      <c r="L95" s="3">
        <v>41061</v>
      </c>
      <c r="M95" s="5"/>
      <c r="N95" s="5">
        <v>7590</v>
      </c>
      <c r="O95" s="5">
        <v>24908</v>
      </c>
      <c r="P95" s="5">
        <v>16302</v>
      </c>
      <c r="Q95" s="5"/>
      <c r="R95" s="5">
        <v>48800</v>
      </c>
      <c r="V95" s="3">
        <v>41061</v>
      </c>
      <c r="W95" s="5">
        <v>15774</v>
      </c>
      <c r="X95" s="5">
        <v>33026</v>
      </c>
      <c r="Y95" s="5">
        <v>48800</v>
      </c>
      <c r="AD95" s="3"/>
      <c r="AH95" s="1"/>
    </row>
    <row r="96" spans="1:35" x14ac:dyDescent="0.25">
      <c r="A96" s="10">
        <v>39722</v>
      </c>
      <c r="B96" s="11">
        <v>34340</v>
      </c>
      <c r="C96" s="11" t="s">
        <v>2</v>
      </c>
      <c r="D96" s="1"/>
      <c r="F96" s="10">
        <v>39722</v>
      </c>
      <c r="G96" s="11">
        <v>17976</v>
      </c>
      <c r="H96" s="11" t="s">
        <v>15</v>
      </c>
      <c r="L96" s="3">
        <v>41091</v>
      </c>
      <c r="M96" s="5"/>
      <c r="N96" s="5">
        <v>7435</v>
      </c>
      <c r="O96" s="5">
        <v>31775</v>
      </c>
      <c r="P96" s="5">
        <v>18225</v>
      </c>
      <c r="Q96" s="5"/>
      <c r="R96" s="5">
        <v>57435</v>
      </c>
      <c r="V96" s="3">
        <v>41091</v>
      </c>
      <c r="W96" s="5">
        <v>21378</v>
      </c>
      <c r="X96" s="5">
        <v>36057</v>
      </c>
      <c r="Y96" s="5">
        <v>57435</v>
      </c>
      <c r="AD96" s="3"/>
      <c r="AH96" s="1"/>
    </row>
    <row r="97" spans="1:34" x14ac:dyDescent="0.25">
      <c r="A97" s="10">
        <v>39753</v>
      </c>
      <c r="B97" s="11">
        <v>9170</v>
      </c>
      <c r="C97" s="11" t="s">
        <v>3</v>
      </c>
      <c r="D97" s="1"/>
      <c r="F97" s="10">
        <v>39753</v>
      </c>
      <c r="G97" s="11">
        <v>25336</v>
      </c>
      <c r="H97" s="11" t="s">
        <v>16</v>
      </c>
      <c r="L97" s="3">
        <v>41122</v>
      </c>
      <c r="M97" s="5"/>
      <c r="N97" s="5">
        <v>7800</v>
      </c>
      <c r="O97" s="5">
        <v>29311</v>
      </c>
      <c r="P97" s="5">
        <v>18362</v>
      </c>
      <c r="Q97" s="5"/>
      <c r="R97" s="5">
        <v>55473</v>
      </c>
      <c r="V97" s="3">
        <v>41122</v>
      </c>
      <c r="W97" s="5">
        <v>19470</v>
      </c>
      <c r="X97" s="5">
        <v>36003</v>
      </c>
      <c r="Y97" s="5">
        <v>55473</v>
      </c>
      <c r="AD97" s="3"/>
      <c r="AH97" s="1"/>
    </row>
    <row r="98" spans="1:34" x14ac:dyDescent="0.25">
      <c r="A98" s="10">
        <v>39753</v>
      </c>
      <c r="B98" s="11">
        <v>39831</v>
      </c>
      <c r="C98" s="11" t="s">
        <v>2</v>
      </c>
      <c r="D98" s="1"/>
      <c r="F98" s="10">
        <v>39753</v>
      </c>
      <c r="G98" s="11">
        <v>23665</v>
      </c>
      <c r="H98" s="11" t="s">
        <v>15</v>
      </c>
      <c r="L98" s="3">
        <v>41153</v>
      </c>
      <c r="M98" s="5"/>
      <c r="N98" s="5">
        <v>9870</v>
      </c>
      <c r="O98" s="5">
        <v>31610</v>
      </c>
      <c r="P98" s="5">
        <v>22142</v>
      </c>
      <c r="Q98" s="5"/>
      <c r="R98" s="5">
        <v>63622</v>
      </c>
      <c r="V98" s="3">
        <v>41153</v>
      </c>
      <c r="W98" s="5">
        <v>19627</v>
      </c>
      <c r="X98" s="5">
        <v>43995</v>
      </c>
      <c r="Y98" s="5">
        <v>63622</v>
      </c>
      <c r="AD98" s="3"/>
      <c r="AH98" s="1"/>
    </row>
    <row r="99" spans="1:34" x14ac:dyDescent="0.25">
      <c r="A99" s="10">
        <v>39783</v>
      </c>
      <c r="B99" s="11">
        <v>13913</v>
      </c>
      <c r="C99" s="11" t="s">
        <v>3</v>
      </c>
      <c r="D99" s="1"/>
      <c r="F99" s="10">
        <v>39783</v>
      </c>
      <c r="G99" s="11">
        <v>23797</v>
      </c>
      <c r="H99" s="11" t="s">
        <v>16</v>
      </c>
      <c r="L99" s="3">
        <v>41183</v>
      </c>
      <c r="M99" s="5"/>
      <c r="N99" s="5">
        <v>10684</v>
      </c>
      <c r="O99" s="5">
        <v>35851</v>
      </c>
      <c r="P99" s="5">
        <v>29310</v>
      </c>
      <c r="Q99" s="5"/>
      <c r="R99" s="5">
        <v>75845</v>
      </c>
      <c r="V99" s="3">
        <v>41183</v>
      </c>
      <c r="W99" s="5">
        <v>21150</v>
      </c>
      <c r="X99" s="5">
        <v>54695</v>
      </c>
      <c r="Y99" s="5">
        <v>75845</v>
      </c>
      <c r="AD99" s="3"/>
      <c r="AH99" s="1"/>
    </row>
    <row r="100" spans="1:34" x14ac:dyDescent="0.25">
      <c r="A100" s="10">
        <v>39783</v>
      </c>
      <c r="B100" s="11">
        <v>42123</v>
      </c>
      <c r="C100" s="11" t="s">
        <v>2</v>
      </c>
      <c r="D100" s="1"/>
      <c r="F100" s="10">
        <v>39783</v>
      </c>
      <c r="G100" s="11">
        <v>32239</v>
      </c>
      <c r="H100" s="11" t="s">
        <v>15</v>
      </c>
      <c r="L100" s="3">
        <v>41214</v>
      </c>
      <c r="M100" s="5"/>
      <c r="N100" s="5">
        <v>12836</v>
      </c>
      <c r="O100" s="5">
        <v>38967</v>
      </c>
      <c r="P100" s="5">
        <v>34631</v>
      </c>
      <c r="Q100" s="5"/>
      <c r="R100" s="5">
        <v>86434</v>
      </c>
      <c r="V100" s="3">
        <v>41214</v>
      </c>
      <c r="W100" s="5">
        <v>21835</v>
      </c>
      <c r="X100" s="5">
        <v>64599</v>
      </c>
      <c r="Y100" s="5">
        <v>86434</v>
      </c>
      <c r="AD100" s="3"/>
      <c r="AH100" s="1"/>
    </row>
    <row r="101" spans="1:34" x14ac:dyDescent="0.25">
      <c r="A101" s="10">
        <v>39814</v>
      </c>
      <c r="B101" s="11">
        <v>6521</v>
      </c>
      <c r="C101" s="11" t="s">
        <v>3</v>
      </c>
      <c r="D101" s="1"/>
      <c r="F101" s="10">
        <v>39814</v>
      </c>
      <c r="G101" s="11">
        <v>16286</v>
      </c>
      <c r="H101" s="11" t="s">
        <v>16</v>
      </c>
      <c r="L101" s="3">
        <v>41244</v>
      </c>
      <c r="M101" s="5"/>
      <c r="N101" s="5">
        <v>13536</v>
      </c>
      <c r="O101" s="5">
        <v>39118</v>
      </c>
      <c r="P101" s="5">
        <v>34797</v>
      </c>
      <c r="Q101" s="5"/>
      <c r="R101" s="5">
        <v>87451</v>
      </c>
      <c r="V101" s="3">
        <v>41244</v>
      </c>
      <c r="W101" s="5">
        <v>20521</v>
      </c>
      <c r="X101" s="5">
        <v>66930</v>
      </c>
      <c r="Y101" s="5">
        <v>87451</v>
      </c>
      <c r="AD101" s="3"/>
      <c r="AH101" s="1"/>
    </row>
    <row r="102" spans="1:34" x14ac:dyDescent="0.25">
      <c r="A102" s="10">
        <v>39814</v>
      </c>
      <c r="B102" s="11">
        <v>25811</v>
      </c>
      <c r="C102" s="11" t="s">
        <v>2</v>
      </c>
      <c r="D102" s="1"/>
      <c r="F102" s="10">
        <v>39814</v>
      </c>
      <c r="G102" s="11">
        <v>16046</v>
      </c>
      <c r="H102" s="11" t="s">
        <v>15</v>
      </c>
      <c r="L102" s="3">
        <v>41275</v>
      </c>
      <c r="M102" s="5"/>
      <c r="N102" s="5">
        <v>12555</v>
      </c>
      <c r="O102" s="5">
        <v>30720</v>
      </c>
      <c r="P102" s="5">
        <v>30874</v>
      </c>
      <c r="Q102" s="5"/>
      <c r="R102" s="5">
        <v>74149</v>
      </c>
      <c r="V102" s="3">
        <v>41275</v>
      </c>
      <c r="W102" s="5">
        <v>15691</v>
      </c>
      <c r="X102" s="5">
        <v>58458</v>
      </c>
      <c r="Y102" s="5">
        <v>74149</v>
      </c>
      <c r="AD102" s="3"/>
      <c r="AH102" s="1"/>
    </row>
    <row r="103" spans="1:34" x14ac:dyDescent="0.25">
      <c r="A103" s="10">
        <v>39845</v>
      </c>
      <c r="B103" s="11">
        <v>29448</v>
      </c>
      <c r="C103" s="11" t="s">
        <v>3</v>
      </c>
      <c r="D103" s="1"/>
      <c r="F103" s="10">
        <v>39845</v>
      </c>
      <c r="G103" s="11">
        <v>22677</v>
      </c>
      <c r="H103" s="11" t="s">
        <v>16</v>
      </c>
      <c r="L103" s="3">
        <v>41306</v>
      </c>
      <c r="M103" s="5"/>
      <c r="N103" s="5">
        <v>13011</v>
      </c>
      <c r="O103" s="5">
        <v>34613</v>
      </c>
      <c r="P103" s="5">
        <v>34386</v>
      </c>
      <c r="Q103" s="5"/>
      <c r="R103" s="5">
        <v>82010</v>
      </c>
      <c r="V103" s="3">
        <v>41306</v>
      </c>
      <c r="W103" s="5">
        <v>17055</v>
      </c>
      <c r="X103" s="5">
        <v>64955</v>
      </c>
      <c r="Y103" s="5">
        <v>82010</v>
      </c>
      <c r="AD103" s="3"/>
      <c r="AH103" s="1"/>
    </row>
    <row r="104" spans="1:34" x14ac:dyDescent="0.25">
      <c r="A104" s="10">
        <v>39845</v>
      </c>
      <c r="B104" s="11">
        <v>43675</v>
      </c>
      <c r="C104" s="11" t="s">
        <v>2</v>
      </c>
      <c r="D104" s="1"/>
      <c r="F104" s="10">
        <v>39845</v>
      </c>
      <c r="G104" s="11">
        <v>50446</v>
      </c>
      <c r="H104" s="11" t="s">
        <v>15</v>
      </c>
      <c r="L104" s="3">
        <v>41334</v>
      </c>
      <c r="M104" s="5"/>
      <c r="N104" s="5">
        <v>14091</v>
      </c>
      <c r="O104" s="5">
        <v>34109</v>
      </c>
      <c r="P104" s="5">
        <v>38598</v>
      </c>
      <c r="Q104" s="5"/>
      <c r="R104" s="5">
        <v>86798</v>
      </c>
      <c r="V104" s="3">
        <v>41334</v>
      </c>
      <c r="W104" s="5">
        <v>15699</v>
      </c>
      <c r="X104" s="5">
        <v>71099</v>
      </c>
      <c r="Y104" s="5">
        <v>86798</v>
      </c>
      <c r="AD104" s="3"/>
      <c r="AH104" s="1"/>
    </row>
    <row r="105" spans="1:34" x14ac:dyDescent="0.25">
      <c r="A105" s="10">
        <v>39873</v>
      </c>
      <c r="B105" s="11">
        <v>74749</v>
      </c>
      <c r="C105" s="11" t="s">
        <v>3</v>
      </c>
      <c r="D105" s="1"/>
      <c r="F105" s="10">
        <v>39873</v>
      </c>
      <c r="G105" s="11">
        <v>112711</v>
      </c>
      <c r="H105" s="11" t="s">
        <v>15</v>
      </c>
      <c r="L105" s="3">
        <v>41365</v>
      </c>
      <c r="M105" s="5"/>
      <c r="N105" s="5">
        <v>14320</v>
      </c>
      <c r="O105" s="5">
        <v>36233</v>
      </c>
      <c r="P105" s="5">
        <v>34311</v>
      </c>
      <c r="Q105" s="5"/>
      <c r="R105" s="5">
        <v>84864</v>
      </c>
      <c r="V105" s="3">
        <v>41365</v>
      </c>
      <c r="W105" s="5">
        <v>18524</v>
      </c>
      <c r="X105" s="5">
        <v>66340</v>
      </c>
      <c r="Y105" s="5">
        <v>84864</v>
      </c>
      <c r="AD105" s="3"/>
      <c r="AH105" s="1"/>
    </row>
    <row r="106" spans="1:34" x14ac:dyDescent="0.25">
      <c r="A106" s="10">
        <v>39873</v>
      </c>
      <c r="B106" s="11">
        <v>52634</v>
      </c>
      <c r="C106" s="11" t="s">
        <v>2</v>
      </c>
      <c r="D106" s="1"/>
      <c r="F106" s="10">
        <v>39873</v>
      </c>
      <c r="G106" s="11">
        <v>14672</v>
      </c>
      <c r="H106" s="11" t="s">
        <v>16</v>
      </c>
      <c r="L106" s="3">
        <v>41395</v>
      </c>
      <c r="M106" s="5"/>
      <c r="N106" s="5">
        <v>14365</v>
      </c>
      <c r="O106" s="5">
        <v>36692</v>
      </c>
      <c r="P106" s="5">
        <v>25494</v>
      </c>
      <c r="Q106" s="5"/>
      <c r="R106" s="5">
        <v>76551</v>
      </c>
      <c r="V106" s="3">
        <v>41395</v>
      </c>
      <c r="W106" s="5">
        <v>20540</v>
      </c>
      <c r="X106" s="5">
        <v>56011</v>
      </c>
      <c r="Y106" s="5">
        <v>76551</v>
      </c>
      <c r="AD106" s="3"/>
      <c r="AH106" s="1"/>
    </row>
    <row r="107" spans="1:34" x14ac:dyDescent="0.25">
      <c r="A107" s="10">
        <v>39904</v>
      </c>
      <c r="B107" s="11">
        <v>96937</v>
      </c>
      <c r="C107" s="11" t="s">
        <v>3</v>
      </c>
      <c r="D107" s="1"/>
      <c r="F107" s="10">
        <v>39904</v>
      </c>
      <c r="G107" s="11">
        <v>16437</v>
      </c>
      <c r="H107" s="11" t="s">
        <v>16</v>
      </c>
      <c r="L107" s="3">
        <v>41426</v>
      </c>
      <c r="M107" s="5"/>
      <c r="N107" s="5">
        <v>13328</v>
      </c>
      <c r="O107" s="5">
        <v>36091</v>
      </c>
      <c r="P107" s="5">
        <v>21777</v>
      </c>
      <c r="Q107" s="5"/>
      <c r="R107" s="5">
        <v>71196</v>
      </c>
      <c r="V107" s="3">
        <v>41426</v>
      </c>
      <c r="W107" s="5">
        <v>21247</v>
      </c>
      <c r="X107" s="5">
        <v>49949</v>
      </c>
      <c r="Y107" s="5">
        <v>71196</v>
      </c>
      <c r="AD107" s="3"/>
      <c r="AH107" s="1"/>
    </row>
    <row r="108" spans="1:34" x14ac:dyDescent="0.25">
      <c r="A108" s="10">
        <v>39904</v>
      </c>
      <c r="B108" s="11">
        <v>66109</v>
      </c>
      <c r="C108" s="11" t="s">
        <v>2</v>
      </c>
      <c r="D108" s="1"/>
      <c r="F108" s="10">
        <v>39904</v>
      </c>
      <c r="G108" s="11">
        <v>146609</v>
      </c>
      <c r="H108" s="11" t="s">
        <v>15</v>
      </c>
      <c r="L108" s="3">
        <v>41456</v>
      </c>
      <c r="M108" s="5"/>
      <c r="N108" s="5">
        <v>13096</v>
      </c>
      <c r="O108" s="5">
        <v>45404</v>
      </c>
      <c r="P108" s="5">
        <v>27316</v>
      </c>
      <c r="Q108" s="5"/>
      <c r="R108" s="5">
        <v>85816</v>
      </c>
      <c r="V108" s="3">
        <v>41456</v>
      </c>
      <c r="W108" s="5">
        <v>28371</v>
      </c>
      <c r="X108" s="5">
        <v>57445</v>
      </c>
      <c r="Y108" s="5">
        <v>85816</v>
      </c>
      <c r="AD108" s="3"/>
      <c r="AH108" s="1"/>
    </row>
    <row r="109" spans="1:34" x14ac:dyDescent="0.25">
      <c r="A109" s="10">
        <v>39934</v>
      </c>
      <c r="B109" s="11">
        <v>100891</v>
      </c>
      <c r="C109" s="11" t="s">
        <v>3</v>
      </c>
      <c r="D109" s="1"/>
      <c r="F109" s="10">
        <v>39934</v>
      </c>
      <c r="G109" s="11">
        <v>156465</v>
      </c>
      <c r="H109" s="11" t="s">
        <v>15</v>
      </c>
      <c r="L109" s="3">
        <v>41487</v>
      </c>
      <c r="M109" s="5"/>
      <c r="N109" s="5">
        <v>11152</v>
      </c>
      <c r="O109" s="5">
        <v>43797</v>
      </c>
      <c r="P109" s="5">
        <v>23229</v>
      </c>
      <c r="Q109" s="5"/>
      <c r="R109" s="5">
        <v>78178</v>
      </c>
      <c r="V109" s="3">
        <v>41487</v>
      </c>
      <c r="W109" s="5">
        <v>28575</v>
      </c>
      <c r="X109" s="5">
        <v>49603</v>
      </c>
      <c r="Y109" s="5">
        <v>78178</v>
      </c>
      <c r="AD109" s="3"/>
      <c r="AH109" s="1"/>
    </row>
    <row r="110" spans="1:34" x14ac:dyDescent="0.25">
      <c r="A110" s="10">
        <v>39934</v>
      </c>
      <c r="B110" s="11">
        <v>79368</v>
      </c>
      <c r="C110" s="11" t="s">
        <v>2</v>
      </c>
      <c r="D110" s="1"/>
      <c r="F110" s="10">
        <v>39934</v>
      </c>
      <c r="G110" s="11">
        <v>23794</v>
      </c>
      <c r="H110" s="11" t="s">
        <v>16</v>
      </c>
      <c r="L110" s="3">
        <v>41518</v>
      </c>
      <c r="M110" s="5"/>
      <c r="N110" s="5">
        <v>9637</v>
      </c>
      <c r="O110" s="5">
        <v>39939</v>
      </c>
      <c r="P110" s="5">
        <v>15775</v>
      </c>
      <c r="Q110" s="5"/>
      <c r="R110" s="5">
        <v>65351</v>
      </c>
      <c r="V110" s="3">
        <v>41518</v>
      </c>
      <c r="W110" s="5">
        <v>26523</v>
      </c>
      <c r="X110" s="5">
        <v>38828</v>
      </c>
      <c r="Y110" s="5">
        <v>65351</v>
      </c>
      <c r="AD110" s="3"/>
      <c r="AH110" s="1"/>
    </row>
    <row r="111" spans="1:34" x14ac:dyDescent="0.25">
      <c r="A111" s="10">
        <v>39965</v>
      </c>
      <c r="B111" s="11">
        <v>88926</v>
      </c>
      <c r="C111" s="11" t="s">
        <v>4</v>
      </c>
      <c r="D111" s="1"/>
      <c r="F111" s="10">
        <v>39965</v>
      </c>
      <c r="G111" s="11">
        <v>22432</v>
      </c>
      <c r="H111" s="11" t="s">
        <v>16</v>
      </c>
      <c r="L111" s="3">
        <v>41548</v>
      </c>
      <c r="M111" s="5"/>
      <c r="N111" s="5">
        <v>7185</v>
      </c>
      <c r="O111" s="5">
        <v>34294</v>
      </c>
      <c r="P111" s="5">
        <v>9690</v>
      </c>
      <c r="Q111" s="5"/>
      <c r="R111" s="5">
        <v>51169</v>
      </c>
      <c r="V111" s="3">
        <v>41548</v>
      </c>
      <c r="W111" s="5">
        <v>24283</v>
      </c>
      <c r="X111" s="5">
        <v>26886</v>
      </c>
      <c r="Y111" s="5">
        <v>51169</v>
      </c>
      <c r="AD111" s="3"/>
      <c r="AH111" s="1"/>
    </row>
    <row r="112" spans="1:34" x14ac:dyDescent="0.25">
      <c r="A112" s="10">
        <v>39965</v>
      </c>
      <c r="B112" s="11">
        <v>6710</v>
      </c>
      <c r="C112" s="11" t="s">
        <v>5</v>
      </c>
      <c r="D112" s="1"/>
      <c r="F112" s="10">
        <v>39965</v>
      </c>
      <c r="G112" s="11">
        <v>146791</v>
      </c>
      <c r="H112" s="11" t="s">
        <v>15</v>
      </c>
      <c r="L112" s="3">
        <v>41579</v>
      </c>
      <c r="M112" s="5"/>
      <c r="N112" s="5">
        <v>5561</v>
      </c>
      <c r="O112" s="5">
        <v>28658</v>
      </c>
      <c r="P112" s="5">
        <v>6594</v>
      </c>
      <c r="Q112" s="5"/>
      <c r="R112" s="5">
        <v>40813</v>
      </c>
      <c r="V112" s="3">
        <v>41579</v>
      </c>
      <c r="W112" s="5">
        <v>20370</v>
      </c>
      <c r="X112" s="5">
        <v>20443</v>
      </c>
      <c r="Y112" s="5">
        <v>40813</v>
      </c>
      <c r="AD112" s="3"/>
      <c r="AH112" s="1"/>
    </row>
    <row r="113" spans="1:34" x14ac:dyDescent="0.25">
      <c r="A113" s="10">
        <v>39965</v>
      </c>
      <c r="B113" s="11">
        <v>73587</v>
      </c>
      <c r="C113" s="11" t="s">
        <v>2</v>
      </c>
      <c r="D113" s="1"/>
      <c r="F113" s="10">
        <v>39995</v>
      </c>
      <c r="G113" s="11">
        <v>142852</v>
      </c>
      <c r="H113" s="11" t="s">
        <v>15</v>
      </c>
      <c r="L113" s="3">
        <v>41609</v>
      </c>
      <c r="M113" s="5"/>
      <c r="N113" s="5">
        <v>5307</v>
      </c>
      <c r="O113" s="5">
        <v>31849</v>
      </c>
      <c r="P113" s="5">
        <v>6672</v>
      </c>
      <c r="Q113" s="5"/>
      <c r="R113" s="5">
        <v>43828</v>
      </c>
      <c r="V113" s="3">
        <v>41609</v>
      </c>
      <c r="W113" s="5">
        <v>22878</v>
      </c>
      <c r="X113" s="5">
        <v>20950</v>
      </c>
      <c r="Y113" s="5">
        <v>43828</v>
      </c>
      <c r="AD113" s="3"/>
      <c r="AH113" s="1"/>
    </row>
    <row r="114" spans="1:34" x14ac:dyDescent="0.25">
      <c r="A114" s="10">
        <v>39995</v>
      </c>
      <c r="B114" s="11">
        <v>85852</v>
      </c>
      <c r="C114" s="11" t="s">
        <v>4</v>
      </c>
      <c r="D114" s="1"/>
      <c r="F114" s="10">
        <v>39995</v>
      </c>
      <c r="G114" s="11">
        <v>25072</v>
      </c>
      <c r="H114" s="11" t="s">
        <v>16</v>
      </c>
      <c r="L114" s="3">
        <v>41640</v>
      </c>
      <c r="M114" s="5"/>
      <c r="N114" s="5">
        <v>4763</v>
      </c>
      <c r="O114" s="5">
        <v>31793</v>
      </c>
      <c r="P114" s="5">
        <v>7915</v>
      </c>
      <c r="Q114" s="5"/>
      <c r="R114" s="5">
        <v>44471</v>
      </c>
      <c r="V114" s="3">
        <v>41640</v>
      </c>
      <c r="W114" s="5">
        <v>22177</v>
      </c>
      <c r="X114" s="5">
        <v>22294</v>
      </c>
      <c r="Y114" s="5">
        <v>44471</v>
      </c>
      <c r="AD114" s="3"/>
      <c r="AH114" s="1"/>
    </row>
    <row r="115" spans="1:34" x14ac:dyDescent="0.25">
      <c r="A115" s="10">
        <v>39995</v>
      </c>
      <c r="B115" s="11">
        <v>7064</v>
      </c>
      <c r="C115" s="11" t="s">
        <v>5</v>
      </c>
      <c r="D115" s="1"/>
      <c r="F115" s="10">
        <v>40026</v>
      </c>
      <c r="G115" s="11">
        <v>124476</v>
      </c>
      <c r="H115" s="11" t="s">
        <v>15</v>
      </c>
      <c r="L115" s="3">
        <v>41671</v>
      </c>
      <c r="M115" s="5"/>
      <c r="N115" s="5">
        <v>4713</v>
      </c>
      <c r="O115" s="5">
        <v>33156</v>
      </c>
      <c r="P115" s="5">
        <v>7910</v>
      </c>
      <c r="Q115" s="5"/>
      <c r="R115" s="5">
        <v>45779</v>
      </c>
      <c r="V115" s="3">
        <v>41671</v>
      </c>
      <c r="W115" s="5">
        <v>23120</v>
      </c>
      <c r="X115" s="5">
        <v>22659</v>
      </c>
      <c r="Y115" s="5">
        <v>45779</v>
      </c>
      <c r="AD115" s="3"/>
      <c r="AH115" s="1"/>
    </row>
    <row r="116" spans="1:34" x14ac:dyDescent="0.25">
      <c r="A116" s="10">
        <v>39995</v>
      </c>
      <c r="B116" s="11">
        <v>75008</v>
      </c>
      <c r="C116" s="11" t="s">
        <v>2</v>
      </c>
      <c r="D116" s="1"/>
      <c r="F116" s="10">
        <v>40026</v>
      </c>
      <c r="G116" s="11">
        <v>33562</v>
      </c>
      <c r="H116" s="11" t="s">
        <v>16</v>
      </c>
      <c r="L116" s="3">
        <v>41699</v>
      </c>
      <c r="M116" s="5"/>
      <c r="N116" s="5">
        <v>4009</v>
      </c>
      <c r="O116" s="5">
        <v>22439</v>
      </c>
      <c r="P116" s="5">
        <v>5422</v>
      </c>
      <c r="Q116" s="5">
        <v>6</v>
      </c>
      <c r="R116" s="5">
        <v>31876</v>
      </c>
      <c r="V116" s="3">
        <v>41699</v>
      </c>
      <c r="W116" s="5">
        <v>15338</v>
      </c>
      <c r="X116" s="5">
        <v>16538</v>
      </c>
      <c r="Y116" s="5">
        <v>31876</v>
      </c>
      <c r="AD116" s="3"/>
      <c r="AH116" s="1"/>
    </row>
    <row r="117" spans="1:34" x14ac:dyDescent="0.25">
      <c r="A117" s="10">
        <v>40026</v>
      </c>
      <c r="B117" s="11">
        <v>67421</v>
      </c>
      <c r="C117" s="11" t="s">
        <v>4</v>
      </c>
      <c r="D117" s="1"/>
      <c r="F117" s="10">
        <v>40057</v>
      </c>
      <c r="G117" s="11">
        <v>37842</v>
      </c>
      <c r="H117" s="11" t="s">
        <v>16</v>
      </c>
      <c r="L117" s="3">
        <v>41730</v>
      </c>
      <c r="M117" s="5"/>
      <c r="N117" s="5"/>
      <c r="O117" s="5">
        <v>23223</v>
      </c>
      <c r="P117" s="5"/>
      <c r="Q117" s="5">
        <v>8232</v>
      </c>
      <c r="R117" s="5">
        <v>31455</v>
      </c>
      <c r="V117" s="3">
        <v>41730</v>
      </c>
      <c r="W117" s="5">
        <v>16341</v>
      </c>
      <c r="X117" s="5">
        <v>15114</v>
      </c>
      <c r="Y117" s="5">
        <v>31455</v>
      </c>
      <c r="AD117" s="3"/>
      <c r="AH117" s="1"/>
    </row>
    <row r="118" spans="1:34" x14ac:dyDescent="0.25">
      <c r="A118" s="10">
        <v>40026</v>
      </c>
      <c r="B118" s="11">
        <v>10110</v>
      </c>
      <c r="C118" s="11" t="s">
        <v>5</v>
      </c>
      <c r="D118" s="1"/>
      <c r="F118" s="10">
        <v>40057</v>
      </c>
      <c r="G118" s="11">
        <v>87106</v>
      </c>
      <c r="H118" s="11" t="s">
        <v>15</v>
      </c>
      <c r="L118" s="3">
        <v>41760</v>
      </c>
      <c r="M118" s="5"/>
      <c r="N118" s="5"/>
      <c r="O118" s="5">
        <v>30535</v>
      </c>
      <c r="P118" s="5"/>
      <c r="Q118" s="5">
        <v>9807</v>
      </c>
      <c r="R118" s="5">
        <v>40342</v>
      </c>
      <c r="V118" s="3">
        <v>41760</v>
      </c>
      <c r="W118" s="5">
        <v>21787</v>
      </c>
      <c r="X118" s="5">
        <v>18555</v>
      </c>
      <c r="Y118" s="5">
        <v>40342</v>
      </c>
      <c r="AD118" s="3"/>
      <c r="AH118" s="1"/>
    </row>
    <row r="119" spans="1:34" x14ac:dyDescent="0.25">
      <c r="A119" s="10">
        <v>40026</v>
      </c>
      <c r="B119" s="11">
        <v>80507</v>
      </c>
      <c r="C119" s="11" t="s">
        <v>2</v>
      </c>
      <c r="D119" s="1"/>
      <c r="F119" s="10">
        <v>40087</v>
      </c>
      <c r="G119" s="11">
        <v>54292</v>
      </c>
      <c r="H119" s="11" t="s">
        <v>15</v>
      </c>
      <c r="L119" s="3">
        <v>41791</v>
      </c>
      <c r="M119" s="5"/>
      <c r="N119" s="5"/>
      <c r="O119" s="5">
        <v>31762</v>
      </c>
      <c r="P119" s="5"/>
      <c r="Q119" s="5">
        <v>9606</v>
      </c>
      <c r="R119" s="5">
        <v>41368</v>
      </c>
      <c r="V119" s="3">
        <v>41791</v>
      </c>
      <c r="W119" s="5">
        <v>22960</v>
      </c>
      <c r="X119" s="5">
        <v>18408</v>
      </c>
      <c r="Y119" s="5">
        <v>41368</v>
      </c>
      <c r="AD119" s="3"/>
      <c r="AH119" s="1"/>
    </row>
    <row r="120" spans="1:34" x14ac:dyDescent="0.25">
      <c r="A120" s="10">
        <v>40057</v>
      </c>
      <c r="B120" s="11">
        <v>42165</v>
      </c>
      <c r="C120" s="11" t="s">
        <v>4</v>
      </c>
      <c r="D120" s="1"/>
      <c r="F120" s="10">
        <v>40087</v>
      </c>
      <c r="G120" s="11">
        <v>30909</v>
      </c>
      <c r="H120" s="11" t="s">
        <v>16</v>
      </c>
      <c r="L120" s="3">
        <v>41821</v>
      </c>
      <c r="M120" s="5"/>
      <c r="N120" s="5"/>
      <c r="O120" s="5">
        <v>34750</v>
      </c>
      <c r="P120" s="5"/>
      <c r="Q120" s="5">
        <v>8919</v>
      </c>
      <c r="R120" s="5">
        <v>43669</v>
      </c>
      <c r="V120" s="3">
        <v>41821</v>
      </c>
      <c r="W120" s="5">
        <v>26041</v>
      </c>
      <c r="X120" s="5">
        <v>17628</v>
      </c>
      <c r="Y120" s="5">
        <v>43669</v>
      </c>
      <c r="AD120" s="3"/>
      <c r="AH120" s="1"/>
    </row>
    <row r="121" spans="1:34" x14ac:dyDescent="0.25">
      <c r="A121" s="10">
        <v>40057</v>
      </c>
      <c r="B121" s="11">
        <v>8591</v>
      </c>
      <c r="C121" s="11" t="s">
        <v>5</v>
      </c>
      <c r="D121" s="1"/>
      <c r="F121" s="10">
        <v>40118</v>
      </c>
      <c r="G121" s="11">
        <v>29112</v>
      </c>
      <c r="H121" s="11" t="s">
        <v>16</v>
      </c>
      <c r="L121" s="3">
        <v>41852</v>
      </c>
      <c r="M121" s="5"/>
      <c r="N121" s="5"/>
      <c r="O121" s="5">
        <v>41191</v>
      </c>
      <c r="P121" s="5"/>
      <c r="Q121" s="5">
        <v>11115</v>
      </c>
      <c r="R121" s="5">
        <v>52306</v>
      </c>
      <c r="V121" s="3">
        <v>41852</v>
      </c>
      <c r="W121" s="5">
        <v>30810</v>
      </c>
      <c r="X121" s="5">
        <v>21496</v>
      </c>
      <c r="Y121" s="5">
        <v>52306</v>
      </c>
      <c r="AD121" s="3"/>
      <c r="AH121" s="1"/>
    </row>
    <row r="122" spans="1:34" x14ac:dyDescent="0.25">
      <c r="A122" s="10">
        <v>40057</v>
      </c>
      <c r="B122" s="11">
        <v>74192</v>
      </c>
      <c r="C122" s="11" t="s">
        <v>2</v>
      </c>
      <c r="D122" s="1"/>
      <c r="F122" s="10">
        <v>40118</v>
      </c>
      <c r="G122" s="11">
        <v>48305</v>
      </c>
      <c r="H122" s="11" t="s">
        <v>15</v>
      </c>
      <c r="L122" s="3">
        <v>41883</v>
      </c>
      <c r="M122" s="5"/>
      <c r="N122" s="5"/>
      <c r="O122" s="5">
        <v>42737</v>
      </c>
      <c r="P122" s="5"/>
      <c r="Q122" s="5">
        <v>11857</v>
      </c>
      <c r="R122" s="5">
        <v>54594</v>
      </c>
      <c r="V122" s="3">
        <v>41883</v>
      </c>
      <c r="W122" s="5">
        <v>31521</v>
      </c>
      <c r="X122" s="5">
        <v>23073</v>
      </c>
      <c r="Y122" s="5">
        <v>54594</v>
      </c>
      <c r="AD122" s="3"/>
      <c r="AH122" s="1"/>
    </row>
    <row r="123" spans="1:34" x14ac:dyDescent="0.25">
      <c r="A123" s="10">
        <v>40087</v>
      </c>
      <c r="B123" s="11">
        <v>22832</v>
      </c>
      <c r="C123" s="11" t="s">
        <v>4</v>
      </c>
      <c r="D123" s="1"/>
      <c r="F123" s="10">
        <v>40148</v>
      </c>
      <c r="G123" s="11">
        <v>30800</v>
      </c>
      <c r="H123" s="11" t="s">
        <v>16</v>
      </c>
      <c r="L123" s="3">
        <v>41913</v>
      </c>
      <c r="M123" s="5"/>
      <c r="N123" s="5"/>
      <c r="O123" s="5">
        <v>40876</v>
      </c>
      <c r="P123" s="5"/>
      <c r="Q123" s="5">
        <v>11835</v>
      </c>
      <c r="R123" s="5">
        <v>52711</v>
      </c>
      <c r="V123" s="3">
        <v>41913</v>
      </c>
      <c r="W123" s="5">
        <v>29375</v>
      </c>
      <c r="X123" s="5">
        <v>23336</v>
      </c>
      <c r="Y123" s="5">
        <v>52711</v>
      </c>
      <c r="AD123" s="3"/>
      <c r="AH123" s="1"/>
    </row>
    <row r="124" spans="1:34" x14ac:dyDescent="0.25">
      <c r="A124" s="10">
        <v>40087</v>
      </c>
      <c r="B124" s="11">
        <v>7271</v>
      </c>
      <c r="C124" s="11" t="s">
        <v>5</v>
      </c>
      <c r="D124" s="1"/>
      <c r="F124" s="10">
        <v>40148</v>
      </c>
      <c r="G124" s="11">
        <v>58549</v>
      </c>
      <c r="H124" s="11" t="s">
        <v>15</v>
      </c>
      <c r="L124" s="3">
        <v>41944</v>
      </c>
      <c r="M124" s="5"/>
      <c r="N124" s="5"/>
      <c r="O124" s="5">
        <v>38842</v>
      </c>
      <c r="P124" s="5"/>
      <c r="Q124" s="5">
        <v>12558</v>
      </c>
      <c r="R124" s="5">
        <v>51400</v>
      </c>
      <c r="V124" s="3">
        <v>41944</v>
      </c>
      <c r="W124" s="5">
        <v>26356</v>
      </c>
      <c r="X124" s="5">
        <v>25044</v>
      </c>
      <c r="Y124" s="5">
        <v>51400</v>
      </c>
      <c r="AD124" s="3"/>
      <c r="AH124" s="1"/>
    </row>
    <row r="125" spans="1:34" x14ac:dyDescent="0.25">
      <c r="A125" s="10">
        <v>40087</v>
      </c>
      <c r="B125" s="11">
        <v>55098</v>
      </c>
      <c r="C125" s="11" t="s">
        <v>2</v>
      </c>
      <c r="D125" s="1"/>
      <c r="F125" s="10">
        <v>40179</v>
      </c>
      <c r="G125" s="11">
        <v>62306</v>
      </c>
      <c r="H125" s="11" t="s">
        <v>15</v>
      </c>
      <c r="L125" s="3">
        <v>41974</v>
      </c>
      <c r="M125" s="5"/>
      <c r="N125" s="5"/>
      <c r="O125" s="5">
        <v>35889</v>
      </c>
      <c r="P125" s="5"/>
      <c r="Q125" s="5">
        <v>12658</v>
      </c>
      <c r="R125" s="5">
        <v>48547</v>
      </c>
      <c r="V125" s="3">
        <v>41974</v>
      </c>
      <c r="W125" s="5">
        <v>23931</v>
      </c>
      <c r="X125" s="5">
        <v>24616</v>
      </c>
      <c r="Y125" s="5">
        <v>48547</v>
      </c>
      <c r="AD125" s="3"/>
      <c r="AH125" s="1"/>
    </row>
    <row r="126" spans="1:34" x14ac:dyDescent="0.25">
      <c r="A126" s="10">
        <v>40118</v>
      </c>
      <c r="B126" s="11">
        <v>19566</v>
      </c>
      <c r="C126" s="11" t="s">
        <v>4</v>
      </c>
      <c r="D126" s="1"/>
      <c r="F126" s="10">
        <v>40179</v>
      </c>
      <c r="G126" s="11">
        <v>28720</v>
      </c>
      <c r="H126" s="11" t="s">
        <v>16</v>
      </c>
      <c r="L126" s="3">
        <v>42005</v>
      </c>
      <c r="M126" s="5"/>
      <c r="N126" s="5"/>
      <c r="O126" s="5">
        <v>31559</v>
      </c>
      <c r="P126" s="5"/>
      <c r="Q126" s="5">
        <v>15345</v>
      </c>
      <c r="R126" s="5">
        <v>46904</v>
      </c>
      <c r="V126" s="3">
        <v>42005</v>
      </c>
      <c r="W126" s="5">
        <v>19872</v>
      </c>
      <c r="X126" s="5">
        <v>27032</v>
      </c>
      <c r="Y126" s="5">
        <v>46904</v>
      </c>
      <c r="AD126" s="3"/>
      <c r="AH126" s="1"/>
    </row>
    <row r="127" spans="1:34" x14ac:dyDescent="0.25">
      <c r="A127" s="10">
        <v>40118</v>
      </c>
      <c r="B127" s="11">
        <v>6267</v>
      </c>
      <c r="C127" s="11" t="s">
        <v>5</v>
      </c>
      <c r="D127" s="1"/>
      <c r="F127" s="10">
        <v>40210</v>
      </c>
      <c r="G127" s="11">
        <v>24831</v>
      </c>
      <c r="H127" s="11" t="s">
        <v>16</v>
      </c>
      <c r="L127" s="3">
        <v>42036</v>
      </c>
      <c r="M127" s="5"/>
      <c r="N127" s="5"/>
      <c r="O127" s="5">
        <v>33518</v>
      </c>
      <c r="P127" s="5"/>
      <c r="Q127" s="5">
        <v>15404</v>
      </c>
      <c r="R127" s="5">
        <v>48922</v>
      </c>
      <c r="V127" s="3">
        <v>42036</v>
      </c>
      <c r="W127" s="5">
        <v>21063</v>
      </c>
      <c r="X127" s="5">
        <v>27859</v>
      </c>
      <c r="Y127" s="5">
        <v>48922</v>
      </c>
      <c r="AD127" s="3"/>
      <c r="AH127" s="1"/>
    </row>
    <row r="128" spans="1:34" x14ac:dyDescent="0.25">
      <c r="A128" s="10">
        <v>40118</v>
      </c>
      <c r="B128" s="11">
        <v>51584</v>
      </c>
      <c r="C128" s="11" t="s">
        <v>2</v>
      </c>
      <c r="D128" s="1"/>
      <c r="F128" s="10">
        <v>40210</v>
      </c>
      <c r="G128" s="11">
        <v>65898</v>
      </c>
      <c r="H128" s="11" t="s">
        <v>15</v>
      </c>
      <c r="L128" s="3">
        <v>42064</v>
      </c>
      <c r="M128" s="5"/>
      <c r="N128" s="5"/>
      <c r="O128" s="5">
        <v>27209</v>
      </c>
      <c r="P128" s="5"/>
      <c r="Q128" s="5">
        <v>17606</v>
      </c>
      <c r="R128" s="5">
        <v>44815</v>
      </c>
      <c r="V128" s="3">
        <v>42064</v>
      </c>
      <c r="W128" s="5">
        <v>15216</v>
      </c>
      <c r="X128" s="5">
        <v>29599</v>
      </c>
      <c r="Y128" s="5">
        <v>44815</v>
      </c>
      <c r="AD128" s="3"/>
      <c r="AH128" s="1"/>
    </row>
    <row r="129" spans="1:34" x14ac:dyDescent="0.25">
      <c r="A129" s="10">
        <v>40148</v>
      </c>
      <c r="B129" s="11">
        <v>24758</v>
      </c>
      <c r="C129" s="11" t="s">
        <v>4</v>
      </c>
      <c r="D129" s="1"/>
      <c r="F129" s="10">
        <v>40238</v>
      </c>
      <c r="G129" s="11">
        <v>18402</v>
      </c>
      <c r="H129" s="11" t="s">
        <v>16</v>
      </c>
      <c r="L129" s="3">
        <v>42095</v>
      </c>
      <c r="M129" s="5"/>
      <c r="N129" s="5"/>
      <c r="O129" s="5">
        <v>32180</v>
      </c>
      <c r="P129" s="5"/>
      <c r="Q129" s="5">
        <v>26522</v>
      </c>
      <c r="R129" s="5">
        <v>58702</v>
      </c>
      <c r="V129" s="3">
        <v>42095</v>
      </c>
      <c r="W129" s="5">
        <v>17593</v>
      </c>
      <c r="X129" s="5">
        <v>41109</v>
      </c>
      <c r="Y129" s="5">
        <v>58702</v>
      </c>
      <c r="AD129" s="3"/>
      <c r="AH129" s="1"/>
    </row>
    <row r="130" spans="1:34" x14ac:dyDescent="0.25">
      <c r="A130" s="10">
        <v>40148</v>
      </c>
      <c r="B130" s="11">
        <v>9286</v>
      </c>
      <c r="C130" s="11" t="s">
        <v>5</v>
      </c>
      <c r="D130" s="1"/>
      <c r="F130" s="10">
        <v>40238</v>
      </c>
      <c r="G130" s="11">
        <v>57402</v>
      </c>
      <c r="H130" s="11" t="s">
        <v>15</v>
      </c>
      <c r="L130" s="3">
        <v>42125</v>
      </c>
      <c r="M130" s="5"/>
      <c r="N130" s="5"/>
      <c r="O130" s="5">
        <v>43457</v>
      </c>
      <c r="P130" s="5"/>
      <c r="Q130" s="5">
        <v>29462</v>
      </c>
      <c r="R130" s="5">
        <v>72919</v>
      </c>
      <c r="V130" s="3">
        <v>42125</v>
      </c>
      <c r="W130" s="5">
        <v>24723</v>
      </c>
      <c r="X130" s="5">
        <v>48196</v>
      </c>
      <c r="Y130" s="5">
        <v>72919</v>
      </c>
      <c r="AD130" s="3"/>
      <c r="AH130" s="1"/>
    </row>
    <row r="131" spans="1:34" x14ac:dyDescent="0.25">
      <c r="A131" s="10">
        <v>40148</v>
      </c>
      <c r="B131" s="11">
        <v>55305</v>
      </c>
      <c r="C131" s="11" t="s">
        <v>2</v>
      </c>
      <c r="D131" s="1"/>
      <c r="F131" s="10">
        <v>40269</v>
      </c>
      <c r="G131" s="11">
        <v>43064</v>
      </c>
      <c r="H131" s="11" t="s">
        <v>15</v>
      </c>
      <c r="L131" s="3">
        <v>42156</v>
      </c>
      <c r="M131" s="5"/>
      <c r="N131" s="5"/>
      <c r="O131" s="5">
        <v>44834</v>
      </c>
      <c r="P131" s="5"/>
      <c r="Q131" s="5">
        <v>23102</v>
      </c>
      <c r="R131" s="5">
        <v>67936</v>
      </c>
      <c r="V131" s="3">
        <v>42156</v>
      </c>
      <c r="W131" s="5">
        <v>26777</v>
      </c>
      <c r="X131" s="5">
        <v>41159</v>
      </c>
      <c r="Y131" s="5">
        <v>67936</v>
      </c>
      <c r="AD131" s="3"/>
      <c r="AH131" s="1"/>
    </row>
    <row r="132" spans="1:34" x14ac:dyDescent="0.25">
      <c r="A132" s="10">
        <v>40179</v>
      </c>
      <c r="B132" s="11">
        <v>25585</v>
      </c>
      <c r="C132" s="11" t="s">
        <v>4</v>
      </c>
      <c r="D132" s="1"/>
      <c r="F132" s="10">
        <v>40269</v>
      </c>
      <c r="G132" s="11">
        <v>20232</v>
      </c>
      <c r="H132" s="11" t="s">
        <v>16</v>
      </c>
      <c r="L132" s="3">
        <v>42186</v>
      </c>
      <c r="M132" s="5"/>
      <c r="N132" s="5"/>
      <c r="O132" s="5">
        <v>45648</v>
      </c>
      <c r="P132" s="5"/>
      <c r="Q132" s="5">
        <v>19905</v>
      </c>
      <c r="R132" s="5">
        <v>65553</v>
      </c>
      <c r="V132" s="3">
        <v>42186</v>
      </c>
      <c r="W132" s="5">
        <v>28751</v>
      </c>
      <c r="X132" s="5">
        <v>36802</v>
      </c>
      <c r="Y132" s="5">
        <v>65553</v>
      </c>
      <c r="AD132" s="3"/>
      <c r="AH132" s="1"/>
    </row>
    <row r="133" spans="1:34" x14ac:dyDescent="0.25">
      <c r="A133" s="10">
        <v>40179</v>
      </c>
      <c r="B133" s="11">
        <v>12219</v>
      </c>
      <c r="C133" s="11" t="s">
        <v>5</v>
      </c>
      <c r="D133" s="1"/>
      <c r="F133" s="10">
        <v>40299</v>
      </c>
      <c r="G133" s="11">
        <v>23904</v>
      </c>
      <c r="H133" s="11" t="s">
        <v>16</v>
      </c>
      <c r="L133" s="3">
        <v>42217</v>
      </c>
      <c r="M133" s="5"/>
      <c r="N133" s="5"/>
      <c r="O133" s="5">
        <v>46801</v>
      </c>
      <c r="P133" s="5"/>
      <c r="Q133" s="5">
        <v>15934</v>
      </c>
      <c r="R133" s="5">
        <v>62735</v>
      </c>
      <c r="V133" s="3">
        <v>42217</v>
      </c>
      <c r="W133" s="5">
        <v>31059</v>
      </c>
      <c r="X133" s="5">
        <v>31676</v>
      </c>
      <c r="Y133" s="5">
        <v>62735</v>
      </c>
      <c r="AD133" s="3"/>
      <c r="AH133" s="1"/>
    </row>
    <row r="134" spans="1:34" x14ac:dyDescent="0.25">
      <c r="A134" s="10">
        <v>40179</v>
      </c>
      <c r="B134" s="11">
        <v>53222</v>
      </c>
      <c r="C134" s="11" t="s">
        <v>2</v>
      </c>
      <c r="D134" s="1"/>
      <c r="F134" s="10">
        <v>40299</v>
      </c>
      <c r="G134" s="11">
        <v>42670</v>
      </c>
      <c r="H134" s="11" t="s">
        <v>15</v>
      </c>
      <c r="L134" s="3">
        <v>42248</v>
      </c>
      <c r="M134" s="5"/>
      <c r="N134" s="5"/>
      <c r="O134" s="5">
        <v>45756</v>
      </c>
      <c r="P134" s="5"/>
      <c r="Q134" s="5">
        <v>12911</v>
      </c>
      <c r="R134" s="5">
        <v>58667</v>
      </c>
      <c r="V134" s="3">
        <v>42248</v>
      </c>
      <c r="W134" s="5">
        <v>30775</v>
      </c>
      <c r="X134" s="5">
        <v>27892</v>
      </c>
      <c r="Y134" s="5">
        <v>58667</v>
      </c>
      <c r="AD134" s="3"/>
      <c r="AH134" s="1"/>
    </row>
    <row r="135" spans="1:34" x14ac:dyDescent="0.25">
      <c r="A135" s="10">
        <v>40210</v>
      </c>
      <c r="B135" s="11">
        <v>27794</v>
      </c>
      <c r="C135" s="11" t="s">
        <v>4</v>
      </c>
      <c r="D135" s="1"/>
      <c r="F135" s="10">
        <v>40330</v>
      </c>
      <c r="G135" s="11">
        <v>27627</v>
      </c>
      <c r="H135" s="11" t="s">
        <v>16</v>
      </c>
      <c r="L135" s="3">
        <v>42278</v>
      </c>
      <c r="M135" s="5"/>
      <c r="N135" s="5"/>
      <c r="O135" s="5">
        <v>44073</v>
      </c>
      <c r="P135" s="5"/>
      <c r="Q135" s="5">
        <v>12057</v>
      </c>
      <c r="R135" s="5">
        <v>56130</v>
      </c>
      <c r="V135" s="3">
        <v>42278</v>
      </c>
      <c r="W135" s="5">
        <v>29655</v>
      </c>
      <c r="X135" s="5">
        <v>26475</v>
      </c>
      <c r="Y135" s="5">
        <v>56130</v>
      </c>
      <c r="AD135" s="3"/>
      <c r="AH135" s="1"/>
    </row>
    <row r="136" spans="1:34" x14ac:dyDescent="0.25">
      <c r="A136" s="10">
        <v>40210</v>
      </c>
      <c r="B136" s="11">
        <v>13101</v>
      </c>
      <c r="C136" s="11" t="s">
        <v>5</v>
      </c>
      <c r="D136" s="1"/>
      <c r="F136" s="10">
        <v>40330</v>
      </c>
      <c r="G136" s="11">
        <v>38274</v>
      </c>
      <c r="H136" s="11" t="s">
        <v>15</v>
      </c>
      <c r="L136" s="3">
        <v>42309</v>
      </c>
      <c r="M136" s="5"/>
      <c r="N136" s="5"/>
      <c r="O136" s="5">
        <v>42522</v>
      </c>
      <c r="P136" s="5"/>
      <c r="Q136" s="5">
        <v>12982</v>
      </c>
      <c r="R136" s="5">
        <v>55504</v>
      </c>
      <c r="V136" s="3">
        <v>42309</v>
      </c>
      <c r="W136" s="5">
        <v>27181</v>
      </c>
      <c r="X136" s="5">
        <v>28323</v>
      </c>
      <c r="Y136" s="5">
        <v>55504</v>
      </c>
      <c r="AD136" s="3"/>
      <c r="AH136" s="1"/>
    </row>
    <row r="137" spans="1:34" x14ac:dyDescent="0.25">
      <c r="A137" s="10">
        <v>40210</v>
      </c>
      <c r="B137" s="11">
        <v>49834</v>
      </c>
      <c r="C137" s="11" t="s">
        <v>2</v>
      </c>
      <c r="D137" s="1"/>
      <c r="F137" s="10">
        <v>40360</v>
      </c>
      <c r="G137" s="11">
        <v>30003</v>
      </c>
      <c r="H137" s="11" t="s">
        <v>16</v>
      </c>
      <c r="L137" s="3">
        <v>42339</v>
      </c>
      <c r="M137" s="5"/>
      <c r="N137" s="5"/>
      <c r="O137" s="5">
        <v>41225</v>
      </c>
      <c r="P137" s="5"/>
      <c r="Q137" s="5">
        <v>13629</v>
      </c>
      <c r="R137" s="5">
        <v>54854</v>
      </c>
      <c r="V137" s="3">
        <v>42339</v>
      </c>
      <c r="W137" s="5">
        <v>25037</v>
      </c>
      <c r="X137" s="5">
        <v>29817</v>
      </c>
      <c r="Y137" s="5">
        <v>54854</v>
      </c>
      <c r="AD137" s="3"/>
      <c r="AH137" s="1"/>
    </row>
    <row r="138" spans="1:34" x14ac:dyDescent="0.25">
      <c r="A138" s="10">
        <v>40238</v>
      </c>
      <c r="B138" s="11">
        <v>23378</v>
      </c>
      <c r="C138" s="11" t="s">
        <v>4</v>
      </c>
      <c r="D138" s="1"/>
      <c r="F138" s="10">
        <v>40360</v>
      </c>
      <c r="G138" s="11">
        <v>32621</v>
      </c>
      <c r="H138" s="11" t="s">
        <v>15</v>
      </c>
      <c r="L138" s="3">
        <v>42370</v>
      </c>
      <c r="M138" s="5"/>
      <c r="N138" s="5"/>
      <c r="O138" s="5">
        <v>32905</v>
      </c>
      <c r="P138" s="5"/>
      <c r="Q138" s="5">
        <v>12086</v>
      </c>
      <c r="R138" s="5">
        <v>44991</v>
      </c>
      <c r="V138" s="3">
        <v>42370</v>
      </c>
      <c r="W138" s="5">
        <v>19005</v>
      </c>
      <c r="X138" s="5">
        <v>25986</v>
      </c>
      <c r="Y138" s="5">
        <v>44991</v>
      </c>
      <c r="AD138" s="3"/>
      <c r="AH138" s="1"/>
    </row>
    <row r="139" spans="1:34" x14ac:dyDescent="0.25">
      <c r="A139" s="10">
        <v>40238</v>
      </c>
      <c r="B139" s="11">
        <v>12009</v>
      </c>
      <c r="C139" s="11" t="s">
        <v>5</v>
      </c>
      <c r="D139" s="1"/>
      <c r="F139" s="10">
        <v>40391</v>
      </c>
      <c r="G139" s="11">
        <v>41238</v>
      </c>
      <c r="H139" s="11" t="s">
        <v>15</v>
      </c>
      <c r="L139" s="3">
        <v>42401</v>
      </c>
      <c r="M139" s="5"/>
      <c r="N139" s="5"/>
      <c r="O139" s="5">
        <v>21035</v>
      </c>
      <c r="P139" s="5"/>
      <c r="Q139" s="5">
        <v>7000</v>
      </c>
      <c r="R139" s="5">
        <v>28035</v>
      </c>
      <c r="V139" s="3">
        <v>42401</v>
      </c>
      <c r="W139" s="5">
        <v>12492</v>
      </c>
      <c r="X139" s="5">
        <v>15543</v>
      </c>
      <c r="Y139" s="5">
        <v>28035</v>
      </c>
      <c r="AD139" s="3"/>
      <c r="AH139" s="1"/>
    </row>
    <row r="140" spans="1:34" x14ac:dyDescent="0.25">
      <c r="A140" s="10">
        <v>40238</v>
      </c>
      <c r="B140" s="11">
        <v>40417</v>
      </c>
      <c r="C140" s="11" t="s">
        <v>2</v>
      </c>
      <c r="D140" s="1"/>
      <c r="F140" s="10">
        <v>40391</v>
      </c>
      <c r="G140" s="11">
        <v>32443</v>
      </c>
      <c r="H140" s="11" t="s">
        <v>16</v>
      </c>
      <c r="L140" s="3">
        <v>42430</v>
      </c>
      <c r="M140" s="5"/>
      <c r="N140" s="5"/>
      <c r="O140" s="5">
        <v>1081</v>
      </c>
      <c r="P140" s="5"/>
      <c r="Q140" s="5">
        <v>469</v>
      </c>
      <c r="R140" s="5">
        <v>1550</v>
      </c>
      <c r="V140" s="3">
        <v>42430</v>
      </c>
      <c r="W140" s="5">
        <v>492</v>
      </c>
      <c r="X140" s="5">
        <v>1058</v>
      </c>
      <c r="Y140" s="5">
        <v>1550</v>
      </c>
      <c r="AD140" s="3"/>
      <c r="AH140" s="1"/>
    </row>
    <row r="141" spans="1:34" x14ac:dyDescent="0.25">
      <c r="A141" s="10">
        <v>40269</v>
      </c>
      <c r="B141" s="11">
        <v>16544</v>
      </c>
      <c r="C141" s="11" t="s">
        <v>4</v>
      </c>
      <c r="D141" s="1"/>
      <c r="F141" s="10">
        <v>40422</v>
      </c>
      <c r="G141" s="11">
        <v>19685</v>
      </c>
      <c r="H141" s="11" t="s">
        <v>16</v>
      </c>
      <c r="L141" s="3" t="s">
        <v>9</v>
      </c>
      <c r="M141" s="5">
        <v>897208</v>
      </c>
      <c r="N141" s="5">
        <v>619672</v>
      </c>
      <c r="O141" s="5">
        <v>5932981</v>
      </c>
      <c r="P141" s="5">
        <v>1351386</v>
      </c>
      <c r="Q141" s="5">
        <v>331007</v>
      </c>
      <c r="R141" s="5">
        <v>9132254</v>
      </c>
      <c r="V141" s="3" t="s">
        <v>9</v>
      </c>
      <c r="W141" s="5">
        <v>3266674</v>
      </c>
      <c r="X141" s="5">
        <v>5865580</v>
      </c>
      <c r="Y141" s="5">
        <v>9132254</v>
      </c>
    </row>
    <row r="142" spans="1:34" x14ac:dyDescent="0.25">
      <c r="A142" s="10">
        <v>40269</v>
      </c>
      <c r="B142" s="11">
        <v>7833</v>
      </c>
      <c r="C142" s="11" t="s">
        <v>5</v>
      </c>
      <c r="D142" s="1"/>
      <c r="F142" s="10">
        <v>40422</v>
      </c>
      <c r="G142" s="11">
        <v>52162</v>
      </c>
      <c r="H142" s="11" t="s">
        <v>15</v>
      </c>
    </row>
    <row r="143" spans="1:34" x14ac:dyDescent="0.25">
      <c r="A143" s="10">
        <v>40269</v>
      </c>
      <c r="B143" s="11">
        <v>38919</v>
      </c>
      <c r="C143" s="11" t="s">
        <v>2</v>
      </c>
      <c r="D143" s="1"/>
      <c r="F143" s="10">
        <v>40452</v>
      </c>
      <c r="G143" s="11">
        <v>64623</v>
      </c>
      <c r="H143" s="11" t="s">
        <v>15</v>
      </c>
    </row>
    <row r="144" spans="1:34" x14ac:dyDescent="0.25">
      <c r="A144" s="10">
        <v>40299</v>
      </c>
      <c r="B144" s="11">
        <v>15509</v>
      </c>
      <c r="C144" s="11" t="s">
        <v>4</v>
      </c>
      <c r="D144" s="1"/>
      <c r="F144" s="10">
        <v>40452</v>
      </c>
      <c r="G144" s="11">
        <v>18981</v>
      </c>
      <c r="H144" s="11" t="s">
        <v>16</v>
      </c>
    </row>
    <row r="145" spans="1:8" x14ac:dyDescent="0.25">
      <c r="A145" s="10">
        <v>40299</v>
      </c>
      <c r="B145" s="11">
        <v>9812</v>
      </c>
      <c r="C145" s="11" t="s">
        <v>5</v>
      </c>
      <c r="D145" s="1"/>
      <c r="F145" s="10">
        <v>40483</v>
      </c>
      <c r="G145" s="11">
        <v>16246</v>
      </c>
      <c r="H145" s="11" t="s">
        <v>16</v>
      </c>
    </row>
    <row r="146" spans="1:8" x14ac:dyDescent="0.25">
      <c r="A146" s="10">
        <v>40299</v>
      </c>
      <c r="B146" s="11">
        <v>41253</v>
      </c>
      <c r="C146" s="11" t="s">
        <v>2</v>
      </c>
      <c r="D146" s="1"/>
      <c r="F146" s="10">
        <v>40483</v>
      </c>
      <c r="G146" s="11">
        <v>67903</v>
      </c>
      <c r="H146" s="11" t="s">
        <v>15</v>
      </c>
    </row>
    <row r="147" spans="1:8" x14ac:dyDescent="0.25">
      <c r="A147" s="10">
        <v>40330</v>
      </c>
      <c r="B147" s="11">
        <v>13480</v>
      </c>
      <c r="C147" s="11" t="s">
        <v>4</v>
      </c>
      <c r="D147" s="1"/>
      <c r="F147" s="10">
        <v>40513</v>
      </c>
      <c r="G147" s="11">
        <v>15884</v>
      </c>
      <c r="H147" s="11" t="s">
        <v>16</v>
      </c>
    </row>
    <row r="148" spans="1:8" x14ac:dyDescent="0.25">
      <c r="A148" s="10">
        <v>40330</v>
      </c>
      <c r="B148" s="11">
        <v>9091</v>
      </c>
      <c r="C148" s="11" t="s">
        <v>5</v>
      </c>
      <c r="D148" s="1"/>
      <c r="F148" s="10">
        <v>40513</v>
      </c>
      <c r="G148" s="11">
        <v>76288</v>
      </c>
      <c r="H148" s="11" t="s">
        <v>15</v>
      </c>
    </row>
    <row r="149" spans="1:8" x14ac:dyDescent="0.25">
      <c r="A149" s="10">
        <v>40330</v>
      </c>
      <c r="B149" s="11">
        <v>43330</v>
      </c>
      <c r="C149" s="11" t="s">
        <v>2</v>
      </c>
      <c r="D149" s="1"/>
      <c r="F149" s="10">
        <v>40544</v>
      </c>
      <c r="G149" s="11">
        <v>73623</v>
      </c>
      <c r="H149" s="11" t="s">
        <v>15</v>
      </c>
    </row>
    <row r="150" spans="1:8" x14ac:dyDescent="0.25">
      <c r="A150" s="10">
        <v>40360</v>
      </c>
      <c r="B150" s="11">
        <v>10958</v>
      </c>
      <c r="C150" s="11" t="s">
        <v>4</v>
      </c>
      <c r="D150" s="1"/>
      <c r="F150" s="10">
        <v>40544</v>
      </c>
      <c r="G150" s="11">
        <v>14966</v>
      </c>
      <c r="H150" s="11" t="s">
        <v>16</v>
      </c>
    </row>
    <row r="151" spans="1:8" x14ac:dyDescent="0.25">
      <c r="A151" s="10">
        <v>40360</v>
      </c>
      <c r="B151" s="11">
        <v>7236</v>
      </c>
      <c r="C151" s="11" t="s">
        <v>5</v>
      </c>
      <c r="D151" s="1"/>
      <c r="F151" s="10">
        <v>40575</v>
      </c>
      <c r="G151" s="11">
        <v>18154</v>
      </c>
      <c r="H151" s="11" t="s">
        <v>16</v>
      </c>
    </row>
    <row r="152" spans="1:8" x14ac:dyDescent="0.25">
      <c r="A152" s="10">
        <v>40360</v>
      </c>
      <c r="B152" s="11">
        <v>44430</v>
      </c>
      <c r="C152" s="11" t="s">
        <v>2</v>
      </c>
      <c r="D152" s="1"/>
      <c r="F152" s="10">
        <v>40575</v>
      </c>
      <c r="G152" s="11">
        <v>65712</v>
      </c>
      <c r="H152" s="11" t="s">
        <v>15</v>
      </c>
    </row>
    <row r="153" spans="1:8" x14ac:dyDescent="0.25">
      <c r="A153" s="10">
        <v>40391</v>
      </c>
      <c r="B153" s="11">
        <v>15019</v>
      </c>
      <c r="C153" s="11" t="s">
        <v>4</v>
      </c>
      <c r="D153" s="1"/>
      <c r="F153" s="10">
        <v>40603</v>
      </c>
      <c r="G153" s="11">
        <v>50651</v>
      </c>
      <c r="H153" s="11" t="s">
        <v>15</v>
      </c>
    </row>
    <row r="154" spans="1:8" x14ac:dyDescent="0.25">
      <c r="A154" s="10">
        <v>40391</v>
      </c>
      <c r="B154" s="11">
        <v>11105</v>
      </c>
      <c r="C154" s="11" t="s">
        <v>5</v>
      </c>
      <c r="D154" s="1"/>
      <c r="F154" s="10">
        <v>40603</v>
      </c>
      <c r="G154" s="11">
        <v>13479</v>
      </c>
      <c r="H154" s="11" t="s">
        <v>16</v>
      </c>
    </row>
    <row r="155" spans="1:8" x14ac:dyDescent="0.25">
      <c r="A155" s="10">
        <v>40391</v>
      </c>
      <c r="B155" s="11">
        <v>47557</v>
      </c>
      <c r="C155" s="11" t="s">
        <v>2</v>
      </c>
      <c r="D155" s="1"/>
      <c r="F155" s="10">
        <v>40634</v>
      </c>
      <c r="G155" s="11">
        <v>10320</v>
      </c>
      <c r="H155" s="11" t="s">
        <v>16</v>
      </c>
    </row>
    <row r="156" spans="1:8" x14ac:dyDescent="0.25">
      <c r="A156" s="10">
        <v>40422</v>
      </c>
      <c r="B156" s="11">
        <v>20314</v>
      </c>
      <c r="C156" s="11" t="s">
        <v>4</v>
      </c>
      <c r="D156" s="1"/>
      <c r="F156" s="10">
        <v>40634</v>
      </c>
      <c r="G156" s="11">
        <v>30500</v>
      </c>
      <c r="H156" s="11" t="s">
        <v>15</v>
      </c>
    </row>
    <row r="157" spans="1:8" x14ac:dyDescent="0.25">
      <c r="A157" s="10">
        <v>40422</v>
      </c>
      <c r="B157" s="11">
        <v>15462</v>
      </c>
      <c r="C157" s="11" t="s">
        <v>5</v>
      </c>
      <c r="D157" s="1"/>
      <c r="F157" s="10">
        <v>40664</v>
      </c>
      <c r="G157" s="11">
        <v>25805</v>
      </c>
      <c r="H157" s="11" t="s">
        <v>15</v>
      </c>
    </row>
    <row r="158" spans="1:8" x14ac:dyDescent="0.25">
      <c r="A158" s="10">
        <v>40422</v>
      </c>
      <c r="B158" s="11">
        <v>36071</v>
      </c>
      <c r="C158" s="11" t="s">
        <v>2</v>
      </c>
      <c r="D158" s="1"/>
      <c r="F158" s="10">
        <v>40664</v>
      </c>
      <c r="G158" s="11">
        <v>15961</v>
      </c>
      <c r="H158" s="11" t="s">
        <v>16</v>
      </c>
    </row>
    <row r="159" spans="1:8" x14ac:dyDescent="0.25">
      <c r="A159" s="10">
        <v>40452</v>
      </c>
      <c r="B159" s="11">
        <v>27339</v>
      </c>
      <c r="C159" s="11" t="s">
        <v>4</v>
      </c>
      <c r="D159" s="1"/>
      <c r="F159" s="10">
        <v>40695</v>
      </c>
      <c r="G159" s="11">
        <v>17345</v>
      </c>
      <c r="H159" s="11" t="s">
        <v>16</v>
      </c>
    </row>
    <row r="160" spans="1:8" x14ac:dyDescent="0.25">
      <c r="A160" s="10">
        <v>40452</v>
      </c>
      <c r="B160" s="11">
        <v>18826</v>
      </c>
      <c r="C160" s="11" t="s">
        <v>5</v>
      </c>
      <c r="D160" s="1"/>
      <c r="F160" s="10">
        <v>40695</v>
      </c>
      <c r="G160" s="11">
        <v>22121</v>
      </c>
      <c r="H160" s="11" t="s">
        <v>15</v>
      </c>
    </row>
    <row r="161" spans="1:8" x14ac:dyDescent="0.25">
      <c r="A161" s="10">
        <v>40452</v>
      </c>
      <c r="B161" s="11">
        <v>37439</v>
      </c>
      <c r="C161" s="11" t="s">
        <v>2</v>
      </c>
      <c r="D161" s="1"/>
      <c r="F161" s="10">
        <v>40725</v>
      </c>
      <c r="G161" s="11">
        <v>18824</v>
      </c>
      <c r="H161" s="11" t="s">
        <v>15</v>
      </c>
    </row>
    <row r="162" spans="1:8" x14ac:dyDescent="0.25">
      <c r="A162" s="10">
        <v>40483</v>
      </c>
      <c r="B162" s="11">
        <v>27869</v>
      </c>
      <c r="C162" s="11" t="s">
        <v>4</v>
      </c>
      <c r="D162" s="1"/>
      <c r="F162" s="10">
        <v>40725</v>
      </c>
      <c r="G162" s="11">
        <v>17996</v>
      </c>
      <c r="H162" s="11" t="s">
        <v>16</v>
      </c>
    </row>
    <row r="163" spans="1:8" x14ac:dyDescent="0.25">
      <c r="A163" s="10">
        <v>40483</v>
      </c>
      <c r="B163" s="11">
        <v>22721</v>
      </c>
      <c r="C163" s="11" t="s">
        <v>5</v>
      </c>
      <c r="D163" s="1"/>
      <c r="F163" s="10">
        <v>40756</v>
      </c>
      <c r="G163" s="11">
        <v>24293</v>
      </c>
      <c r="H163" s="11" t="s">
        <v>16</v>
      </c>
    </row>
    <row r="164" spans="1:8" x14ac:dyDescent="0.25">
      <c r="A164" s="10">
        <v>40483</v>
      </c>
      <c r="B164" s="11">
        <v>33559</v>
      </c>
      <c r="C164" s="11" t="s">
        <v>2</v>
      </c>
      <c r="D164" s="1"/>
      <c r="F164" s="10">
        <v>40756</v>
      </c>
      <c r="G164" s="11">
        <v>23650</v>
      </c>
      <c r="H164" s="11" t="s">
        <v>15</v>
      </c>
    </row>
    <row r="165" spans="1:8" x14ac:dyDescent="0.25">
      <c r="A165" s="10">
        <v>40513</v>
      </c>
      <c r="B165" s="11">
        <v>31441</v>
      </c>
      <c r="C165" s="11" t="s">
        <v>4</v>
      </c>
      <c r="D165" s="1"/>
      <c r="F165" s="10">
        <v>40787</v>
      </c>
      <c r="G165" s="11">
        <v>21064</v>
      </c>
      <c r="H165" s="11" t="s">
        <v>16</v>
      </c>
    </row>
    <row r="166" spans="1:8" x14ac:dyDescent="0.25">
      <c r="A166" s="10">
        <v>40513</v>
      </c>
      <c r="B166" s="11">
        <v>25802</v>
      </c>
      <c r="C166" s="11" t="s">
        <v>5</v>
      </c>
      <c r="D166" s="1"/>
      <c r="F166" s="10">
        <v>40787</v>
      </c>
      <c r="G166" s="11">
        <v>24964</v>
      </c>
      <c r="H166" s="11" t="s">
        <v>15</v>
      </c>
    </row>
    <row r="167" spans="1:8" x14ac:dyDescent="0.25">
      <c r="A167" s="10">
        <v>40513</v>
      </c>
      <c r="B167" s="11">
        <v>34929</v>
      </c>
      <c r="C167" s="11" t="s">
        <v>2</v>
      </c>
      <c r="D167" s="1"/>
      <c r="F167" s="10">
        <v>40817</v>
      </c>
      <c r="G167" s="11">
        <v>26275</v>
      </c>
      <c r="H167" s="11" t="s">
        <v>15</v>
      </c>
    </row>
    <row r="168" spans="1:8" x14ac:dyDescent="0.25">
      <c r="A168" s="10">
        <v>40544</v>
      </c>
      <c r="B168" s="11">
        <v>30022</v>
      </c>
      <c r="C168" s="11" t="s">
        <v>4</v>
      </c>
      <c r="D168" s="1"/>
      <c r="F168" s="10">
        <v>40817</v>
      </c>
      <c r="G168" s="11">
        <v>20035</v>
      </c>
      <c r="H168" s="11" t="s">
        <v>16</v>
      </c>
    </row>
    <row r="169" spans="1:8" x14ac:dyDescent="0.25">
      <c r="A169" s="10">
        <v>40544</v>
      </c>
      <c r="B169" s="11">
        <v>25645</v>
      </c>
      <c r="C169" s="11" t="s">
        <v>5</v>
      </c>
      <c r="D169" s="1"/>
      <c r="F169" s="10">
        <v>40848</v>
      </c>
      <c r="G169" s="11">
        <v>16058</v>
      </c>
      <c r="H169" s="11" t="s">
        <v>16</v>
      </c>
    </row>
    <row r="170" spans="1:8" x14ac:dyDescent="0.25">
      <c r="A170" s="10">
        <v>40544</v>
      </c>
      <c r="B170" s="11">
        <v>32922</v>
      </c>
      <c r="C170" s="11" t="s">
        <v>2</v>
      </c>
      <c r="D170" s="1"/>
      <c r="F170" s="10">
        <v>40848</v>
      </c>
      <c r="G170" s="11">
        <v>39802</v>
      </c>
      <c r="H170" s="11" t="s">
        <v>15</v>
      </c>
    </row>
    <row r="171" spans="1:8" x14ac:dyDescent="0.25">
      <c r="A171" s="10">
        <v>40575</v>
      </c>
      <c r="B171" s="11">
        <v>27366</v>
      </c>
      <c r="C171" s="11" t="s">
        <v>4</v>
      </c>
      <c r="D171" s="1"/>
      <c r="F171" s="10">
        <v>40878</v>
      </c>
      <c r="G171" s="11">
        <v>39477</v>
      </c>
      <c r="H171" s="11" t="s">
        <v>15</v>
      </c>
    </row>
    <row r="172" spans="1:8" x14ac:dyDescent="0.25">
      <c r="A172" s="10">
        <v>40575</v>
      </c>
      <c r="B172" s="11">
        <v>19730</v>
      </c>
      <c r="C172" s="11" t="s">
        <v>5</v>
      </c>
      <c r="D172" s="1"/>
      <c r="F172" s="10">
        <v>40878</v>
      </c>
      <c r="G172" s="11">
        <v>11162</v>
      </c>
      <c r="H172" s="11" t="s">
        <v>16</v>
      </c>
    </row>
    <row r="173" spans="1:8" x14ac:dyDescent="0.25">
      <c r="A173" s="10">
        <v>40575</v>
      </c>
      <c r="B173" s="11">
        <v>36770</v>
      </c>
      <c r="C173" s="11" t="s">
        <v>2</v>
      </c>
      <c r="D173" s="1"/>
      <c r="F173" s="10">
        <v>40909</v>
      </c>
      <c r="G173" s="11">
        <v>10929</v>
      </c>
      <c r="H173" s="11" t="s">
        <v>16</v>
      </c>
    </row>
    <row r="174" spans="1:8" x14ac:dyDescent="0.25">
      <c r="A174" s="10">
        <v>40603</v>
      </c>
      <c r="B174" s="11">
        <v>17841</v>
      </c>
      <c r="C174" s="11" t="s">
        <v>4</v>
      </c>
      <c r="D174" s="1"/>
      <c r="F174" s="10">
        <v>40909</v>
      </c>
      <c r="G174" s="11">
        <v>42170</v>
      </c>
      <c r="H174" s="11" t="s">
        <v>15</v>
      </c>
    </row>
    <row r="175" spans="1:8" x14ac:dyDescent="0.25">
      <c r="A175" s="10">
        <v>40603</v>
      </c>
      <c r="B175" s="11">
        <v>16913</v>
      </c>
      <c r="C175" s="11" t="s">
        <v>5</v>
      </c>
      <c r="D175" s="1"/>
      <c r="F175" s="10">
        <v>40940</v>
      </c>
      <c r="G175" s="11">
        <v>44652</v>
      </c>
      <c r="H175" s="11" t="s">
        <v>15</v>
      </c>
    </row>
    <row r="176" spans="1:8" x14ac:dyDescent="0.25">
      <c r="A176" s="10">
        <v>40603</v>
      </c>
      <c r="B176" s="11">
        <v>29376</v>
      </c>
      <c r="C176" s="11" t="s">
        <v>2</v>
      </c>
      <c r="D176" s="1"/>
      <c r="F176" s="10">
        <v>40940</v>
      </c>
      <c r="G176" s="11">
        <v>13258</v>
      </c>
      <c r="H176" s="11" t="s">
        <v>16</v>
      </c>
    </row>
    <row r="177" spans="1:8" x14ac:dyDescent="0.25">
      <c r="A177" s="10">
        <v>40634</v>
      </c>
      <c r="B177" s="11">
        <v>9794</v>
      </c>
      <c r="C177" s="11" t="s">
        <v>4</v>
      </c>
      <c r="D177" s="1"/>
      <c r="F177" s="10">
        <v>40969</v>
      </c>
      <c r="G177" s="11">
        <v>8189</v>
      </c>
      <c r="H177" s="11" t="s">
        <v>16</v>
      </c>
    </row>
    <row r="178" spans="1:8" x14ac:dyDescent="0.25">
      <c r="A178" s="10">
        <v>40634</v>
      </c>
      <c r="B178" s="11">
        <v>10499</v>
      </c>
      <c r="C178" s="11" t="s">
        <v>5</v>
      </c>
      <c r="D178" s="1"/>
      <c r="F178" s="10">
        <v>40969</v>
      </c>
      <c r="G178" s="11">
        <v>39231</v>
      </c>
      <c r="H178" s="11" t="s">
        <v>15</v>
      </c>
    </row>
    <row r="179" spans="1:8" x14ac:dyDescent="0.25">
      <c r="A179" s="10">
        <v>40634</v>
      </c>
      <c r="B179" s="11">
        <v>20527</v>
      </c>
      <c r="C179" s="11" t="s">
        <v>2</v>
      </c>
      <c r="D179" s="1"/>
      <c r="F179" s="10">
        <v>41000</v>
      </c>
      <c r="G179" s="11">
        <v>38016</v>
      </c>
      <c r="H179" s="11" t="s">
        <v>15</v>
      </c>
    </row>
    <row r="180" spans="1:8" x14ac:dyDescent="0.25">
      <c r="A180" s="10">
        <v>40664</v>
      </c>
      <c r="B180" s="11">
        <v>8482</v>
      </c>
      <c r="C180" s="11" t="s">
        <v>4</v>
      </c>
      <c r="D180" s="1"/>
      <c r="F180" s="10">
        <v>41000</v>
      </c>
      <c r="G180" s="11">
        <v>8104</v>
      </c>
      <c r="H180" s="11" t="s">
        <v>16</v>
      </c>
    </row>
    <row r="181" spans="1:8" x14ac:dyDescent="0.25">
      <c r="A181" s="10">
        <v>40664</v>
      </c>
      <c r="B181" s="11">
        <v>7066</v>
      </c>
      <c r="C181" s="11" t="s">
        <v>5</v>
      </c>
      <c r="D181" s="1"/>
      <c r="F181" s="10">
        <v>41030</v>
      </c>
      <c r="G181" s="11">
        <v>10581</v>
      </c>
      <c r="H181" s="11" t="s">
        <v>16</v>
      </c>
    </row>
    <row r="182" spans="1:8" x14ac:dyDescent="0.25">
      <c r="A182" s="10">
        <v>40664</v>
      </c>
      <c r="B182" s="11">
        <v>26218</v>
      </c>
      <c r="C182" s="11" t="s">
        <v>2</v>
      </c>
      <c r="D182" s="1"/>
      <c r="F182" s="10">
        <v>41030</v>
      </c>
      <c r="G182" s="11">
        <v>37464</v>
      </c>
      <c r="H182" s="11" t="s">
        <v>15</v>
      </c>
    </row>
    <row r="183" spans="1:8" x14ac:dyDescent="0.25">
      <c r="A183" s="10">
        <v>40695</v>
      </c>
      <c r="B183" s="11">
        <v>6686</v>
      </c>
      <c r="C183" s="11" t="s">
        <v>4</v>
      </c>
      <c r="D183" s="1"/>
      <c r="F183" s="10">
        <v>41061</v>
      </c>
      <c r="G183" s="11">
        <v>33026</v>
      </c>
      <c r="H183" s="11" t="s">
        <v>15</v>
      </c>
    </row>
    <row r="184" spans="1:8" x14ac:dyDescent="0.25">
      <c r="A184" s="10">
        <v>40695</v>
      </c>
      <c r="B184" s="11">
        <v>6830</v>
      </c>
      <c r="C184" s="11" t="s">
        <v>5</v>
      </c>
      <c r="D184" s="1"/>
      <c r="F184" s="10">
        <v>41061</v>
      </c>
      <c r="G184" s="11">
        <v>15774</v>
      </c>
      <c r="H184" s="11" t="s">
        <v>16</v>
      </c>
    </row>
    <row r="185" spans="1:8" x14ac:dyDescent="0.25">
      <c r="A185" s="10">
        <v>40695</v>
      </c>
      <c r="B185" s="11">
        <v>25950</v>
      </c>
      <c r="C185" s="11" t="s">
        <v>2</v>
      </c>
      <c r="D185" s="1"/>
      <c r="F185" s="10">
        <v>41091</v>
      </c>
      <c r="G185" s="11">
        <v>21378</v>
      </c>
      <c r="H185" s="11" t="s">
        <v>16</v>
      </c>
    </row>
    <row r="186" spans="1:8" x14ac:dyDescent="0.25">
      <c r="A186" s="10">
        <v>40725</v>
      </c>
      <c r="B186" s="11">
        <v>5503</v>
      </c>
      <c r="C186" s="11" t="s">
        <v>4</v>
      </c>
      <c r="D186" s="1"/>
      <c r="F186" s="10">
        <v>41091</v>
      </c>
      <c r="G186" s="11">
        <v>36057</v>
      </c>
      <c r="H186" s="11" t="s">
        <v>15</v>
      </c>
    </row>
    <row r="187" spans="1:8" x14ac:dyDescent="0.25">
      <c r="A187" s="10">
        <v>40725</v>
      </c>
      <c r="B187" s="11">
        <v>5521</v>
      </c>
      <c r="C187" s="11" t="s">
        <v>5</v>
      </c>
      <c r="D187" s="1"/>
      <c r="F187" s="10">
        <v>41122</v>
      </c>
      <c r="G187" s="11">
        <v>36003</v>
      </c>
      <c r="H187" s="11" t="s">
        <v>15</v>
      </c>
    </row>
    <row r="188" spans="1:8" x14ac:dyDescent="0.25">
      <c r="A188" s="10">
        <v>40725</v>
      </c>
      <c r="B188" s="11">
        <v>25796</v>
      </c>
      <c r="C188" s="11" t="s">
        <v>2</v>
      </c>
      <c r="D188" s="1"/>
      <c r="F188" s="10">
        <v>41122</v>
      </c>
      <c r="G188" s="11">
        <v>19470</v>
      </c>
      <c r="H188" s="11" t="s">
        <v>16</v>
      </c>
    </row>
    <row r="189" spans="1:8" x14ac:dyDescent="0.25">
      <c r="A189" s="10">
        <v>40756</v>
      </c>
      <c r="B189" s="11">
        <v>7858</v>
      </c>
      <c r="C189" s="11" t="s">
        <v>4</v>
      </c>
      <c r="D189" s="1"/>
      <c r="F189" s="10">
        <v>41153</v>
      </c>
      <c r="G189" s="11">
        <v>43995</v>
      </c>
      <c r="H189" s="11" t="s">
        <v>15</v>
      </c>
    </row>
    <row r="190" spans="1:8" x14ac:dyDescent="0.25">
      <c r="A190" s="10">
        <v>40756</v>
      </c>
      <c r="B190" s="11">
        <v>6205</v>
      </c>
      <c r="C190" s="11" t="s">
        <v>5</v>
      </c>
      <c r="D190" s="1"/>
      <c r="F190" s="10">
        <v>41153</v>
      </c>
      <c r="G190" s="11">
        <v>19627</v>
      </c>
      <c r="H190" s="11" t="s">
        <v>16</v>
      </c>
    </row>
    <row r="191" spans="1:8" x14ac:dyDescent="0.25">
      <c r="A191" s="10">
        <v>40756</v>
      </c>
      <c r="B191" s="11">
        <v>33880</v>
      </c>
      <c r="C191" s="11" t="s">
        <v>2</v>
      </c>
      <c r="D191" s="1"/>
      <c r="F191" s="10">
        <v>41183</v>
      </c>
      <c r="G191" s="11">
        <v>21150</v>
      </c>
      <c r="H191" s="11" t="s">
        <v>16</v>
      </c>
    </row>
    <row r="192" spans="1:8" x14ac:dyDescent="0.25">
      <c r="A192" s="10">
        <v>40787</v>
      </c>
      <c r="B192" s="11">
        <v>8641</v>
      </c>
      <c r="C192" s="11" t="s">
        <v>4</v>
      </c>
      <c r="D192" s="1"/>
      <c r="F192" s="10">
        <v>41183</v>
      </c>
      <c r="G192" s="11">
        <v>54695</v>
      </c>
      <c r="H192" s="11" t="s">
        <v>15</v>
      </c>
    </row>
    <row r="193" spans="1:8" x14ac:dyDescent="0.25">
      <c r="A193" s="10">
        <v>40787</v>
      </c>
      <c r="B193" s="11">
        <v>7401</v>
      </c>
      <c r="C193" s="11" t="s">
        <v>5</v>
      </c>
      <c r="D193" s="1"/>
      <c r="F193" s="10">
        <v>41214</v>
      </c>
      <c r="G193" s="11">
        <v>21835</v>
      </c>
      <c r="H193" s="11" t="s">
        <v>16</v>
      </c>
    </row>
    <row r="194" spans="1:8" x14ac:dyDescent="0.25">
      <c r="A194" s="10">
        <v>40787</v>
      </c>
      <c r="B194" s="11">
        <v>29986</v>
      </c>
      <c r="C194" s="11" t="s">
        <v>2</v>
      </c>
      <c r="D194" s="1"/>
      <c r="F194" s="10">
        <v>41214</v>
      </c>
      <c r="G194" s="11">
        <v>64599</v>
      </c>
      <c r="H194" s="11" t="s">
        <v>15</v>
      </c>
    </row>
    <row r="195" spans="1:8" x14ac:dyDescent="0.25">
      <c r="A195" s="10">
        <v>40817</v>
      </c>
      <c r="B195" s="11">
        <v>10030</v>
      </c>
      <c r="C195" s="11" t="s">
        <v>4</v>
      </c>
      <c r="D195" s="1"/>
      <c r="F195" s="10">
        <v>41244</v>
      </c>
      <c r="G195" s="11">
        <v>20521</v>
      </c>
      <c r="H195" s="11" t="s">
        <v>16</v>
      </c>
    </row>
    <row r="196" spans="1:8" x14ac:dyDescent="0.25">
      <c r="A196" s="10">
        <v>40817</v>
      </c>
      <c r="B196" s="11">
        <v>7168</v>
      </c>
      <c r="C196" s="11" t="s">
        <v>5</v>
      </c>
      <c r="D196" s="1"/>
      <c r="F196" s="10">
        <v>41244</v>
      </c>
      <c r="G196" s="11">
        <v>66930</v>
      </c>
      <c r="H196" s="11" t="s">
        <v>15</v>
      </c>
    </row>
    <row r="197" spans="1:8" x14ac:dyDescent="0.25">
      <c r="A197" s="10">
        <v>40817</v>
      </c>
      <c r="B197" s="11">
        <v>29112</v>
      </c>
      <c r="C197" s="11" t="s">
        <v>2</v>
      </c>
      <c r="D197" s="1"/>
      <c r="F197" s="10">
        <v>41275</v>
      </c>
      <c r="G197" s="11">
        <v>58458</v>
      </c>
      <c r="H197" s="11" t="s">
        <v>15</v>
      </c>
    </row>
    <row r="198" spans="1:8" x14ac:dyDescent="0.25">
      <c r="A198" s="10">
        <v>40848</v>
      </c>
      <c r="B198" s="11">
        <v>20146</v>
      </c>
      <c r="C198" s="11" t="s">
        <v>4</v>
      </c>
      <c r="D198" s="1"/>
      <c r="F198" s="10">
        <v>41275</v>
      </c>
      <c r="G198" s="11">
        <v>15691</v>
      </c>
      <c r="H198" s="11" t="s">
        <v>16</v>
      </c>
    </row>
    <row r="199" spans="1:8" x14ac:dyDescent="0.25">
      <c r="A199" s="10">
        <v>40848</v>
      </c>
      <c r="B199" s="11">
        <v>9500</v>
      </c>
      <c r="C199" s="11" t="s">
        <v>5</v>
      </c>
      <c r="D199" s="1"/>
      <c r="F199" s="10">
        <v>41306</v>
      </c>
      <c r="G199" s="11">
        <v>64955</v>
      </c>
      <c r="H199" s="11" t="s">
        <v>15</v>
      </c>
    </row>
    <row r="200" spans="1:8" x14ac:dyDescent="0.25">
      <c r="A200" s="10">
        <v>40848</v>
      </c>
      <c r="B200" s="11">
        <v>26214</v>
      </c>
      <c r="C200" s="11" t="s">
        <v>2</v>
      </c>
      <c r="D200" s="1"/>
      <c r="F200" s="10">
        <v>41306</v>
      </c>
      <c r="G200" s="11">
        <v>17055</v>
      </c>
      <c r="H200" s="11" t="s">
        <v>16</v>
      </c>
    </row>
    <row r="201" spans="1:8" x14ac:dyDescent="0.25">
      <c r="A201" s="10">
        <v>40878</v>
      </c>
      <c r="B201" s="11">
        <v>19678</v>
      </c>
      <c r="C201" s="11" t="s">
        <v>4</v>
      </c>
      <c r="D201" s="1"/>
      <c r="F201" s="10">
        <v>41334</v>
      </c>
      <c r="G201" s="11">
        <v>15699</v>
      </c>
      <c r="H201" s="11" t="s">
        <v>16</v>
      </c>
    </row>
    <row r="202" spans="1:8" x14ac:dyDescent="0.25">
      <c r="A202" s="10">
        <v>40878</v>
      </c>
      <c r="B202" s="11">
        <v>10752</v>
      </c>
      <c r="C202" s="11" t="s">
        <v>5</v>
      </c>
      <c r="D202" s="1"/>
      <c r="F202" s="10">
        <v>41334</v>
      </c>
      <c r="G202" s="11">
        <v>71099</v>
      </c>
      <c r="H202" s="11" t="s">
        <v>15</v>
      </c>
    </row>
    <row r="203" spans="1:8" x14ac:dyDescent="0.25">
      <c r="A203" s="10">
        <v>40878</v>
      </c>
      <c r="B203" s="11">
        <v>20209</v>
      </c>
      <c r="C203" s="11" t="s">
        <v>2</v>
      </c>
      <c r="D203" s="1"/>
      <c r="F203" s="10">
        <v>41365</v>
      </c>
      <c r="G203" s="11">
        <v>66340</v>
      </c>
      <c r="H203" s="11" t="s">
        <v>15</v>
      </c>
    </row>
    <row r="204" spans="1:8" x14ac:dyDescent="0.25">
      <c r="A204" s="10">
        <v>40909</v>
      </c>
      <c r="B204" s="11">
        <v>20375</v>
      </c>
      <c r="C204" s="11" t="s">
        <v>4</v>
      </c>
      <c r="D204" s="1"/>
      <c r="F204" s="10">
        <v>41365</v>
      </c>
      <c r="G204" s="11">
        <v>18524</v>
      </c>
      <c r="H204" s="11" t="s">
        <v>16</v>
      </c>
    </row>
    <row r="205" spans="1:8" x14ac:dyDescent="0.25">
      <c r="A205" s="10">
        <v>40909</v>
      </c>
      <c r="B205" s="11">
        <v>11894</v>
      </c>
      <c r="C205" s="11" t="s">
        <v>5</v>
      </c>
      <c r="D205" s="1"/>
      <c r="F205" s="10">
        <v>41395</v>
      </c>
      <c r="G205" s="11">
        <v>20540</v>
      </c>
      <c r="H205" s="11" t="s">
        <v>16</v>
      </c>
    </row>
    <row r="206" spans="1:8" x14ac:dyDescent="0.25">
      <c r="A206" s="10">
        <v>40909</v>
      </c>
      <c r="B206" s="11">
        <v>20830</v>
      </c>
      <c r="C206" s="11" t="s">
        <v>2</v>
      </c>
      <c r="D206" s="1"/>
      <c r="F206" s="10">
        <v>41395</v>
      </c>
      <c r="G206" s="11">
        <v>56011</v>
      </c>
      <c r="H206" s="11" t="s">
        <v>15</v>
      </c>
    </row>
    <row r="207" spans="1:8" x14ac:dyDescent="0.25">
      <c r="A207" s="10">
        <v>40940</v>
      </c>
      <c r="B207" s="11">
        <v>22872</v>
      </c>
      <c r="C207" s="11" t="s">
        <v>4</v>
      </c>
      <c r="D207" s="1"/>
      <c r="F207" s="10">
        <v>41426</v>
      </c>
      <c r="G207" s="11">
        <v>21247</v>
      </c>
      <c r="H207" s="11" t="s">
        <v>16</v>
      </c>
    </row>
    <row r="208" spans="1:8" x14ac:dyDescent="0.25">
      <c r="A208" s="10">
        <v>40940</v>
      </c>
      <c r="B208" s="11">
        <v>9686</v>
      </c>
      <c r="C208" s="11" t="s">
        <v>5</v>
      </c>
      <c r="D208" s="1"/>
      <c r="F208" s="10">
        <v>41426</v>
      </c>
      <c r="G208" s="11">
        <v>49949</v>
      </c>
      <c r="H208" s="11" t="s">
        <v>15</v>
      </c>
    </row>
    <row r="209" spans="1:8" x14ac:dyDescent="0.25">
      <c r="A209" s="10">
        <v>40940</v>
      </c>
      <c r="B209" s="11">
        <v>25352</v>
      </c>
      <c r="C209" s="11" t="s">
        <v>2</v>
      </c>
      <c r="D209" s="1"/>
      <c r="F209" s="10">
        <v>41456</v>
      </c>
      <c r="G209" s="11">
        <v>57445</v>
      </c>
      <c r="H209" s="11" t="s">
        <v>15</v>
      </c>
    </row>
    <row r="210" spans="1:8" x14ac:dyDescent="0.25">
      <c r="A210" s="10">
        <v>40969</v>
      </c>
      <c r="B210" s="11">
        <v>20228</v>
      </c>
      <c r="C210" s="11" t="s">
        <v>4</v>
      </c>
      <c r="D210" s="1"/>
      <c r="F210" s="10">
        <v>41456</v>
      </c>
      <c r="G210" s="11">
        <v>28371</v>
      </c>
      <c r="H210" s="11" t="s">
        <v>16</v>
      </c>
    </row>
    <row r="211" spans="1:8" x14ac:dyDescent="0.25">
      <c r="A211" s="10">
        <v>40969</v>
      </c>
      <c r="B211" s="11">
        <v>9403</v>
      </c>
      <c r="C211" s="11" t="s">
        <v>5</v>
      </c>
      <c r="D211" s="1"/>
      <c r="F211" s="10">
        <v>41487</v>
      </c>
      <c r="G211" s="11">
        <v>28575</v>
      </c>
      <c r="H211" s="11" t="s">
        <v>16</v>
      </c>
    </row>
    <row r="212" spans="1:8" x14ac:dyDescent="0.25">
      <c r="A212" s="10">
        <v>40969</v>
      </c>
      <c r="B212" s="11">
        <v>17789</v>
      </c>
      <c r="C212" s="11" t="s">
        <v>2</v>
      </c>
      <c r="D212" s="1"/>
      <c r="F212" s="10">
        <v>41487</v>
      </c>
      <c r="G212" s="11">
        <v>49603</v>
      </c>
      <c r="H212" s="11" t="s">
        <v>15</v>
      </c>
    </row>
    <row r="213" spans="1:8" x14ac:dyDescent="0.25">
      <c r="A213" s="10">
        <v>41000</v>
      </c>
      <c r="B213" s="11">
        <v>19916</v>
      </c>
      <c r="C213" s="11" t="s">
        <v>4</v>
      </c>
      <c r="D213" s="1"/>
      <c r="F213" s="10">
        <v>41518</v>
      </c>
      <c r="G213" s="11">
        <v>26523</v>
      </c>
      <c r="H213" s="11" t="s">
        <v>16</v>
      </c>
    </row>
    <row r="214" spans="1:8" x14ac:dyDescent="0.25">
      <c r="A214" s="10">
        <v>41000</v>
      </c>
      <c r="B214" s="11">
        <v>9341</v>
      </c>
      <c r="C214" s="11" t="s">
        <v>5</v>
      </c>
      <c r="D214" s="1"/>
      <c r="F214" s="10">
        <v>41518</v>
      </c>
      <c r="G214" s="11">
        <v>38828</v>
      </c>
      <c r="H214" s="11" t="s">
        <v>15</v>
      </c>
    </row>
    <row r="215" spans="1:8" x14ac:dyDescent="0.25">
      <c r="A215" s="10">
        <v>41000</v>
      </c>
      <c r="B215" s="11">
        <v>16863</v>
      </c>
      <c r="C215" s="11" t="s">
        <v>2</v>
      </c>
      <c r="D215" s="1"/>
      <c r="F215" s="10">
        <v>41548</v>
      </c>
      <c r="G215" s="11">
        <v>26886</v>
      </c>
      <c r="H215" s="11" t="s">
        <v>15</v>
      </c>
    </row>
    <row r="216" spans="1:8" x14ac:dyDescent="0.25">
      <c r="A216" s="10">
        <v>41030</v>
      </c>
      <c r="B216" s="11">
        <v>19466</v>
      </c>
      <c r="C216" s="11" t="s">
        <v>4</v>
      </c>
      <c r="D216" s="1"/>
      <c r="F216" s="10">
        <v>41548</v>
      </c>
      <c r="G216" s="11">
        <v>24283</v>
      </c>
      <c r="H216" s="11" t="s">
        <v>16</v>
      </c>
    </row>
    <row r="217" spans="1:8" x14ac:dyDescent="0.25">
      <c r="A217" s="10">
        <v>41030</v>
      </c>
      <c r="B217" s="11">
        <v>8758</v>
      </c>
      <c r="C217" s="11" t="s">
        <v>5</v>
      </c>
      <c r="D217" s="1"/>
      <c r="F217" s="10">
        <v>41579</v>
      </c>
      <c r="G217" s="11">
        <v>20370</v>
      </c>
      <c r="H217" s="11" t="s">
        <v>16</v>
      </c>
    </row>
    <row r="218" spans="1:8" x14ac:dyDescent="0.25">
      <c r="A218" s="10">
        <v>41030</v>
      </c>
      <c r="B218" s="11">
        <v>19821</v>
      </c>
      <c r="C218" s="11" t="s">
        <v>2</v>
      </c>
      <c r="D218" s="1"/>
      <c r="F218" s="10">
        <v>41579</v>
      </c>
      <c r="G218" s="11">
        <v>20443</v>
      </c>
      <c r="H218" s="11" t="s">
        <v>15</v>
      </c>
    </row>
    <row r="219" spans="1:8" x14ac:dyDescent="0.25">
      <c r="A219" s="10">
        <v>41061</v>
      </c>
      <c r="B219" s="11">
        <v>16302</v>
      </c>
      <c r="C219" s="11" t="s">
        <v>4</v>
      </c>
      <c r="D219" s="1"/>
      <c r="F219" s="10">
        <v>41609</v>
      </c>
      <c r="G219" s="11">
        <v>22878</v>
      </c>
      <c r="H219" s="11" t="s">
        <v>16</v>
      </c>
    </row>
    <row r="220" spans="1:8" x14ac:dyDescent="0.25">
      <c r="A220" s="10">
        <v>41061</v>
      </c>
      <c r="B220" s="11">
        <v>7590</v>
      </c>
      <c r="C220" s="11" t="s">
        <v>5</v>
      </c>
      <c r="D220" s="1"/>
      <c r="F220" s="10">
        <v>41609</v>
      </c>
      <c r="G220" s="11">
        <v>20950</v>
      </c>
      <c r="H220" s="11" t="s">
        <v>15</v>
      </c>
    </row>
    <row r="221" spans="1:8" x14ac:dyDescent="0.25">
      <c r="A221" s="10">
        <v>41061</v>
      </c>
      <c r="B221" s="11">
        <v>24908</v>
      </c>
      <c r="C221" s="11" t="s">
        <v>2</v>
      </c>
      <c r="D221" s="1"/>
      <c r="F221" s="10">
        <v>41640</v>
      </c>
      <c r="G221" s="11">
        <v>22294</v>
      </c>
      <c r="H221" s="11" t="s">
        <v>15</v>
      </c>
    </row>
    <row r="222" spans="1:8" x14ac:dyDescent="0.25">
      <c r="A222" s="10">
        <v>41091</v>
      </c>
      <c r="B222" s="11">
        <v>18225</v>
      </c>
      <c r="C222" s="11" t="s">
        <v>4</v>
      </c>
      <c r="D222" s="1"/>
      <c r="F222" s="10">
        <v>41640</v>
      </c>
      <c r="G222" s="11">
        <v>22177</v>
      </c>
      <c r="H222" s="11" t="s">
        <v>16</v>
      </c>
    </row>
    <row r="223" spans="1:8" x14ac:dyDescent="0.25">
      <c r="A223" s="10">
        <v>41091</v>
      </c>
      <c r="B223" s="11">
        <v>7435</v>
      </c>
      <c r="C223" s="11" t="s">
        <v>5</v>
      </c>
      <c r="D223" s="1"/>
      <c r="F223" s="10">
        <v>41671</v>
      </c>
      <c r="G223" s="11">
        <v>23120</v>
      </c>
      <c r="H223" s="11" t="s">
        <v>16</v>
      </c>
    </row>
    <row r="224" spans="1:8" x14ac:dyDescent="0.25">
      <c r="A224" s="10">
        <v>41091</v>
      </c>
      <c r="B224" s="11">
        <v>31775</v>
      </c>
      <c r="C224" s="11" t="s">
        <v>2</v>
      </c>
      <c r="D224" s="1"/>
      <c r="F224" s="10">
        <v>41671</v>
      </c>
      <c r="G224" s="11">
        <v>22659</v>
      </c>
      <c r="H224" s="11" t="s">
        <v>15</v>
      </c>
    </row>
    <row r="225" spans="1:8" x14ac:dyDescent="0.25">
      <c r="A225" s="10">
        <v>41122</v>
      </c>
      <c r="B225" s="11">
        <v>18362</v>
      </c>
      <c r="C225" s="11" t="s">
        <v>4</v>
      </c>
      <c r="D225" s="1"/>
      <c r="F225" s="10">
        <v>41699</v>
      </c>
      <c r="G225" s="11">
        <v>15338</v>
      </c>
      <c r="H225" s="11" t="s">
        <v>16</v>
      </c>
    </row>
    <row r="226" spans="1:8" x14ac:dyDescent="0.25">
      <c r="A226" s="10">
        <v>41122</v>
      </c>
      <c r="B226" s="11">
        <v>7800</v>
      </c>
      <c r="C226" s="11" t="s">
        <v>5</v>
      </c>
      <c r="D226" s="1"/>
      <c r="F226" s="10">
        <v>41699</v>
      </c>
      <c r="G226" s="11">
        <v>16538</v>
      </c>
      <c r="H226" s="11" t="s">
        <v>15</v>
      </c>
    </row>
    <row r="227" spans="1:8" x14ac:dyDescent="0.25">
      <c r="A227" s="10">
        <v>41122</v>
      </c>
      <c r="B227" s="11">
        <v>29311</v>
      </c>
      <c r="C227" s="11" t="s">
        <v>2</v>
      </c>
      <c r="D227" s="1"/>
      <c r="F227" s="10">
        <v>41730</v>
      </c>
      <c r="G227" s="11">
        <v>16341</v>
      </c>
      <c r="H227" s="11" t="s">
        <v>16</v>
      </c>
    </row>
    <row r="228" spans="1:8" x14ac:dyDescent="0.25">
      <c r="A228" s="10">
        <v>41153</v>
      </c>
      <c r="B228" s="11">
        <v>22142</v>
      </c>
      <c r="C228" s="11" t="s">
        <v>4</v>
      </c>
      <c r="D228" s="1"/>
      <c r="F228" s="10">
        <v>41730</v>
      </c>
      <c r="G228" s="11">
        <v>15114</v>
      </c>
      <c r="H228" s="11" t="s">
        <v>15</v>
      </c>
    </row>
    <row r="229" spans="1:8" x14ac:dyDescent="0.25">
      <c r="A229" s="10">
        <v>41153</v>
      </c>
      <c r="B229" s="11">
        <v>9870</v>
      </c>
      <c r="C229" s="11" t="s">
        <v>5</v>
      </c>
      <c r="D229" s="1"/>
      <c r="F229" s="10">
        <v>41760</v>
      </c>
      <c r="G229" s="11">
        <v>18555</v>
      </c>
      <c r="H229" s="11" t="s">
        <v>15</v>
      </c>
    </row>
    <row r="230" spans="1:8" x14ac:dyDescent="0.25">
      <c r="A230" s="10">
        <v>41153</v>
      </c>
      <c r="B230" s="11">
        <v>31610</v>
      </c>
      <c r="C230" s="11" t="s">
        <v>2</v>
      </c>
      <c r="D230" s="1"/>
      <c r="F230" s="10">
        <v>41760</v>
      </c>
      <c r="G230" s="11">
        <v>21787</v>
      </c>
      <c r="H230" s="11" t="s">
        <v>16</v>
      </c>
    </row>
    <row r="231" spans="1:8" x14ac:dyDescent="0.25">
      <c r="A231" s="10">
        <v>41183</v>
      </c>
      <c r="B231" s="11">
        <v>29310</v>
      </c>
      <c r="C231" s="11" t="s">
        <v>4</v>
      </c>
      <c r="D231" s="1"/>
      <c r="F231" s="10">
        <v>41791</v>
      </c>
      <c r="G231" s="11">
        <v>18408</v>
      </c>
      <c r="H231" s="11" t="s">
        <v>15</v>
      </c>
    </row>
    <row r="232" spans="1:8" x14ac:dyDescent="0.25">
      <c r="A232" s="10">
        <v>41183</v>
      </c>
      <c r="B232" s="11">
        <v>10684</v>
      </c>
      <c r="C232" s="11" t="s">
        <v>5</v>
      </c>
      <c r="D232" s="1"/>
      <c r="F232" s="10">
        <v>41791</v>
      </c>
      <c r="G232" s="11">
        <v>22960</v>
      </c>
      <c r="H232" s="11" t="s">
        <v>16</v>
      </c>
    </row>
    <row r="233" spans="1:8" x14ac:dyDescent="0.25">
      <c r="A233" s="10">
        <v>41183</v>
      </c>
      <c r="B233" s="11">
        <v>35851</v>
      </c>
      <c r="C233" s="11" t="s">
        <v>2</v>
      </c>
      <c r="D233" s="1"/>
      <c r="F233" s="10">
        <v>41821</v>
      </c>
      <c r="G233" s="11">
        <v>17628</v>
      </c>
      <c r="H233" s="11" t="s">
        <v>15</v>
      </c>
    </row>
    <row r="234" spans="1:8" x14ac:dyDescent="0.25">
      <c r="A234" s="10">
        <v>41214</v>
      </c>
      <c r="B234" s="11">
        <v>34631</v>
      </c>
      <c r="C234" s="11" t="s">
        <v>4</v>
      </c>
      <c r="D234" s="1"/>
      <c r="F234" s="10">
        <v>41821</v>
      </c>
      <c r="G234" s="11">
        <v>26041</v>
      </c>
      <c r="H234" s="11" t="s">
        <v>16</v>
      </c>
    </row>
    <row r="235" spans="1:8" x14ac:dyDescent="0.25">
      <c r="A235" s="10">
        <v>41214</v>
      </c>
      <c r="B235" s="11">
        <v>12836</v>
      </c>
      <c r="C235" s="11" t="s">
        <v>5</v>
      </c>
      <c r="D235" s="1"/>
      <c r="F235" s="10">
        <v>41852</v>
      </c>
      <c r="G235" s="11">
        <v>21496</v>
      </c>
      <c r="H235" s="11" t="s">
        <v>15</v>
      </c>
    </row>
    <row r="236" spans="1:8" x14ac:dyDescent="0.25">
      <c r="A236" s="10">
        <v>41214</v>
      </c>
      <c r="B236" s="11">
        <v>38967</v>
      </c>
      <c r="C236" s="11" t="s">
        <v>2</v>
      </c>
      <c r="D236" s="1"/>
      <c r="F236" s="10">
        <v>41852</v>
      </c>
      <c r="G236" s="11">
        <v>30810</v>
      </c>
      <c r="H236" s="11" t="s">
        <v>16</v>
      </c>
    </row>
    <row r="237" spans="1:8" x14ac:dyDescent="0.25">
      <c r="A237" s="10">
        <v>41244</v>
      </c>
      <c r="B237" s="11">
        <v>34797</v>
      </c>
      <c r="C237" s="11" t="s">
        <v>4</v>
      </c>
      <c r="D237" s="1"/>
      <c r="F237" s="10">
        <v>41883</v>
      </c>
      <c r="G237" s="11">
        <v>23073</v>
      </c>
      <c r="H237" s="11" t="s">
        <v>15</v>
      </c>
    </row>
    <row r="238" spans="1:8" x14ac:dyDescent="0.25">
      <c r="A238" s="10">
        <v>41244</v>
      </c>
      <c r="B238" s="11">
        <v>13536</v>
      </c>
      <c r="C238" s="11" t="s">
        <v>5</v>
      </c>
      <c r="D238" s="1"/>
      <c r="F238" s="10">
        <v>41883</v>
      </c>
      <c r="G238" s="11">
        <v>31521</v>
      </c>
      <c r="H238" s="11" t="s">
        <v>16</v>
      </c>
    </row>
    <row r="239" spans="1:8" x14ac:dyDescent="0.25">
      <c r="A239" s="10">
        <v>41244</v>
      </c>
      <c r="B239" s="11">
        <v>39118</v>
      </c>
      <c r="C239" s="11" t="s">
        <v>2</v>
      </c>
      <c r="D239" s="1"/>
      <c r="F239" s="10">
        <v>41913</v>
      </c>
      <c r="G239" s="11">
        <v>23336</v>
      </c>
      <c r="H239" s="11" t="s">
        <v>15</v>
      </c>
    </row>
    <row r="240" spans="1:8" x14ac:dyDescent="0.25">
      <c r="A240" s="10">
        <v>41275</v>
      </c>
      <c r="B240" s="11">
        <v>30874</v>
      </c>
      <c r="C240" s="11" t="s">
        <v>4</v>
      </c>
      <c r="D240" s="1"/>
      <c r="F240" s="10">
        <v>41913</v>
      </c>
      <c r="G240" s="11">
        <v>29375</v>
      </c>
      <c r="H240" s="11" t="s">
        <v>16</v>
      </c>
    </row>
    <row r="241" spans="1:8" x14ac:dyDescent="0.25">
      <c r="A241" s="10">
        <v>41275</v>
      </c>
      <c r="B241" s="11">
        <v>12555</v>
      </c>
      <c r="C241" s="11" t="s">
        <v>5</v>
      </c>
      <c r="D241" s="1"/>
      <c r="F241" s="10">
        <v>41944</v>
      </c>
      <c r="G241" s="11">
        <v>25044</v>
      </c>
      <c r="H241" s="11" t="s">
        <v>15</v>
      </c>
    </row>
    <row r="242" spans="1:8" x14ac:dyDescent="0.25">
      <c r="A242" s="10">
        <v>41275</v>
      </c>
      <c r="B242" s="11">
        <v>30720</v>
      </c>
      <c r="C242" s="11" t="s">
        <v>2</v>
      </c>
      <c r="D242" s="1"/>
      <c r="F242" s="10">
        <v>41944</v>
      </c>
      <c r="G242" s="11">
        <v>26356</v>
      </c>
      <c r="H242" s="11" t="s">
        <v>16</v>
      </c>
    </row>
    <row r="243" spans="1:8" x14ac:dyDescent="0.25">
      <c r="A243" s="10">
        <v>41306</v>
      </c>
      <c r="B243" s="11">
        <v>34386</v>
      </c>
      <c r="C243" s="11" t="s">
        <v>4</v>
      </c>
      <c r="D243" s="1"/>
      <c r="F243" s="10">
        <v>41974</v>
      </c>
      <c r="G243" s="11">
        <v>24616</v>
      </c>
      <c r="H243" s="11" t="s">
        <v>15</v>
      </c>
    </row>
    <row r="244" spans="1:8" x14ac:dyDescent="0.25">
      <c r="A244" s="10">
        <v>41306</v>
      </c>
      <c r="B244" s="11">
        <v>13011</v>
      </c>
      <c r="C244" s="11" t="s">
        <v>5</v>
      </c>
      <c r="D244" s="1"/>
      <c r="F244" s="10">
        <v>41974</v>
      </c>
      <c r="G244" s="11">
        <v>23931</v>
      </c>
      <c r="H244" s="11" t="s">
        <v>16</v>
      </c>
    </row>
    <row r="245" spans="1:8" x14ac:dyDescent="0.25">
      <c r="A245" s="10">
        <v>41306</v>
      </c>
      <c r="B245" s="11">
        <v>34613</v>
      </c>
      <c r="C245" s="11" t="s">
        <v>2</v>
      </c>
      <c r="D245" s="1"/>
      <c r="F245" s="10">
        <v>42005</v>
      </c>
      <c r="G245" s="11">
        <v>27032</v>
      </c>
      <c r="H245" s="11" t="s">
        <v>15</v>
      </c>
    </row>
    <row r="246" spans="1:8" x14ac:dyDescent="0.25">
      <c r="A246" s="10">
        <v>41334</v>
      </c>
      <c r="B246" s="11">
        <v>38598</v>
      </c>
      <c r="C246" s="11" t="s">
        <v>4</v>
      </c>
      <c r="D246" s="1"/>
      <c r="F246" s="10">
        <v>42005</v>
      </c>
      <c r="G246" s="11">
        <v>19872</v>
      </c>
      <c r="H246" s="11" t="s">
        <v>16</v>
      </c>
    </row>
    <row r="247" spans="1:8" x14ac:dyDescent="0.25">
      <c r="A247" s="10">
        <v>41334</v>
      </c>
      <c r="B247" s="11">
        <v>14091</v>
      </c>
      <c r="C247" s="11" t="s">
        <v>5</v>
      </c>
      <c r="D247" s="1"/>
      <c r="F247" s="10">
        <v>42036</v>
      </c>
      <c r="G247" s="11">
        <v>27859</v>
      </c>
      <c r="H247" s="11" t="s">
        <v>15</v>
      </c>
    </row>
    <row r="248" spans="1:8" x14ac:dyDescent="0.25">
      <c r="A248" s="10">
        <v>41334</v>
      </c>
      <c r="B248" s="11">
        <v>34109</v>
      </c>
      <c r="C248" s="11" t="s">
        <v>2</v>
      </c>
      <c r="D248" s="1"/>
      <c r="F248" s="10">
        <v>42036</v>
      </c>
      <c r="G248" s="11">
        <v>21063</v>
      </c>
      <c r="H248" s="11" t="s">
        <v>16</v>
      </c>
    </row>
    <row r="249" spans="1:8" x14ac:dyDescent="0.25">
      <c r="A249" s="10">
        <v>41365</v>
      </c>
      <c r="B249" s="11">
        <v>34311</v>
      </c>
      <c r="C249" s="11" t="s">
        <v>4</v>
      </c>
      <c r="D249" s="1"/>
      <c r="F249" s="10">
        <v>42064</v>
      </c>
      <c r="G249" s="11">
        <v>29599</v>
      </c>
      <c r="H249" s="11" t="s">
        <v>15</v>
      </c>
    </row>
    <row r="250" spans="1:8" x14ac:dyDescent="0.25">
      <c r="A250" s="10">
        <v>41365</v>
      </c>
      <c r="B250" s="11">
        <v>14320</v>
      </c>
      <c r="C250" s="11" t="s">
        <v>5</v>
      </c>
      <c r="D250" s="1"/>
      <c r="F250" s="10">
        <v>42064</v>
      </c>
      <c r="G250" s="11">
        <v>15216</v>
      </c>
      <c r="H250" s="11" t="s">
        <v>16</v>
      </c>
    </row>
    <row r="251" spans="1:8" x14ac:dyDescent="0.25">
      <c r="A251" s="10">
        <v>41365</v>
      </c>
      <c r="B251" s="11">
        <v>36233</v>
      </c>
      <c r="C251" s="11" t="s">
        <v>2</v>
      </c>
      <c r="D251" s="1"/>
      <c r="F251" s="10">
        <v>42095</v>
      </c>
      <c r="G251" s="11">
        <v>41109</v>
      </c>
      <c r="H251" s="11" t="s">
        <v>15</v>
      </c>
    </row>
    <row r="252" spans="1:8" x14ac:dyDescent="0.25">
      <c r="A252" s="10">
        <v>41395</v>
      </c>
      <c r="B252" s="11">
        <v>25494</v>
      </c>
      <c r="C252" s="11" t="s">
        <v>4</v>
      </c>
      <c r="D252" s="1"/>
      <c r="F252" s="10">
        <v>42095</v>
      </c>
      <c r="G252" s="11">
        <v>17593</v>
      </c>
      <c r="H252" s="11" t="s">
        <v>16</v>
      </c>
    </row>
    <row r="253" spans="1:8" x14ac:dyDescent="0.25">
      <c r="A253" s="10">
        <v>41395</v>
      </c>
      <c r="B253" s="11">
        <v>14365</v>
      </c>
      <c r="C253" s="11" t="s">
        <v>5</v>
      </c>
      <c r="D253" s="1"/>
      <c r="F253" s="10">
        <v>42125</v>
      </c>
      <c r="G253" s="11">
        <v>24723</v>
      </c>
      <c r="H253" s="11" t="s">
        <v>16</v>
      </c>
    </row>
    <row r="254" spans="1:8" x14ac:dyDescent="0.25">
      <c r="A254" s="10">
        <v>41395</v>
      </c>
      <c r="B254" s="11">
        <v>36692</v>
      </c>
      <c r="C254" s="11" t="s">
        <v>2</v>
      </c>
      <c r="D254" s="1"/>
      <c r="F254" s="10">
        <v>42125</v>
      </c>
      <c r="G254" s="11">
        <v>48196</v>
      </c>
      <c r="H254" s="11" t="s">
        <v>15</v>
      </c>
    </row>
    <row r="255" spans="1:8" x14ac:dyDescent="0.25">
      <c r="A255" s="10">
        <v>41426</v>
      </c>
      <c r="B255" s="11">
        <v>21777</v>
      </c>
      <c r="C255" s="11" t="s">
        <v>4</v>
      </c>
      <c r="D255" s="1"/>
      <c r="F255" s="10">
        <v>42156</v>
      </c>
      <c r="G255" s="11">
        <v>26777</v>
      </c>
      <c r="H255" s="11" t="s">
        <v>16</v>
      </c>
    </row>
    <row r="256" spans="1:8" x14ac:dyDescent="0.25">
      <c r="A256" s="10">
        <v>41426</v>
      </c>
      <c r="B256" s="11">
        <v>13328</v>
      </c>
      <c r="C256" s="11" t="s">
        <v>5</v>
      </c>
      <c r="D256" s="1"/>
      <c r="F256" s="10">
        <v>42156</v>
      </c>
      <c r="G256" s="11">
        <v>41159</v>
      </c>
      <c r="H256" s="11" t="s">
        <v>15</v>
      </c>
    </row>
    <row r="257" spans="1:8" x14ac:dyDescent="0.25">
      <c r="A257" s="10">
        <v>41426</v>
      </c>
      <c r="B257" s="11">
        <v>36091</v>
      </c>
      <c r="C257" s="11" t="s">
        <v>2</v>
      </c>
      <c r="D257" s="1"/>
      <c r="F257" s="10">
        <v>42186</v>
      </c>
      <c r="G257" s="11">
        <v>28751</v>
      </c>
      <c r="H257" s="11" t="s">
        <v>16</v>
      </c>
    </row>
    <row r="258" spans="1:8" x14ac:dyDescent="0.25">
      <c r="A258" s="10">
        <v>41456</v>
      </c>
      <c r="B258" s="11">
        <v>27316</v>
      </c>
      <c r="C258" s="11" t="s">
        <v>4</v>
      </c>
      <c r="D258" s="1"/>
      <c r="F258" s="10">
        <v>42186</v>
      </c>
      <c r="G258" s="11">
        <v>36802</v>
      </c>
      <c r="H258" s="11" t="s">
        <v>15</v>
      </c>
    </row>
    <row r="259" spans="1:8" x14ac:dyDescent="0.25">
      <c r="A259" s="10">
        <v>41456</v>
      </c>
      <c r="B259" s="11">
        <v>13096</v>
      </c>
      <c r="C259" s="11" t="s">
        <v>5</v>
      </c>
      <c r="D259" s="1"/>
      <c r="F259" s="10">
        <v>42217</v>
      </c>
      <c r="G259" s="11">
        <v>31059</v>
      </c>
      <c r="H259" s="11" t="s">
        <v>16</v>
      </c>
    </row>
    <row r="260" spans="1:8" x14ac:dyDescent="0.25">
      <c r="A260" s="10">
        <v>41456</v>
      </c>
      <c r="B260" s="11">
        <v>45404</v>
      </c>
      <c r="C260" s="11" t="s">
        <v>2</v>
      </c>
      <c r="D260" s="1"/>
      <c r="F260" s="10">
        <v>42217</v>
      </c>
      <c r="G260" s="11">
        <v>31676</v>
      </c>
      <c r="H260" s="11" t="s">
        <v>15</v>
      </c>
    </row>
    <row r="261" spans="1:8" x14ac:dyDescent="0.25">
      <c r="A261" s="10">
        <v>41487</v>
      </c>
      <c r="B261" s="11">
        <v>23229</v>
      </c>
      <c r="C261" s="11" t="s">
        <v>4</v>
      </c>
      <c r="D261" s="1"/>
      <c r="F261" s="10">
        <v>42248</v>
      </c>
      <c r="G261" s="11">
        <v>30775</v>
      </c>
      <c r="H261" s="11" t="s">
        <v>16</v>
      </c>
    </row>
    <row r="262" spans="1:8" x14ac:dyDescent="0.25">
      <c r="A262" s="10">
        <v>41487</v>
      </c>
      <c r="B262" s="11">
        <v>11152</v>
      </c>
      <c r="C262" s="11" t="s">
        <v>5</v>
      </c>
      <c r="D262" s="1"/>
      <c r="F262" s="10">
        <v>42248</v>
      </c>
      <c r="G262" s="11">
        <v>27892</v>
      </c>
      <c r="H262" s="11" t="s">
        <v>15</v>
      </c>
    </row>
    <row r="263" spans="1:8" x14ac:dyDescent="0.25">
      <c r="A263" s="10">
        <v>41487</v>
      </c>
      <c r="B263" s="11">
        <v>43797</v>
      </c>
      <c r="C263" s="11" t="s">
        <v>2</v>
      </c>
      <c r="D263" s="1"/>
      <c r="F263" s="10">
        <v>42278</v>
      </c>
      <c r="G263" s="11">
        <v>29655</v>
      </c>
      <c r="H263" s="11" t="s">
        <v>16</v>
      </c>
    </row>
    <row r="264" spans="1:8" x14ac:dyDescent="0.25">
      <c r="A264" s="10">
        <v>41518</v>
      </c>
      <c r="B264" s="11">
        <v>15775</v>
      </c>
      <c r="C264" s="11" t="s">
        <v>4</v>
      </c>
      <c r="D264" s="1"/>
      <c r="F264" s="10">
        <v>42278</v>
      </c>
      <c r="G264" s="11">
        <v>26475</v>
      </c>
      <c r="H264" s="11" t="s">
        <v>15</v>
      </c>
    </row>
    <row r="265" spans="1:8" x14ac:dyDescent="0.25">
      <c r="A265" s="10">
        <v>41518</v>
      </c>
      <c r="B265" s="11">
        <v>9637</v>
      </c>
      <c r="C265" s="11" t="s">
        <v>5</v>
      </c>
      <c r="D265" s="1"/>
      <c r="F265" s="10">
        <v>42309</v>
      </c>
      <c r="G265" s="11">
        <v>27181</v>
      </c>
      <c r="H265" s="11" t="s">
        <v>16</v>
      </c>
    </row>
    <row r="266" spans="1:8" x14ac:dyDescent="0.25">
      <c r="A266" s="10">
        <v>41518</v>
      </c>
      <c r="B266" s="11">
        <v>39939</v>
      </c>
      <c r="C266" s="11" t="s">
        <v>2</v>
      </c>
      <c r="D266" s="1"/>
      <c r="F266" s="10">
        <v>42309</v>
      </c>
      <c r="G266" s="11">
        <v>28323</v>
      </c>
      <c r="H266" s="11" t="s">
        <v>15</v>
      </c>
    </row>
    <row r="267" spans="1:8" x14ac:dyDescent="0.25">
      <c r="A267" s="10">
        <v>41548</v>
      </c>
      <c r="B267" s="11">
        <v>9690</v>
      </c>
      <c r="C267" s="11" t="s">
        <v>4</v>
      </c>
      <c r="D267" s="1"/>
      <c r="F267" s="10">
        <v>42339</v>
      </c>
      <c r="G267" s="11">
        <v>29817</v>
      </c>
      <c r="H267" s="11" t="s">
        <v>15</v>
      </c>
    </row>
    <row r="268" spans="1:8" x14ac:dyDescent="0.25">
      <c r="A268" s="10">
        <v>41548</v>
      </c>
      <c r="B268" s="11">
        <v>7185</v>
      </c>
      <c r="C268" s="11" t="s">
        <v>5</v>
      </c>
      <c r="D268" s="1"/>
      <c r="F268" s="10">
        <v>42339</v>
      </c>
      <c r="G268" s="11">
        <v>25037</v>
      </c>
      <c r="H268" s="11" t="s">
        <v>16</v>
      </c>
    </row>
    <row r="269" spans="1:8" x14ac:dyDescent="0.25">
      <c r="A269" s="10">
        <v>41548</v>
      </c>
      <c r="B269" s="11">
        <v>34294</v>
      </c>
      <c r="C269" s="11" t="s">
        <v>2</v>
      </c>
      <c r="D269" s="1"/>
      <c r="F269" s="10">
        <v>42370</v>
      </c>
      <c r="G269" s="11">
        <v>19005</v>
      </c>
      <c r="H269" s="11" t="s">
        <v>16</v>
      </c>
    </row>
    <row r="270" spans="1:8" x14ac:dyDescent="0.25">
      <c r="A270" s="10">
        <v>41579</v>
      </c>
      <c r="B270" s="11">
        <v>6594</v>
      </c>
      <c r="C270" s="11" t="s">
        <v>4</v>
      </c>
      <c r="D270" s="1"/>
      <c r="F270" s="10">
        <v>42370</v>
      </c>
      <c r="G270" s="11">
        <v>25986</v>
      </c>
      <c r="H270" s="11" t="s">
        <v>15</v>
      </c>
    </row>
    <row r="271" spans="1:8" x14ac:dyDescent="0.25">
      <c r="A271" s="10">
        <v>41579</v>
      </c>
      <c r="B271" s="11">
        <v>5561</v>
      </c>
      <c r="C271" s="11" t="s">
        <v>5</v>
      </c>
      <c r="D271" s="1"/>
      <c r="F271" s="10">
        <v>42401</v>
      </c>
      <c r="G271" s="11">
        <v>15543</v>
      </c>
      <c r="H271" s="11" t="s">
        <v>15</v>
      </c>
    </row>
    <row r="272" spans="1:8" x14ac:dyDescent="0.25">
      <c r="A272" s="10">
        <v>41579</v>
      </c>
      <c r="B272" s="11">
        <v>28658</v>
      </c>
      <c r="C272" s="11" t="s">
        <v>2</v>
      </c>
      <c r="D272" s="1"/>
      <c r="F272" s="10">
        <v>42401</v>
      </c>
      <c r="G272" s="11">
        <v>12492</v>
      </c>
      <c r="H272" s="11" t="s">
        <v>16</v>
      </c>
    </row>
    <row r="273" spans="1:8" x14ac:dyDescent="0.25">
      <c r="A273" s="10">
        <v>41609</v>
      </c>
      <c r="B273" s="11">
        <v>6672</v>
      </c>
      <c r="C273" s="11" t="s">
        <v>4</v>
      </c>
      <c r="D273" s="1"/>
      <c r="F273" s="10">
        <v>42430</v>
      </c>
      <c r="G273" s="11">
        <v>492</v>
      </c>
      <c r="H273" s="11" t="s">
        <v>16</v>
      </c>
    </row>
    <row r="274" spans="1:8" x14ac:dyDescent="0.25">
      <c r="A274" s="10">
        <v>41609</v>
      </c>
      <c r="B274" s="11">
        <v>5307</v>
      </c>
      <c r="C274" s="11" t="s">
        <v>5</v>
      </c>
      <c r="D274" s="1"/>
      <c r="F274" s="10">
        <v>42430</v>
      </c>
      <c r="G274" s="11">
        <v>1058</v>
      </c>
      <c r="H274" s="11" t="s">
        <v>15</v>
      </c>
    </row>
    <row r="275" spans="1:8" x14ac:dyDescent="0.25">
      <c r="A275" s="10">
        <v>41609</v>
      </c>
      <c r="B275" s="11">
        <v>31849</v>
      </c>
      <c r="C275" s="11" t="s">
        <v>2</v>
      </c>
      <c r="D275" s="1"/>
    </row>
    <row r="276" spans="1:8" x14ac:dyDescent="0.25">
      <c r="A276" s="10">
        <v>41640</v>
      </c>
      <c r="B276" s="11">
        <v>7915</v>
      </c>
      <c r="C276" s="11" t="s">
        <v>4</v>
      </c>
      <c r="D276" s="1"/>
    </row>
    <row r="277" spans="1:8" x14ac:dyDescent="0.25">
      <c r="A277" s="10">
        <v>41640</v>
      </c>
      <c r="B277" s="11">
        <v>4763</v>
      </c>
      <c r="C277" s="11" t="s">
        <v>5</v>
      </c>
      <c r="D277" s="1"/>
    </row>
    <row r="278" spans="1:8" x14ac:dyDescent="0.25">
      <c r="A278" s="10">
        <v>41640</v>
      </c>
      <c r="B278" s="11">
        <v>31793</v>
      </c>
      <c r="C278" s="11" t="s">
        <v>2</v>
      </c>
      <c r="D278" s="1"/>
    </row>
    <row r="279" spans="1:8" x14ac:dyDescent="0.25">
      <c r="A279" s="10">
        <v>41671</v>
      </c>
      <c r="B279" s="11">
        <v>7910</v>
      </c>
      <c r="C279" s="11" t="s">
        <v>4</v>
      </c>
      <c r="D279" s="1"/>
    </row>
    <row r="280" spans="1:8" x14ac:dyDescent="0.25">
      <c r="A280" s="10">
        <v>41671</v>
      </c>
      <c r="B280" s="11">
        <v>4713</v>
      </c>
      <c r="C280" s="11" t="s">
        <v>5</v>
      </c>
      <c r="D280" s="1"/>
    </row>
    <row r="281" spans="1:8" x14ac:dyDescent="0.25">
      <c r="A281" s="10">
        <v>41671</v>
      </c>
      <c r="B281" s="11">
        <v>33156</v>
      </c>
      <c r="C281" s="11" t="s">
        <v>2</v>
      </c>
      <c r="D281" s="1"/>
    </row>
    <row r="282" spans="1:8" x14ac:dyDescent="0.25">
      <c r="A282" s="10">
        <v>41699</v>
      </c>
      <c r="B282" s="11">
        <v>5422</v>
      </c>
      <c r="C282" s="11" t="s">
        <v>4</v>
      </c>
      <c r="D282" s="1"/>
    </row>
    <row r="283" spans="1:8" x14ac:dyDescent="0.25">
      <c r="A283" s="10">
        <v>41699</v>
      </c>
      <c r="B283" s="11">
        <v>4009</v>
      </c>
      <c r="C283" s="11" t="s">
        <v>5</v>
      </c>
      <c r="D283" s="1"/>
    </row>
    <row r="284" spans="1:8" x14ac:dyDescent="0.25">
      <c r="A284" s="10">
        <v>41699</v>
      </c>
      <c r="B284" s="11">
        <v>6</v>
      </c>
      <c r="C284" s="11" t="s">
        <v>6</v>
      </c>
      <c r="D284" s="1"/>
    </row>
    <row r="285" spans="1:8" x14ac:dyDescent="0.25">
      <c r="A285" s="10">
        <v>41699</v>
      </c>
      <c r="B285" s="11">
        <v>22439</v>
      </c>
      <c r="C285" s="11" t="s">
        <v>2</v>
      </c>
      <c r="D285" s="1"/>
    </row>
    <row r="286" spans="1:8" x14ac:dyDescent="0.25">
      <c r="A286" s="10">
        <v>41730</v>
      </c>
      <c r="B286" s="11">
        <v>8232</v>
      </c>
      <c r="C286" s="11" t="s">
        <v>6</v>
      </c>
      <c r="D286" s="1"/>
    </row>
    <row r="287" spans="1:8" x14ac:dyDescent="0.25">
      <c r="A287" s="10">
        <v>41730</v>
      </c>
      <c r="B287" s="11">
        <v>23223</v>
      </c>
      <c r="C287" s="11" t="s">
        <v>2</v>
      </c>
      <c r="D287" s="1"/>
    </row>
    <row r="288" spans="1:8" x14ac:dyDescent="0.25">
      <c r="A288" s="10">
        <v>41760</v>
      </c>
      <c r="B288" s="11">
        <v>9807</v>
      </c>
      <c r="C288" s="11" t="s">
        <v>6</v>
      </c>
      <c r="D288" s="1"/>
    </row>
    <row r="289" spans="1:4" x14ac:dyDescent="0.25">
      <c r="A289" s="10">
        <v>41760</v>
      </c>
      <c r="B289" s="11">
        <v>30535</v>
      </c>
      <c r="C289" s="11" t="s">
        <v>2</v>
      </c>
      <c r="D289" s="1"/>
    </row>
    <row r="290" spans="1:4" x14ac:dyDescent="0.25">
      <c r="A290" s="10">
        <v>41791</v>
      </c>
      <c r="B290" s="11">
        <v>9606</v>
      </c>
      <c r="C290" s="11" t="s">
        <v>6</v>
      </c>
      <c r="D290" s="1"/>
    </row>
    <row r="291" spans="1:4" x14ac:dyDescent="0.25">
      <c r="A291" s="10">
        <v>41791</v>
      </c>
      <c r="B291" s="11">
        <v>31762</v>
      </c>
      <c r="C291" s="11" t="s">
        <v>2</v>
      </c>
      <c r="D291" s="1"/>
    </row>
    <row r="292" spans="1:4" x14ac:dyDescent="0.25">
      <c r="A292" s="10">
        <v>41821</v>
      </c>
      <c r="B292" s="11">
        <v>8919</v>
      </c>
      <c r="C292" s="11" t="s">
        <v>6</v>
      </c>
      <c r="D292" s="1"/>
    </row>
    <row r="293" spans="1:4" x14ac:dyDescent="0.25">
      <c r="A293" s="10">
        <v>41821</v>
      </c>
      <c r="B293" s="11">
        <v>34750</v>
      </c>
      <c r="C293" s="11" t="s">
        <v>2</v>
      </c>
      <c r="D293" s="1"/>
    </row>
    <row r="294" spans="1:4" x14ac:dyDescent="0.25">
      <c r="A294" s="10">
        <v>41852</v>
      </c>
      <c r="B294" s="11">
        <v>11115</v>
      </c>
      <c r="C294" s="11" t="s">
        <v>6</v>
      </c>
      <c r="D294" s="1"/>
    </row>
    <row r="295" spans="1:4" x14ac:dyDescent="0.25">
      <c r="A295" s="10">
        <v>41852</v>
      </c>
      <c r="B295" s="11">
        <v>41191</v>
      </c>
      <c r="C295" s="11" t="s">
        <v>2</v>
      </c>
      <c r="D295" s="1"/>
    </row>
    <row r="296" spans="1:4" x14ac:dyDescent="0.25">
      <c r="A296" s="10">
        <v>41883</v>
      </c>
      <c r="B296" s="11">
        <v>11857</v>
      </c>
      <c r="C296" s="11" t="s">
        <v>6</v>
      </c>
      <c r="D296" s="1"/>
    </row>
    <row r="297" spans="1:4" x14ac:dyDescent="0.25">
      <c r="A297" s="10">
        <v>41883</v>
      </c>
      <c r="B297" s="11">
        <v>42737</v>
      </c>
      <c r="C297" s="11" t="s">
        <v>2</v>
      </c>
      <c r="D297" s="1"/>
    </row>
    <row r="298" spans="1:4" x14ac:dyDescent="0.25">
      <c r="A298" s="10">
        <v>41913</v>
      </c>
      <c r="B298" s="11">
        <v>11835</v>
      </c>
      <c r="C298" s="11" t="s">
        <v>6</v>
      </c>
      <c r="D298" s="1"/>
    </row>
    <row r="299" spans="1:4" x14ac:dyDescent="0.25">
      <c r="A299" s="10">
        <v>41913</v>
      </c>
      <c r="B299" s="11">
        <v>40876</v>
      </c>
      <c r="C299" s="11" t="s">
        <v>2</v>
      </c>
      <c r="D299" s="1"/>
    </row>
    <row r="300" spans="1:4" x14ac:dyDescent="0.25">
      <c r="A300" s="10">
        <v>41944</v>
      </c>
      <c r="B300" s="11">
        <v>12558</v>
      </c>
      <c r="C300" s="11" t="s">
        <v>6</v>
      </c>
      <c r="D300" s="1"/>
    </row>
    <row r="301" spans="1:4" x14ac:dyDescent="0.25">
      <c r="A301" s="10">
        <v>41944</v>
      </c>
      <c r="B301" s="11">
        <v>38842</v>
      </c>
      <c r="C301" s="11" t="s">
        <v>2</v>
      </c>
      <c r="D301" s="1"/>
    </row>
    <row r="302" spans="1:4" x14ac:dyDescent="0.25">
      <c r="A302" s="10">
        <v>41974</v>
      </c>
      <c r="B302" s="11">
        <v>12658</v>
      </c>
      <c r="C302" s="11" t="s">
        <v>6</v>
      </c>
      <c r="D302" s="1"/>
    </row>
    <row r="303" spans="1:4" x14ac:dyDescent="0.25">
      <c r="A303" s="10">
        <v>41974</v>
      </c>
      <c r="B303" s="11">
        <v>35889</v>
      </c>
      <c r="C303" s="11" t="s">
        <v>2</v>
      </c>
      <c r="D303" s="1"/>
    </row>
    <row r="304" spans="1:4" x14ac:dyDescent="0.25">
      <c r="A304" s="10">
        <v>42005</v>
      </c>
      <c r="B304" s="11">
        <v>15345</v>
      </c>
      <c r="C304" s="11" t="s">
        <v>6</v>
      </c>
      <c r="D304" s="1"/>
    </row>
    <row r="305" spans="1:4" x14ac:dyDescent="0.25">
      <c r="A305" s="10">
        <v>42005</v>
      </c>
      <c r="B305" s="11">
        <v>31559</v>
      </c>
      <c r="C305" s="11" t="s">
        <v>2</v>
      </c>
      <c r="D305" s="1"/>
    </row>
    <row r="306" spans="1:4" x14ac:dyDescent="0.25">
      <c r="A306" s="10">
        <v>42036</v>
      </c>
      <c r="B306" s="11">
        <v>15404</v>
      </c>
      <c r="C306" s="11" t="s">
        <v>6</v>
      </c>
      <c r="D306" s="1"/>
    </row>
    <row r="307" spans="1:4" x14ac:dyDescent="0.25">
      <c r="A307" s="10">
        <v>42036</v>
      </c>
      <c r="B307" s="11">
        <v>33518</v>
      </c>
      <c r="C307" s="11" t="s">
        <v>2</v>
      </c>
      <c r="D307" s="1"/>
    </row>
    <row r="308" spans="1:4" x14ac:dyDescent="0.25">
      <c r="A308" s="10">
        <v>42064</v>
      </c>
      <c r="B308" s="11">
        <v>17606</v>
      </c>
      <c r="C308" s="11" t="s">
        <v>6</v>
      </c>
      <c r="D308" s="1"/>
    </row>
    <row r="309" spans="1:4" x14ac:dyDescent="0.25">
      <c r="A309" s="10">
        <v>42064</v>
      </c>
      <c r="B309" s="11">
        <v>27209</v>
      </c>
      <c r="C309" s="11" t="s">
        <v>2</v>
      </c>
      <c r="D309" s="1"/>
    </row>
    <row r="310" spans="1:4" x14ac:dyDescent="0.25">
      <c r="A310" s="10">
        <v>42095</v>
      </c>
      <c r="B310" s="11">
        <v>32180</v>
      </c>
      <c r="C310" s="11" t="s">
        <v>2</v>
      </c>
      <c r="D310" s="1"/>
    </row>
    <row r="311" spans="1:4" x14ac:dyDescent="0.25">
      <c r="A311" s="10">
        <v>42095</v>
      </c>
      <c r="B311" s="11">
        <v>26522</v>
      </c>
      <c r="C311" s="11" t="s">
        <v>6</v>
      </c>
      <c r="D311" s="1"/>
    </row>
    <row r="312" spans="1:4" x14ac:dyDescent="0.25">
      <c r="A312" s="10">
        <v>42125</v>
      </c>
      <c r="B312" s="11">
        <v>43457</v>
      </c>
      <c r="C312" s="11" t="s">
        <v>2</v>
      </c>
      <c r="D312" s="1"/>
    </row>
    <row r="313" spans="1:4" x14ac:dyDescent="0.25">
      <c r="A313" s="10">
        <v>42125</v>
      </c>
      <c r="B313" s="11">
        <v>29462</v>
      </c>
      <c r="C313" s="11" t="s">
        <v>6</v>
      </c>
      <c r="D313" s="1"/>
    </row>
    <row r="314" spans="1:4" x14ac:dyDescent="0.25">
      <c r="A314" s="10">
        <v>42156</v>
      </c>
      <c r="B314" s="11">
        <v>23102</v>
      </c>
      <c r="C314" s="11" t="s">
        <v>6</v>
      </c>
      <c r="D314" s="1"/>
    </row>
    <row r="315" spans="1:4" x14ac:dyDescent="0.25">
      <c r="A315" s="10">
        <v>42156</v>
      </c>
      <c r="B315" s="11">
        <v>44834</v>
      </c>
      <c r="C315" s="11" t="s">
        <v>2</v>
      </c>
      <c r="D315" s="1"/>
    </row>
    <row r="316" spans="1:4" x14ac:dyDescent="0.25">
      <c r="A316" s="10">
        <v>42186</v>
      </c>
      <c r="B316" s="11">
        <v>45648</v>
      </c>
      <c r="C316" s="11" t="s">
        <v>2</v>
      </c>
      <c r="D316" s="1"/>
    </row>
    <row r="317" spans="1:4" x14ac:dyDescent="0.25">
      <c r="A317" s="10">
        <v>42186</v>
      </c>
      <c r="B317" s="11">
        <v>19905</v>
      </c>
      <c r="C317" s="11" t="s">
        <v>6</v>
      </c>
      <c r="D317" s="1"/>
    </row>
    <row r="318" spans="1:4" x14ac:dyDescent="0.25">
      <c r="A318" s="10">
        <v>42217</v>
      </c>
      <c r="B318" s="11">
        <v>46801</v>
      </c>
      <c r="C318" s="11" t="s">
        <v>2</v>
      </c>
      <c r="D318" s="1"/>
    </row>
    <row r="319" spans="1:4" x14ac:dyDescent="0.25">
      <c r="A319" s="10">
        <v>42217</v>
      </c>
      <c r="B319" s="11">
        <v>15934</v>
      </c>
      <c r="C319" s="11" t="s">
        <v>6</v>
      </c>
      <c r="D319" s="1"/>
    </row>
    <row r="320" spans="1:4" x14ac:dyDescent="0.25">
      <c r="A320" s="10">
        <v>42248</v>
      </c>
      <c r="B320" s="11">
        <v>45756</v>
      </c>
      <c r="C320" s="11" t="s">
        <v>2</v>
      </c>
      <c r="D320" s="1"/>
    </row>
    <row r="321" spans="1:4" x14ac:dyDescent="0.25">
      <c r="A321" s="10">
        <v>42248</v>
      </c>
      <c r="B321" s="11">
        <v>12911</v>
      </c>
      <c r="C321" s="11" t="s">
        <v>6</v>
      </c>
      <c r="D321" s="1"/>
    </row>
    <row r="322" spans="1:4" x14ac:dyDescent="0.25">
      <c r="A322" s="10">
        <v>42278</v>
      </c>
      <c r="B322" s="11">
        <v>12057</v>
      </c>
      <c r="C322" s="11" t="s">
        <v>6</v>
      </c>
      <c r="D322" s="1"/>
    </row>
    <row r="323" spans="1:4" x14ac:dyDescent="0.25">
      <c r="A323" s="10">
        <v>42278</v>
      </c>
      <c r="B323" s="11">
        <v>44073</v>
      </c>
      <c r="C323" s="11" t="s">
        <v>2</v>
      </c>
      <c r="D323" s="1"/>
    </row>
    <row r="324" spans="1:4" x14ac:dyDescent="0.25">
      <c r="A324" s="10">
        <v>42309</v>
      </c>
      <c r="B324" s="11">
        <v>42522</v>
      </c>
      <c r="C324" s="11" t="s">
        <v>2</v>
      </c>
      <c r="D324" s="1"/>
    </row>
    <row r="325" spans="1:4" x14ac:dyDescent="0.25">
      <c r="A325" s="10">
        <v>42309</v>
      </c>
      <c r="B325" s="11">
        <v>12982</v>
      </c>
      <c r="C325" s="11" t="s">
        <v>6</v>
      </c>
      <c r="D325" s="1"/>
    </row>
    <row r="326" spans="1:4" x14ac:dyDescent="0.25">
      <c r="A326" s="10">
        <v>42339</v>
      </c>
      <c r="B326" s="11">
        <v>13629</v>
      </c>
      <c r="C326" s="11" t="s">
        <v>6</v>
      </c>
      <c r="D326" s="1"/>
    </row>
    <row r="327" spans="1:4" x14ac:dyDescent="0.25">
      <c r="A327" s="10">
        <v>42339</v>
      </c>
      <c r="B327" s="11">
        <v>41225</v>
      </c>
      <c r="C327" s="11" t="s">
        <v>2</v>
      </c>
      <c r="D327" s="1"/>
    </row>
    <row r="328" spans="1:4" x14ac:dyDescent="0.25">
      <c r="A328" s="10">
        <v>42370</v>
      </c>
      <c r="B328" s="11">
        <v>32905</v>
      </c>
      <c r="C328" s="11" t="s">
        <v>2</v>
      </c>
      <c r="D328" s="1"/>
    </row>
    <row r="329" spans="1:4" x14ac:dyDescent="0.25">
      <c r="A329" s="10">
        <v>42370</v>
      </c>
      <c r="B329" s="11">
        <v>12086</v>
      </c>
      <c r="C329" s="11" t="s">
        <v>6</v>
      </c>
      <c r="D329" s="1"/>
    </row>
    <row r="330" spans="1:4" x14ac:dyDescent="0.25">
      <c r="A330" s="10">
        <v>42401</v>
      </c>
      <c r="B330" s="11">
        <v>7000</v>
      </c>
      <c r="C330" s="11" t="s">
        <v>6</v>
      </c>
      <c r="D330" s="1"/>
    </row>
    <row r="331" spans="1:4" x14ac:dyDescent="0.25">
      <c r="A331" s="10">
        <v>42401</v>
      </c>
      <c r="B331" s="11">
        <v>21035</v>
      </c>
      <c r="C331" s="11" t="s">
        <v>2</v>
      </c>
      <c r="D331" s="1"/>
    </row>
    <row r="332" spans="1:4" x14ac:dyDescent="0.25">
      <c r="A332" s="10">
        <v>42430</v>
      </c>
      <c r="B332" s="11">
        <v>1081</v>
      </c>
      <c r="C332" s="11" t="s">
        <v>2</v>
      </c>
      <c r="D332" s="1"/>
    </row>
    <row r="333" spans="1:4" x14ac:dyDescent="0.25">
      <c r="A333" s="10">
        <v>42430</v>
      </c>
      <c r="B333" s="11">
        <v>469</v>
      </c>
      <c r="C333" s="11" t="s">
        <v>6</v>
      </c>
      <c r="D333" s="1"/>
    </row>
    <row r="334" spans="1:4" x14ac:dyDescent="0.25">
      <c r="D334" s="1"/>
    </row>
    <row r="335" spans="1:4" x14ac:dyDescent="0.25">
      <c r="D335" s="1"/>
    </row>
    <row r="336" spans="1:4" x14ac:dyDescent="0.25">
      <c r="D336" s="1"/>
    </row>
    <row r="337" spans="4:4" x14ac:dyDescent="0.25">
      <c r="D337" s="1"/>
    </row>
    <row r="338" spans="4:4" x14ac:dyDescent="0.25">
      <c r="D338" s="1"/>
    </row>
    <row r="339" spans="4:4" x14ac:dyDescent="0.25">
      <c r="D339" s="1"/>
    </row>
    <row r="340" spans="4:4" x14ac:dyDescent="0.25">
      <c r="D340" s="1"/>
    </row>
    <row r="341" spans="4:4" x14ac:dyDescent="0.25">
      <c r="D341" s="1"/>
    </row>
    <row r="342" spans="4:4" x14ac:dyDescent="0.25">
      <c r="D342" s="1"/>
    </row>
    <row r="343" spans="4:4" x14ac:dyDescent="0.25">
      <c r="D343" s="1"/>
    </row>
    <row r="344" spans="4:4" x14ac:dyDescent="0.25">
      <c r="D344" s="1"/>
    </row>
    <row r="345" spans="4:4" x14ac:dyDescent="0.25">
      <c r="D345" s="1"/>
    </row>
    <row r="346" spans="4:4" x14ac:dyDescent="0.25">
      <c r="D346" s="1"/>
    </row>
    <row r="347" spans="4:4" x14ac:dyDescent="0.25">
      <c r="D347" s="1"/>
    </row>
    <row r="348" spans="4:4" x14ac:dyDescent="0.25">
      <c r="D348" s="1"/>
    </row>
    <row r="349" spans="4:4" x14ac:dyDescent="0.25">
      <c r="D349" s="1"/>
    </row>
    <row r="350" spans="4:4" x14ac:dyDescent="0.25">
      <c r="D350" s="1"/>
    </row>
    <row r="351" spans="4:4" x14ac:dyDescent="0.25">
      <c r="D351" s="1"/>
    </row>
    <row r="352" spans="4:4" x14ac:dyDescent="0.25">
      <c r="D352" s="1"/>
    </row>
    <row r="353" spans="4:4" x14ac:dyDescent="0.25">
      <c r="D353" s="1"/>
    </row>
    <row r="354" spans="4:4" x14ac:dyDescent="0.25">
      <c r="D354" s="1"/>
    </row>
    <row r="355" spans="4:4" x14ac:dyDescent="0.25">
      <c r="D355" s="1"/>
    </row>
    <row r="356" spans="4:4" x14ac:dyDescent="0.25">
      <c r="D356" s="1"/>
    </row>
    <row r="357" spans="4:4" x14ac:dyDescent="0.25">
      <c r="D357" s="1"/>
    </row>
    <row r="358" spans="4:4" x14ac:dyDescent="0.25">
      <c r="D358" s="1"/>
    </row>
    <row r="359" spans="4:4" x14ac:dyDescent="0.25">
      <c r="D359" s="1"/>
    </row>
    <row r="360" spans="4:4" x14ac:dyDescent="0.25">
      <c r="D360" s="1"/>
    </row>
    <row r="361" spans="4:4" x14ac:dyDescent="0.25">
      <c r="D361" s="1"/>
    </row>
    <row r="362" spans="4:4" x14ac:dyDescent="0.25">
      <c r="D362" s="1"/>
    </row>
    <row r="363" spans="4:4" x14ac:dyDescent="0.25">
      <c r="D363" s="1"/>
    </row>
    <row r="364" spans="4:4" x14ac:dyDescent="0.25">
      <c r="D364" s="1"/>
    </row>
    <row r="365" spans="4:4" x14ac:dyDescent="0.25">
      <c r="D365" s="1"/>
    </row>
    <row r="366" spans="4:4" x14ac:dyDescent="0.25">
      <c r="D366" s="1"/>
    </row>
    <row r="367" spans="4:4" x14ac:dyDescent="0.25">
      <c r="D367" s="1"/>
    </row>
    <row r="368" spans="4:4" x14ac:dyDescent="0.25">
      <c r="D368" s="1"/>
    </row>
    <row r="369" spans="4:4" x14ac:dyDescent="0.25">
      <c r="D369" s="1"/>
    </row>
    <row r="370" spans="4:4" x14ac:dyDescent="0.25">
      <c r="D370" s="1"/>
    </row>
    <row r="371" spans="4:4" x14ac:dyDescent="0.25">
      <c r="D371" s="1"/>
    </row>
    <row r="372" spans="4:4" x14ac:dyDescent="0.25">
      <c r="D372" s="1"/>
    </row>
    <row r="373" spans="4:4" x14ac:dyDescent="0.25">
      <c r="D373" s="1"/>
    </row>
    <row r="374" spans="4:4" x14ac:dyDescent="0.25">
      <c r="D374" s="1"/>
    </row>
    <row r="375" spans="4:4" x14ac:dyDescent="0.25">
      <c r="D375" s="1"/>
    </row>
    <row r="376" spans="4:4" x14ac:dyDescent="0.25">
      <c r="D376" s="1"/>
    </row>
    <row r="377" spans="4:4" x14ac:dyDescent="0.25">
      <c r="D377" s="1"/>
    </row>
    <row r="378" spans="4:4" x14ac:dyDescent="0.25">
      <c r="D378" s="1"/>
    </row>
    <row r="379" spans="4:4" x14ac:dyDescent="0.25">
      <c r="D379" s="1"/>
    </row>
    <row r="380" spans="4:4" x14ac:dyDescent="0.25">
      <c r="D380" s="1"/>
    </row>
    <row r="381" spans="4:4" x14ac:dyDescent="0.25">
      <c r="D381" s="1"/>
    </row>
    <row r="382" spans="4:4" x14ac:dyDescent="0.25">
      <c r="D382" s="1"/>
    </row>
    <row r="383" spans="4:4" x14ac:dyDescent="0.25">
      <c r="D383" s="1"/>
    </row>
    <row r="384" spans="4:4" x14ac:dyDescent="0.25">
      <c r="D384" s="1"/>
    </row>
    <row r="385" spans="4:4" x14ac:dyDescent="0.25">
      <c r="D385" s="1"/>
    </row>
    <row r="386" spans="4:4" x14ac:dyDescent="0.25">
      <c r="D386" s="1"/>
    </row>
    <row r="387" spans="4:4" x14ac:dyDescent="0.25">
      <c r="D387" s="1"/>
    </row>
    <row r="388" spans="4:4" x14ac:dyDescent="0.25">
      <c r="D388" s="1"/>
    </row>
    <row r="389" spans="4:4" x14ac:dyDescent="0.25">
      <c r="D389" s="1"/>
    </row>
    <row r="390" spans="4:4" x14ac:dyDescent="0.25">
      <c r="D390" s="1"/>
    </row>
    <row r="391" spans="4:4" x14ac:dyDescent="0.25">
      <c r="D391" s="1"/>
    </row>
    <row r="392" spans="4:4" x14ac:dyDescent="0.25">
      <c r="D392" s="1"/>
    </row>
    <row r="393" spans="4:4" x14ac:dyDescent="0.25">
      <c r="D393" s="1"/>
    </row>
    <row r="394" spans="4:4" x14ac:dyDescent="0.25">
      <c r="D394" s="1"/>
    </row>
    <row r="395" spans="4:4" x14ac:dyDescent="0.25">
      <c r="D395" s="1"/>
    </row>
    <row r="396" spans="4:4" x14ac:dyDescent="0.25">
      <c r="D396" s="1"/>
    </row>
    <row r="397" spans="4:4" x14ac:dyDescent="0.25">
      <c r="D397" s="1"/>
    </row>
    <row r="398" spans="4:4" x14ac:dyDescent="0.25">
      <c r="D398" s="1"/>
    </row>
    <row r="399" spans="4:4" x14ac:dyDescent="0.25">
      <c r="D399" s="1"/>
    </row>
    <row r="400" spans="4:4" x14ac:dyDescent="0.25">
      <c r="D400" s="1"/>
    </row>
    <row r="401" spans="4:4" x14ac:dyDescent="0.25">
      <c r="D401" s="1"/>
    </row>
    <row r="402" spans="4:4" x14ac:dyDescent="0.25">
      <c r="D402" s="1"/>
    </row>
    <row r="403" spans="4:4" x14ac:dyDescent="0.25">
      <c r="D403" s="1"/>
    </row>
    <row r="404" spans="4:4" x14ac:dyDescent="0.25">
      <c r="D404" s="1"/>
    </row>
    <row r="405" spans="4:4" x14ac:dyDescent="0.25">
      <c r="D405" s="1"/>
    </row>
    <row r="406" spans="4:4" x14ac:dyDescent="0.25">
      <c r="D406" s="1"/>
    </row>
    <row r="407" spans="4:4" x14ac:dyDescent="0.25">
      <c r="D407" s="1"/>
    </row>
    <row r="408" spans="4:4" x14ac:dyDescent="0.25">
      <c r="D408" s="1"/>
    </row>
    <row r="409" spans="4:4" x14ac:dyDescent="0.25">
      <c r="D409" s="1"/>
    </row>
    <row r="410" spans="4:4" x14ac:dyDescent="0.25">
      <c r="D410" s="1"/>
    </row>
    <row r="411" spans="4:4" x14ac:dyDescent="0.25">
      <c r="D411" s="1"/>
    </row>
    <row r="412" spans="4:4" x14ac:dyDescent="0.25">
      <c r="D412" s="1"/>
    </row>
    <row r="413" spans="4:4" x14ac:dyDescent="0.25">
      <c r="D413" s="1"/>
    </row>
    <row r="414" spans="4:4" x14ac:dyDescent="0.25">
      <c r="D414" s="1"/>
    </row>
    <row r="415" spans="4:4" x14ac:dyDescent="0.25">
      <c r="D415" s="1"/>
    </row>
    <row r="416" spans="4:4" x14ac:dyDescent="0.25">
      <c r="D416" s="1"/>
    </row>
    <row r="417" spans="4:4" x14ac:dyDescent="0.25">
      <c r="D417" s="1"/>
    </row>
    <row r="418" spans="4:4" x14ac:dyDescent="0.25">
      <c r="D418" s="1"/>
    </row>
    <row r="419" spans="4:4" x14ac:dyDescent="0.25">
      <c r="D419" s="1"/>
    </row>
    <row r="420" spans="4:4" x14ac:dyDescent="0.25">
      <c r="D420" s="1"/>
    </row>
    <row r="421" spans="4:4" x14ac:dyDescent="0.25">
      <c r="D421" s="1"/>
    </row>
    <row r="422" spans="4:4" x14ac:dyDescent="0.25">
      <c r="D422" s="1"/>
    </row>
    <row r="423" spans="4:4" x14ac:dyDescent="0.25">
      <c r="D423" s="1"/>
    </row>
    <row r="424" spans="4:4" x14ac:dyDescent="0.25">
      <c r="D424" s="1"/>
    </row>
    <row r="425" spans="4:4" x14ac:dyDescent="0.25">
      <c r="D425" s="1"/>
    </row>
    <row r="426" spans="4:4" x14ac:dyDescent="0.25">
      <c r="D426" s="1"/>
    </row>
    <row r="427" spans="4:4" x14ac:dyDescent="0.25">
      <c r="D427" s="1"/>
    </row>
    <row r="428" spans="4:4" x14ac:dyDescent="0.25">
      <c r="D428" s="1"/>
    </row>
    <row r="429" spans="4:4" x14ac:dyDescent="0.25">
      <c r="D429" s="1"/>
    </row>
    <row r="430" spans="4:4" x14ac:dyDescent="0.25">
      <c r="D430" s="1"/>
    </row>
    <row r="431" spans="4:4" x14ac:dyDescent="0.25">
      <c r="D431" s="1"/>
    </row>
    <row r="432" spans="4:4" x14ac:dyDescent="0.25">
      <c r="D432" s="1"/>
    </row>
    <row r="433" spans="4:4" x14ac:dyDescent="0.25">
      <c r="D433" s="1"/>
    </row>
    <row r="434" spans="4:4" x14ac:dyDescent="0.25">
      <c r="D434" s="1"/>
    </row>
    <row r="435" spans="4:4" x14ac:dyDescent="0.25">
      <c r="D435" s="1"/>
    </row>
    <row r="436" spans="4:4" x14ac:dyDescent="0.25">
      <c r="D436" s="1"/>
    </row>
    <row r="437" spans="4:4" x14ac:dyDescent="0.25">
      <c r="D437" s="1"/>
    </row>
    <row r="438" spans="4:4" x14ac:dyDescent="0.25">
      <c r="D438" s="1"/>
    </row>
    <row r="439" spans="4:4" x14ac:dyDescent="0.25">
      <c r="D439" s="1"/>
    </row>
    <row r="440" spans="4:4" x14ac:dyDescent="0.25">
      <c r="D440" s="1"/>
    </row>
    <row r="441" spans="4:4" x14ac:dyDescent="0.25">
      <c r="D441" s="1"/>
    </row>
    <row r="442" spans="4:4" x14ac:dyDescent="0.25">
      <c r="D442" s="1"/>
    </row>
    <row r="443" spans="4:4" x14ac:dyDescent="0.25">
      <c r="D443" s="1"/>
    </row>
    <row r="444" spans="4:4" x14ac:dyDescent="0.25">
      <c r="D444" s="1"/>
    </row>
    <row r="445" spans="4:4" x14ac:dyDescent="0.25">
      <c r="D445" s="1"/>
    </row>
    <row r="446" spans="4:4" x14ac:dyDescent="0.25">
      <c r="D446" s="1"/>
    </row>
    <row r="447" spans="4:4" x14ac:dyDescent="0.25">
      <c r="D447" s="1"/>
    </row>
    <row r="448" spans="4:4" x14ac:dyDescent="0.25">
      <c r="D448" s="1"/>
    </row>
    <row r="449" spans="4:4" x14ac:dyDescent="0.25">
      <c r="D449" s="1"/>
    </row>
    <row r="450" spans="4:4" x14ac:dyDescent="0.25">
      <c r="D450" s="1"/>
    </row>
    <row r="451" spans="4:4" x14ac:dyDescent="0.25">
      <c r="D451" s="1"/>
    </row>
    <row r="452" spans="4:4" x14ac:dyDescent="0.25">
      <c r="D452" s="1"/>
    </row>
    <row r="453" spans="4:4" x14ac:dyDescent="0.25">
      <c r="D453" s="1"/>
    </row>
    <row r="454" spans="4:4" x14ac:dyDescent="0.25">
      <c r="D454" s="1"/>
    </row>
    <row r="455" spans="4:4" x14ac:dyDescent="0.25">
      <c r="D455" s="1"/>
    </row>
    <row r="456" spans="4:4" x14ac:dyDescent="0.25">
      <c r="D456" s="1"/>
    </row>
    <row r="457" spans="4:4" x14ac:dyDescent="0.25">
      <c r="D457" s="1"/>
    </row>
    <row r="458" spans="4:4" x14ac:dyDescent="0.25">
      <c r="D458" s="1"/>
    </row>
    <row r="459" spans="4:4" x14ac:dyDescent="0.25">
      <c r="D459" s="1"/>
    </row>
    <row r="460" spans="4:4" x14ac:dyDescent="0.25">
      <c r="D460" s="1"/>
    </row>
    <row r="461" spans="4:4" x14ac:dyDescent="0.25">
      <c r="D461" s="1"/>
    </row>
    <row r="462" spans="4:4" x14ac:dyDescent="0.25">
      <c r="D462" s="1"/>
    </row>
    <row r="463" spans="4:4" x14ac:dyDescent="0.25">
      <c r="D463" s="1"/>
    </row>
    <row r="464" spans="4:4" x14ac:dyDescent="0.25">
      <c r="D464" s="1"/>
    </row>
    <row r="465" spans="4:4" x14ac:dyDescent="0.25">
      <c r="D465" s="1"/>
    </row>
    <row r="466" spans="4:4" x14ac:dyDescent="0.25">
      <c r="D466" s="1"/>
    </row>
    <row r="467" spans="4:4" x14ac:dyDescent="0.25">
      <c r="D467" s="1"/>
    </row>
    <row r="468" spans="4:4" x14ac:dyDescent="0.25">
      <c r="D468" s="1"/>
    </row>
    <row r="469" spans="4:4" x14ac:dyDescent="0.25">
      <c r="D469" s="1"/>
    </row>
    <row r="470" spans="4:4" x14ac:dyDescent="0.25">
      <c r="D470" s="1"/>
    </row>
    <row r="471" spans="4:4" x14ac:dyDescent="0.25">
      <c r="D471" s="1"/>
    </row>
    <row r="472" spans="4:4" x14ac:dyDescent="0.25">
      <c r="D472" s="1"/>
    </row>
    <row r="473" spans="4:4" x14ac:dyDescent="0.25">
      <c r="D473" s="1"/>
    </row>
    <row r="474" spans="4:4" x14ac:dyDescent="0.25">
      <c r="D474" s="1"/>
    </row>
    <row r="475" spans="4:4" x14ac:dyDescent="0.25">
      <c r="D475" s="1"/>
    </row>
    <row r="476" spans="4:4" x14ac:dyDescent="0.25">
      <c r="D476" s="1"/>
    </row>
    <row r="477" spans="4:4" x14ac:dyDescent="0.25">
      <c r="D477" s="1"/>
    </row>
    <row r="478" spans="4:4" x14ac:dyDescent="0.25">
      <c r="D478" s="1"/>
    </row>
    <row r="479" spans="4:4" x14ac:dyDescent="0.25">
      <c r="D479" s="1"/>
    </row>
    <row r="480" spans="4:4" x14ac:dyDescent="0.25">
      <c r="D480" s="1"/>
    </row>
    <row r="481" spans="4:4" x14ac:dyDescent="0.25">
      <c r="D481" s="1"/>
    </row>
    <row r="482" spans="4:4" x14ac:dyDescent="0.25">
      <c r="D482" s="1"/>
    </row>
    <row r="483" spans="4:4" x14ac:dyDescent="0.25">
      <c r="D483" s="1"/>
    </row>
    <row r="484" spans="4:4" x14ac:dyDescent="0.25">
      <c r="D484" s="1"/>
    </row>
    <row r="485" spans="4:4" x14ac:dyDescent="0.25">
      <c r="D485" s="1"/>
    </row>
    <row r="486" spans="4:4" x14ac:dyDescent="0.25">
      <c r="D486" s="1"/>
    </row>
    <row r="487" spans="4:4" x14ac:dyDescent="0.25">
      <c r="D487" s="1"/>
    </row>
    <row r="488" spans="4:4" x14ac:dyDescent="0.25">
      <c r="D488" s="1"/>
    </row>
    <row r="489" spans="4:4" x14ac:dyDescent="0.25">
      <c r="D489" s="1"/>
    </row>
    <row r="490" spans="4:4" x14ac:dyDescent="0.25">
      <c r="D490" s="1"/>
    </row>
    <row r="491" spans="4:4" x14ac:dyDescent="0.25">
      <c r="D491" s="1"/>
    </row>
    <row r="492" spans="4:4" x14ac:dyDescent="0.25">
      <c r="D492" s="1"/>
    </row>
    <row r="493" spans="4:4" x14ac:dyDescent="0.25">
      <c r="D493" s="1"/>
    </row>
    <row r="494" spans="4:4" x14ac:dyDescent="0.25">
      <c r="D494" s="1"/>
    </row>
    <row r="495" spans="4:4" x14ac:dyDescent="0.25">
      <c r="D495" s="1"/>
    </row>
    <row r="496" spans="4:4" x14ac:dyDescent="0.25">
      <c r="D496" s="1"/>
    </row>
    <row r="497" spans="4:4" x14ac:dyDescent="0.25">
      <c r="D497" s="1"/>
    </row>
    <row r="498" spans="4:4" x14ac:dyDescent="0.25">
      <c r="D498" s="1"/>
    </row>
    <row r="499" spans="4:4" x14ac:dyDescent="0.25">
      <c r="D499" s="1"/>
    </row>
    <row r="500" spans="4:4" x14ac:dyDescent="0.25">
      <c r="D500" s="1"/>
    </row>
    <row r="501" spans="4:4" x14ac:dyDescent="0.25">
      <c r="D501" s="1"/>
    </row>
    <row r="502" spans="4:4" x14ac:dyDescent="0.25">
      <c r="D502" s="1"/>
    </row>
    <row r="503" spans="4:4" x14ac:dyDescent="0.25">
      <c r="D503" s="1"/>
    </row>
    <row r="504" spans="4:4" x14ac:dyDescent="0.25">
      <c r="D504" s="1"/>
    </row>
    <row r="505" spans="4:4" x14ac:dyDescent="0.25">
      <c r="D505" s="1"/>
    </row>
    <row r="506" spans="4:4" x14ac:dyDescent="0.25">
      <c r="D506" s="1"/>
    </row>
    <row r="507" spans="4:4" x14ac:dyDescent="0.25">
      <c r="D507" s="1"/>
    </row>
    <row r="508" spans="4:4" x14ac:dyDescent="0.25">
      <c r="D508" s="1"/>
    </row>
    <row r="509" spans="4:4" x14ac:dyDescent="0.25">
      <c r="D509" s="1"/>
    </row>
    <row r="510" spans="4:4" x14ac:dyDescent="0.25">
      <c r="D510" s="1"/>
    </row>
    <row r="511" spans="4:4" x14ac:dyDescent="0.25">
      <c r="D511" s="1"/>
    </row>
    <row r="512" spans="4:4" x14ac:dyDescent="0.25">
      <c r="D512" s="1"/>
    </row>
    <row r="513" spans="4:4" x14ac:dyDescent="0.25">
      <c r="D513" s="1"/>
    </row>
    <row r="514" spans="4:4" x14ac:dyDescent="0.25">
      <c r="D514" s="1"/>
    </row>
    <row r="515" spans="4:4" x14ac:dyDescent="0.25">
      <c r="D515" s="1"/>
    </row>
    <row r="516" spans="4:4" x14ac:dyDescent="0.25">
      <c r="D516" s="1"/>
    </row>
    <row r="517" spans="4:4" x14ac:dyDescent="0.25">
      <c r="D517" s="1"/>
    </row>
    <row r="518" spans="4:4" x14ac:dyDescent="0.25">
      <c r="D518" s="1"/>
    </row>
    <row r="519" spans="4:4" x14ac:dyDescent="0.25">
      <c r="D519" s="1"/>
    </row>
    <row r="520" spans="4:4" x14ac:dyDescent="0.25">
      <c r="D520" s="1"/>
    </row>
    <row r="521" spans="4:4" x14ac:dyDescent="0.25">
      <c r="D521" s="1"/>
    </row>
    <row r="522" spans="4:4" x14ac:dyDescent="0.25">
      <c r="D522" s="1"/>
    </row>
    <row r="523" spans="4:4" x14ac:dyDescent="0.25">
      <c r="D523" s="1"/>
    </row>
    <row r="524" spans="4:4" x14ac:dyDescent="0.25">
      <c r="D524" s="1"/>
    </row>
    <row r="525" spans="4:4" x14ac:dyDescent="0.25">
      <c r="D525" s="1"/>
    </row>
    <row r="526" spans="4:4" x14ac:dyDescent="0.25">
      <c r="D526" s="1"/>
    </row>
    <row r="527" spans="4:4" x14ac:dyDescent="0.25">
      <c r="D527" s="1"/>
    </row>
    <row r="528" spans="4:4" x14ac:dyDescent="0.25">
      <c r="D528" s="1"/>
    </row>
    <row r="529" spans="4:4" x14ac:dyDescent="0.25">
      <c r="D529" s="1"/>
    </row>
    <row r="530" spans="4:4" x14ac:dyDescent="0.25">
      <c r="D530" s="1"/>
    </row>
    <row r="531" spans="4:4" x14ac:dyDescent="0.25">
      <c r="D531" s="1"/>
    </row>
    <row r="532" spans="4:4" x14ac:dyDescent="0.25">
      <c r="D532" s="1"/>
    </row>
    <row r="533" spans="4:4" x14ac:dyDescent="0.25">
      <c r="D533" s="1"/>
    </row>
    <row r="534" spans="4:4" x14ac:dyDescent="0.25">
      <c r="D534" s="1"/>
    </row>
    <row r="535" spans="4:4" x14ac:dyDescent="0.25">
      <c r="D535" s="1"/>
    </row>
    <row r="536" spans="4:4" x14ac:dyDescent="0.25">
      <c r="D536" s="1"/>
    </row>
    <row r="537" spans="4:4" x14ac:dyDescent="0.25">
      <c r="D537" s="1"/>
    </row>
    <row r="538" spans="4:4" x14ac:dyDescent="0.25">
      <c r="D538" s="1"/>
    </row>
    <row r="539" spans="4:4" x14ac:dyDescent="0.25">
      <c r="D539" s="1"/>
    </row>
    <row r="540" spans="4:4" x14ac:dyDescent="0.25">
      <c r="D540" s="1"/>
    </row>
    <row r="541" spans="4:4" x14ac:dyDescent="0.25">
      <c r="D541" s="1"/>
    </row>
    <row r="542" spans="4:4" x14ac:dyDescent="0.25">
      <c r="D542" s="1"/>
    </row>
    <row r="543" spans="4:4" x14ac:dyDescent="0.25">
      <c r="D543" s="1"/>
    </row>
    <row r="544" spans="4:4" x14ac:dyDescent="0.25">
      <c r="D544" s="1"/>
    </row>
    <row r="545" spans="4:4" x14ac:dyDescent="0.25">
      <c r="D545" s="1"/>
    </row>
    <row r="546" spans="4:4" x14ac:dyDescent="0.25">
      <c r="D546" s="1"/>
    </row>
    <row r="547" spans="4:4" x14ac:dyDescent="0.25">
      <c r="D547" s="1"/>
    </row>
    <row r="548" spans="4:4" x14ac:dyDescent="0.25">
      <c r="D548" s="1"/>
    </row>
    <row r="549" spans="4:4" x14ac:dyDescent="0.25">
      <c r="D549" s="1"/>
    </row>
    <row r="550" spans="4:4" x14ac:dyDescent="0.25">
      <c r="D550" s="1"/>
    </row>
    <row r="551" spans="4:4" x14ac:dyDescent="0.25">
      <c r="D551" s="1"/>
    </row>
    <row r="552" spans="4:4" x14ac:dyDescent="0.25">
      <c r="D552" s="1"/>
    </row>
    <row r="553" spans="4:4" x14ac:dyDescent="0.25">
      <c r="D553" s="1"/>
    </row>
    <row r="554" spans="4:4" x14ac:dyDescent="0.25">
      <c r="D554" s="1"/>
    </row>
    <row r="555" spans="4:4" x14ac:dyDescent="0.25">
      <c r="D555" s="1"/>
    </row>
    <row r="556" spans="4:4" x14ac:dyDescent="0.25">
      <c r="D556" s="1"/>
    </row>
    <row r="557" spans="4:4" x14ac:dyDescent="0.25">
      <c r="D557" s="1"/>
    </row>
    <row r="558" spans="4:4" x14ac:dyDescent="0.25">
      <c r="D558" s="1"/>
    </row>
    <row r="559" spans="4:4" x14ac:dyDescent="0.25">
      <c r="D559" s="1"/>
    </row>
    <row r="560" spans="4:4" x14ac:dyDescent="0.25">
      <c r="D560" s="1"/>
    </row>
    <row r="561" spans="4:4" x14ac:dyDescent="0.25">
      <c r="D561" s="1"/>
    </row>
    <row r="562" spans="4:4" x14ac:dyDescent="0.25">
      <c r="D562" s="1"/>
    </row>
    <row r="563" spans="4:4" x14ac:dyDescent="0.25">
      <c r="D563" s="1"/>
    </row>
    <row r="564" spans="4:4" x14ac:dyDescent="0.25">
      <c r="D564" s="1"/>
    </row>
    <row r="565" spans="4:4" x14ac:dyDescent="0.25">
      <c r="D565" s="1"/>
    </row>
    <row r="566" spans="4:4" x14ac:dyDescent="0.25">
      <c r="D566" s="1"/>
    </row>
    <row r="567" spans="4:4" x14ac:dyDescent="0.25">
      <c r="D567" s="1"/>
    </row>
    <row r="568" spans="4:4" x14ac:dyDescent="0.25">
      <c r="D568" s="1"/>
    </row>
    <row r="569" spans="4:4" x14ac:dyDescent="0.25">
      <c r="D569" s="1"/>
    </row>
    <row r="570" spans="4:4" x14ac:dyDescent="0.25">
      <c r="D570" s="1"/>
    </row>
    <row r="571" spans="4:4" x14ac:dyDescent="0.25">
      <c r="D571" s="1"/>
    </row>
    <row r="572" spans="4:4" x14ac:dyDescent="0.25">
      <c r="D572" s="1"/>
    </row>
    <row r="573" spans="4:4" x14ac:dyDescent="0.25">
      <c r="D573" s="1"/>
    </row>
    <row r="574" spans="4:4" x14ac:dyDescent="0.25">
      <c r="D574" s="1"/>
    </row>
    <row r="575" spans="4:4" x14ac:dyDescent="0.25">
      <c r="D575" s="1"/>
    </row>
    <row r="576" spans="4:4" x14ac:dyDescent="0.25">
      <c r="D576" s="1"/>
    </row>
    <row r="577" spans="4:4" x14ac:dyDescent="0.25">
      <c r="D577" s="1"/>
    </row>
    <row r="578" spans="4:4" x14ac:dyDescent="0.25">
      <c r="D578" s="1"/>
    </row>
    <row r="579" spans="4:4" x14ac:dyDescent="0.25">
      <c r="D579" s="1"/>
    </row>
    <row r="580" spans="4:4" x14ac:dyDescent="0.25">
      <c r="D580" s="1"/>
    </row>
    <row r="581" spans="4:4" x14ac:dyDescent="0.25">
      <c r="D581" s="1"/>
    </row>
    <row r="582" spans="4:4" x14ac:dyDescent="0.25">
      <c r="D582" s="1"/>
    </row>
    <row r="583" spans="4:4" x14ac:dyDescent="0.25">
      <c r="D583" s="1"/>
    </row>
    <row r="584" spans="4:4" x14ac:dyDescent="0.25">
      <c r="D584" s="1"/>
    </row>
    <row r="585" spans="4:4" x14ac:dyDescent="0.25">
      <c r="D585" s="1"/>
    </row>
    <row r="586" spans="4:4" x14ac:dyDescent="0.25">
      <c r="D586" s="1"/>
    </row>
    <row r="587" spans="4:4" x14ac:dyDescent="0.25">
      <c r="D587" s="1"/>
    </row>
    <row r="588" spans="4:4" x14ac:dyDescent="0.25">
      <c r="D588" s="1"/>
    </row>
    <row r="589" spans="4:4" x14ac:dyDescent="0.25">
      <c r="D589" s="1"/>
    </row>
    <row r="590" spans="4:4" x14ac:dyDescent="0.25">
      <c r="D590" s="1"/>
    </row>
    <row r="591" spans="4:4" x14ac:dyDescent="0.25">
      <c r="D591" s="1"/>
    </row>
    <row r="592" spans="4:4" x14ac:dyDescent="0.25">
      <c r="D592" s="1"/>
    </row>
    <row r="593" spans="4:4" x14ac:dyDescent="0.25">
      <c r="D593" s="1"/>
    </row>
    <row r="594" spans="4:4" x14ac:dyDescent="0.25">
      <c r="D594" s="1"/>
    </row>
    <row r="595" spans="4:4" x14ac:dyDescent="0.25">
      <c r="D595" s="1"/>
    </row>
    <row r="596" spans="4:4" x14ac:dyDescent="0.25">
      <c r="D596" s="1"/>
    </row>
    <row r="597" spans="4:4" x14ac:dyDescent="0.25">
      <c r="D597" s="1"/>
    </row>
    <row r="598" spans="4:4" x14ac:dyDescent="0.25">
      <c r="D598" s="1"/>
    </row>
    <row r="599" spans="4:4" x14ac:dyDescent="0.25">
      <c r="D599" s="1"/>
    </row>
    <row r="600" spans="4:4" x14ac:dyDescent="0.25">
      <c r="D600" s="1"/>
    </row>
    <row r="601" spans="4:4" x14ac:dyDescent="0.25">
      <c r="D601" s="1"/>
    </row>
    <row r="602" spans="4:4" x14ac:dyDescent="0.25">
      <c r="D602" s="1"/>
    </row>
    <row r="603" spans="4:4" x14ac:dyDescent="0.25">
      <c r="D603" s="1"/>
    </row>
    <row r="604" spans="4:4" x14ac:dyDescent="0.25">
      <c r="D604" s="1"/>
    </row>
    <row r="605" spans="4:4" x14ac:dyDescent="0.25">
      <c r="D605" s="1"/>
    </row>
    <row r="606" spans="4:4" x14ac:dyDescent="0.25">
      <c r="D606" s="1"/>
    </row>
    <row r="607" spans="4:4" x14ac:dyDescent="0.25">
      <c r="D607" s="1"/>
    </row>
    <row r="608" spans="4:4" x14ac:dyDescent="0.25">
      <c r="D608" s="1"/>
    </row>
    <row r="609" spans="4:4" x14ac:dyDescent="0.25">
      <c r="D609" s="1"/>
    </row>
    <row r="610" spans="4:4" x14ac:dyDescent="0.25">
      <c r="D610" s="1"/>
    </row>
    <row r="611" spans="4:4" x14ac:dyDescent="0.25">
      <c r="D611" s="1"/>
    </row>
    <row r="612" spans="4:4" x14ac:dyDescent="0.25">
      <c r="D612" s="1"/>
    </row>
    <row r="613" spans="4:4" x14ac:dyDescent="0.25">
      <c r="D613" s="1"/>
    </row>
    <row r="614" spans="4:4" x14ac:dyDescent="0.25">
      <c r="D614" s="1"/>
    </row>
    <row r="615" spans="4:4" x14ac:dyDescent="0.25">
      <c r="D615" s="1"/>
    </row>
    <row r="616" spans="4:4" x14ac:dyDescent="0.25">
      <c r="D616" s="1"/>
    </row>
    <row r="617" spans="4:4" x14ac:dyDescent="0.25">
      <c r="D617" s="1"/>
    </row>
    <row r="618" spans="4:4" x14ac:dyDescent="0.25">
      <c r="D618" s="1"/>
    </row>
    <row r="619" spans="4:4" x14ac:dyDescent="0.25">
      <c r="D619" s="1"/>
    </row>
    <row r="620" spans="4:4" x14ac:dyDescent="0.25">
      <c r="D620" s="1"/>
    </row>
    <row r="621" spans="4:4" x14ac:dyDescent="0.25">
      <c r="D621" s="1"/>
    </row>
    <row r="622" spans="4:4" x14ac:dyDescent="0.25">
      <c r="D622" s="1"/>
    </row>
    <row r="623" spans="4:4" x14ac:dyDescent="0.25">
      <c r="D623" s="1"/>
    </row>
    <row r="624" spans="4:4" x14ac:dyDescent="0.25">
      <c r="D624" s="1"/>
    </row>
    <row r="625" spans="4:4" x14ac:dyDescent="0.25">
      <c r="D625" s="1"/>
    </row>
    <row r="626" spans="4:4" x14ac:dyDescent="0.25">
      <c r="D626" s="1"/>
    </row>
    <row r="627" spans="4:4" x14ac:dyDescent="0.25">
      <c r="D627" s="1"/>
    </row>
    <row r="628" spans="4:4" x14ac:dyDescent="0.25">
      <c r="D628" s="1"/>
    </row>
    <row r="629" spans="4:4" x14ac:dyDescent="0.25">
      <c r="D629" s="1"/>
    </row>
    <row r="630" spans="4:4" x14ac:dyDescent="0.25">
      <c r="D630" s="1"/>
    </row>
    <row r="631" spans="4:4" x14ac:dyDescent="0.25">
      <c r="D631" s="1"/>
    </row>
    <row r="632" spans="4:4" x14ac:dyDescent="0.25">
      <c r="D632" s="1"/>
    </row>
    <row r="633" spans="4:4" x14ac:dyDescent="0.25">
      <c r="D633" s="1"/>
    </row>
    <row r="634" spans="4:4" x14ac:dyDescent="0.25">
      <c r="D634" s="1"/>
    </row>
    <row r="635" spans="4:4" x14ac:dyDescent="0.25">
      <c r="D635" s="1"/>
    </row>
    <row r="636" spans="4:4" x14ac:dyDescent="0.25">
      <c r="D636" s="1"/>
    </row>
    <row r="637" spans="4:4" x14ac:dyDescent="0.25">
      <c r="D637" s="1"/>
    </row>
    <row r="638" spans="4:4" x14ac:dyDescent="0.25">
      <c r="D638" s="1"/>
    </row>
    <row r="639" spans="4:4" x14ac:dyDescent="0.25">
      <c r="D639" s="1"/>
    </row>
    <row r="640" spans="4:4" x14ac:dyDescent="0.25">
      <c r="D640" s="1"/>
    </row>
    <row r="641" spans="4:4" x14ac:dyDescent="0.25">
      <c r="D641" s="1"/>
    </row>
    <row r="642" spans="4:4" x14ac:dyDescent="0.25">
      <c r="D642" s="1"/>
    </row>
    <row r="643" spans="4:4" x14ac:dyDescent="0.25">
      <c r="D643" s="1"/>
    </row>
    <row r="644" spans="4:4" x14ac:dyDescent="0.25">
      <c r="D644" s="1"/>
    </row>
    <row r="645" spans="4:4" x14ac:dyDescent="0.25">
      <c r="D645" s="1"/>
    </row>
    <row r="646" spans="4:4" x14ac:dyDescent="0.25">
      <c r="D646" s="1"/>
    </row>
    <row r="647" spans="4:4" x14ac:dyDescent="0.25">
      <c r="D647" s="1"/>
    </row>
    <row r="648" spans="4:4" x14ac:dyDescent="0.25">
      <c r="D648" s="1"/>
    </row>
    <row r="649" spans="4:4" x14ac:dyDescent="0.25">
      <c r="D649" s="1"/>
    </row>
    <row r="650" spans="4:4" x14ac:dyDescent="0.25">
      <c r="D650" s="1"/>
    </row>
    <row r="651" spans="4:4" x14ac:dyDescent="0.25">
      <c r="D651" s="1"/>
    </row>
    <row r="652" spans="4:4" x14ac:dyDescent="0.25">
      <c r="D652" s="1"/>
    </row>
    <row r="653" spans="4:4" x14ac:dyDescent="0.25">
      <c r="D653" s="1"/>
    </row>
    <row r="654" spans="4:4" x14ac:dyDescent="0.25">
      <c r="D654" s="1"/>
    </row>
    <row r="655" spans="4:4" x14ac:dyDescent="0.25">
      <c r="D655" s="1"/>
    </row>
    <row r="656" spans="4:4" x14ac:dyDescent="0.25">
      <c r="D656" s="1"/>
    </row>
    <row r="657" spans="4:4" x14ac:dyDescent="0.25">
      <c r="D657" s="1"/>
    </row>
    <row r="658" spans="4:4" x14ac:dyDescent="0.25">
      <c r="D658" s="1"/>
    </row>
    <row r="659" spans="4:4" x14ac:dyDescent="0.25">
      <c r="D659" s="1"/>
    </row>
    <row r="660" spans="4:4" x14ac:dyDescent="0.25">
      <c r="D660" s="1"/>
    </row>
    <row r="661" spans="4:4" x14ac:dyDescent="0.25">
      <c r="D661" s="1"/>
    </row>
    <row r="662" spans="4:4" x14ac:dyDescent="0.25">
      <c r="D662" s="1"/>
    </row>
    <row r="663" spans="4:4" x14ac:dyDescent="0.25">
      <c r="D663" s="1"/>
    </row>
    <row r="664" spans="4:4" x14ac:dyDescent="0.25">
      <c r="D664" s="1"/>
    </row>
    <row r="665" spans="4:4" x14ac:dyDescent="0.25">
      <c r="D665" s="1"/>
    </row>
    <row r="666" spans="4:4" x14ac:dyDescent="0.25">
      <c r="D666" s="1"/>
    </row>
    <row r="667" spans="4:4" x14ac:dyDescent="0.25">
      <c r="D667" s="1"/>
    </row>
    <row r="668" spans="4:4" x14ac:dyDescent="0.25">
      <c r="D668" s="1"/>
    </row>
    <row r="669" spans="4:4" x14ac:dyDescent="0.25">
      <c r="D669" s="1"/>
    </row>
    <row r="670" spans="4:4" x14ac:dyDescent="0.25">
      <c r="D670" s="1"/>
    </row>
    <row r="671" spans="4:4" x14ac:dyDescent="0.25">
      <c r="D671" s="1"/>
    </row>
    <row r="672" spans="4:4" x14ac:dyDescent="0.25">
      <c r="D672" s="1"/>
    </row>
    <row r="673" spans="4:4" x14ac:dyDescent="0.25">
      <c r="D673" s="1"/>
    </row>
    <row r="674" spans="4:4" x14ac:dyDescent="0.25">
      <c r="D674" s="1"/>
    </row>
    <row r="675" spans="4:4" x14ac:dyDescent="0.25">
      <c r="D675" s="1"/>
    </row>
    <row r="676" spans="4:4" x14ac:dyDescent="0.25">
      <c r="D676" s="1"/>
    </row>
    <row r="677" spans="4:4" x14ac:dyDescent="0.25">
      <c r="D677" s="1"/>
    </row>
    <row r="678" spans="4:4" x14ac:dyDescent="0.25">
      <c r="D678" s="1"/>
    </row>
    <row r="679" spans="4:4" x14ac:dyDescent="0.25">
      <c r="D679" s="1"/>
    </row>
    <row r="680" spans="4:4" x14ac:dyDescent="0.25">
      <c r="D680" s="1"/>
    </row>
    <row r="681" spans="4:4" x14ac:dyDescent="0.25">
      <c r="D681" s="1"/>
    </row>
    <row r="682" spans="4:4" x14ac:dyDescent="0.25">
      <c r="D682" s="1"/>
    </row>
    <row r="683" spans="4:4" x14ac:dyDescent="0.25">
      <c r="D683" s="1"/>
    </row>
    <row r="684" spans="4:4" x14ac:dyDescent="0.25">
      <c r="D684" s="1"/>
    </row>
    <row r="685" spans="4:4" x14ac:dyDescent="0.25">
      <c r="D685" s="1"/>
    </row>
    <row r="686" spans="4:4" x14ac:dyDescent="0.25">
      <c r="D686" s="1"/>
    </row>
    <row r="687" spans="4:4" x14ac:dyDescent="0.25">
      <c r="D687" s="1"/>
    </row>
    <row r="688" spans="4:4" x14ac:dyDescent="0.25">
      <c r="D688" s="1"/>
    </row>
    <row r="689" spans="4:4" x14ac:dyDescent="0.25">
      <c r="D689" s="1"/>
    </row>
    <row r="690" spans="4:4" x14ac:dyDescent="0.25">
      <c r="D690" s="1"/>
    </row>
    <row r="691" spans="4:4" x14ac:dyDescent="0.25">
      <c r="D691" s="1"/>
    </row>
    <row r="692" spans="4:4" x14ac:dyDescent="0.25">
      <c r="D692" s="1"/>
    </row>
    <row r="693" spans="4:4" x14ac:dyDescent="0.25">
      <c r="D693" s="1"/>
    </row>
    <row r="694" spans="4:4" x14ac:dyDescent="0.25">
      <c r="D694" s="1"/>
    </row>
    <row r="695" spans="4:4" x14ac:dyDescent="0.25">
      <c r="D695" s="1"/>
    </row>
    <row r="696" spans="4:4" x14ac:dyDescent="0.25">
      <c r="D696" s="1"/>
    </row>
    <row r="697" spans="4:4" x14ac:dyDescent="0.25">
      <c r="D697" s="1"/>
    </row>
    <row r="698" spans="4:4" x14ac:dyDescent="0.25">
      <c r="D698" s="1"/>
    </row>
    <row r="699" spans="4:4" x14ac:dyDescent="0.25">
      <c r="D699" s="1"/>
    </row>
    <row r="700" spans="4:4" x14ac:dyDescent="0.25">
      <c r="D700" s="1"/>
    </row>
    <row r="701" spans="4:4" x14ac:dyDescent="0.25">
      <c r="D701" s="1"/>
    </row>
    <row r="702" spans="4:4" x14ac:dyDescent="0.25">
      <c r="D702" s="1"/>
    </row>
    <row r="703" spans="4:4" x14ac:dyDescent="0.25">
      <c r="D703" s="1"/>
    </row>
    <row r="704" spans="4:4" x14ac:dyDescent="0.25">
      <c r="D704" s="1"/>
    </row>
    <row r="705" spans="4:4" x14ac:dyDescent="0.25">
      <c r="D705" s="1"/>
    </row>
    <row r="706" spans="4:4" x14ac:dyDescent="0.25">
      <c r="D706" s="1"/>
    </row>
    <row r="707" spans="4:4" x14ac:dyDescent="0.25">
      <c r="D707" s="1"/>
    </row>
    <row r="708" spans="4:4" x14ac:dyDescent="0.25">
      <c r="D708" s="1"/>
    </row>
    <row r="709" spans="4:4" x14ac:dyDescent="0.25">
      <c r="D709" s="1"/>
    </row>
    <row r="710" spans="4:4" x14ac:dyDescent="0.25">
      <c r="D710" s="1"/>
    </row>
    <row r="711" spans="4:4" x14ac:dyDescent="0.25">
      <c r="D711" s="1"/>
    </row>
    <row r="712" spans="4:4" x14ac:dyDescent="0.25">
      <c r="D712" s="1"/>
    </row>
    <row r="713" spans="4:4" x14ac:dyDescent="0.25">
      <c r="D713" s="1"/>
    </row>
    <row r="714" spans="4:4" x14ac:dyDescent="0.25">
      <c r="D714" s="1"/>
    </row>
    <row r="715" spans="4:4" x14ac:dyDescent="0.25">
      <c r="D715" s="1"/>
    </row>
    <row r="716" spans="4:4" x14ac:dyDescent="0.25">
      <c r="D716" s="1"/>
    </row>
    <row r="717" spans="4:4" x14ac:dyDescent="0.25">
      <c r="D717" s="1"/>
    </row>
    <row r="718" spans="4:4" x14ac:dyDescent="0.25">
      <c r="D718" s="1"/>
    </row>
    <row r="719" spans="4:4" x14ac:dyDescent="0.25">
      <c r="D719" s="1"/>
    </row>
    <row r="720" spans="4:4" x14ac:dyDescent="0.25">
      <c r="D720" s="1"/>
    </row>
    <row r="721" spans="4:4" x14ac:dyDescent="0.25">
      <c r="D721" s="1"/>
    </row>
    <row r="722" spans="4:4" x14ac:dyDescent="0.25">
      <c r="D722" s="1"/>
    </row>
    <row r="723" spans="4:4" x14ac:dyDescent="0.25">
      <c r="D723" s="1"/>
    </row>
    <row r="724" spans="4:4" x14ac:dyDescent="0.25">
      <c r="D724" s="1"/>
    </row>
    <row r="725" spans="4:4" x14ac:dyDescent="0.25">
      <c r="D725" s="1"/>
    </row>
    <row r="726" spans="4:4" x14ac:dyDescent="0.25">
      <c r="D726" s="1"/>
    </row>
    <row r="727" spans="4:4" x14ac:dyDescent="0.25">
      <c r="D727" s="1"/>
    </row>
    <row r="728" spans="4:4" x14ac:dyDescent="0.25">
      <c r="D728" s="1"/>
    </row>
    <row r="729" spans="4:4" x14ac:dyDescent="0.25">
      <c r="D729" s="1"/>
    </row>
    <row r="730" spans="4:4" x14ac:dyDescent="0.25">
      <c r="D730" s="1"/>
    </row>
    <row r="731" spans="4:4" x14ac:dyDescent="0.25">
      <c r="D731" s="1"/>
    </row>
    <row r="732" spans="4:4" x14ac:dyDescent="0.25">
      <c r="D732" s="1"/>
    </row>
    <row r="733" spans="4:4" x14ac:dyDescent="0.25">
      <c r="D733" s="1"/>
    </row>
    <row r="734" spans="4:4" x14ac:dyDescent="0.25">
      <c r="D734" s="1"/>
    </row>
    <row r="735" spans="4:4" x14ac:dyDescent="0.25">
      <c r="D735" s="1"/>
    </row>
    <row r="736" spans="4:4" x14ac:dyDescent="0.25">
      <c r="D736" s="1"/>
    </row>
    <row r="737" spans="4:4" x14ac:dyDescent="0.25">
      <c r="D737" s="1"/>
    </row>
    <row r="738" spans="4:4" x14ac:dyDescent="0.25">
      <c r="D738" s="1"/>
    </row>
    <row r="739" spans="4:4" x14ac:dyDescent="0.25">
      <c r="D739" s="1"/>
    </row>
    <row r="740" spans="4:4" x14ac:dyDescent="0.25">
      <c r="D740" s="1"/>
    </row>
    <row r="741" spans="4:4" x14ac:dyDescent="0.25">
      <c r="D741" s="1"/>
    </row>
    <row r="742" spans="4:4" x14ac:dyDescent="0.25">
      <c r="D742" s="1"/>
    </row>
    <row r="743" spans="4:4" x14ac:dyDescent="0.25">
      <c r="D743" s="1"/>
    </row>
    <row r="744" spans="4:4" x14ac:dyDescent="0.25">
      <c r="D744" s="1"/>
    </row>
    <row r="745" spans="4:4" x14ac:dyDescent="0.25">
      <c r="D745" s="1"/>
    </row>
    <row r="746" spans="4:4" x14ac:dyDescent="0.25">
      <c r="D746" s="1"/>
    </row>
    <row r="747" spans="4:4" x14ac:dyDescent="0.25">
      <c r="D747" s="1"/>
    </row>
    <row r="748" spans="4:4" x14ac:dyDescent="0.25">
      <c r="D748" s="1"/>
    </row>
    <row r="749" spans="4:4" x14ac:dyDescent="0.25">
      <c r="D749" s="1"/>
    </row>
    <row r="750" spans="4:4" x14ac:dyDescent="0.25">
      <c r="D750" s="1"/>
    </row>
    <row r="751" spans="4:4" x14ac:dyDescent="0.25">
      <c r="D751" s="1"/>
    </row>
    <row r="752" spans="4:4" x14ac:dyDescent="0.25">
      <c r="D752" s="1"/>
    </row>
    <row r="753" spans="4:4" x14ac:dyDescent="0.25">
      <c r="D753" s="1"/>
    </row>
    <row r="754" spans="4:4" x14ac:dyDescent="0.25">
      <c r="D754" s="1"/>
    </row>
    <row r="755" spans="4:4" x14ac:dyDescent="0.25">
      <c r="D755" s="1"/>
    </row>
    <row r="756" spans="4:4" x14ac:dyDescent="0.25">
      <c r="D756" s="1"/>
    </row>
    <row r="757" spans="4:4" x14ac:dyDescent="0.25">
      <c r="D757" s="1"/>
    </row>
    <row r="758" spans="4:4" x14ac:dyDescent="0.25">
      <c r="D758" s="1"/>
    </row>
    <row r="759" spans="4:4" x14ac:dyDescent="0.25">
      <c r="D759" s="1"/>
    </row>
    <row r="760" spans="4:4" x14ac:dyDescent="0.25">
      <c r="D760" s="1"/>
    </row>
    <row r="761" spans="4:4" x14ac:dyDescent="0.25">
      <c r="D761" s="1"/>
    </row>
    <row r="762" spans="4:4" x14ac:dyDescent="0.25">
      <c r="D762" s="1"/>
    </row>
    <row r="763" spans="4:4" x14ac:dyDescent="0.25">
      <c r="D763" s="1"/>
    </row>
    <row r="764" spans="4:4" x14ac:dyDescent="0.25">
      <c r="D764" s="1"/>
    </row>
    <row r="765" spans="4:4" x14ac:dyDescent="0.25">
      <c r="D765" s="1"/>
    </row>
    <row r="766" spans="4:4" x14ac:dyDescent="0.25">
      <c r="D766" s="1"/>
    </row>
    <row r="767" spans="4:4" x14ac:dyDescent="0.25">
      <c r="D767" s="1"/>
    </row>
    <row r="768" spans="4:4" x14ac:dyDescent="0.25">
      <c r="D768" s="1"/>
    </row>
    <row r="769" spans="4:4" x14ac:dyDescent="0.25">
      <c r="D769" s="1"/>
    </row>
    <row r="770" spans="4:4" x14ac:dyDescent="0.25">
      <c r="D770" s="1"/>
    </row>
    <row r="771" spans="4:4" x14ac:dyDescent="0.25">
      <c r="D771" s="1"/>
    </row>
    <row r="772" spans="4:4" x14ac:dyDescent="0.25">
      <c r="D772" s="1"/>
    </row>
    <row r="773" spans="4:4" x14ac:dyDescent="0.25">
      <c r="D773" s="1"/>
    </row>
    <row r="774" spans="4:4" x14ac:dyDescent="0.25">
      <c r="D774" s="1"/>
    </row>
    <row r="775" spans="4:4" x14ac:dyDescent="0.25">
      <c r="D775" s="1"/>
    </row>
    <row r="776" spans="4:4" x14ac:dyDescent="0.25">
      <c r="D776" s="1"/>
    </row>
    <row r="777" spans="4:4" x14ac:dyDescent="0.25">
      <c r="D777" s="1"/>
    </row>
    <row r="778" spans="4:4" x14ac:dyDescent="0.25">
      <c r="D778" s="1"/>
    </row>
    <row r="779" spans="4:4" x14ac:dyDescent="0.25">
      <c r="D779" s="1"/>
    </row>
    <row r="780" spans="4:4" x14ac:dyDescent="0.25">
      <c r="D780" s="1"/>
    </row>
    <row r="781" spans="4:4" x14ac:dyDescent="0.25">
      <c r="D781" s="1"/>
    </row>
    <row r="782" spans="4:4" x14ac:dyDescent="0.25">
      <c r="D782" s="1"/>
    </row>
    <row r="783" spans="4:4" x14ac:dyDescent="0.25">
      <c r="D783" s="1"/>
    </row>
    <row r="784" spans="4:4" x14ac:dyDescent="0.25">
      <c r="D784" s="1"/>
    </row>
    <row r="785" spans="4:4" x14ac:dyDescent="0.25">
      <c r="D785" s="1"/>
    </row>
    <row r="786" spans="4:4" x14ac:dyDescent="0.25">
      <c r="D786" s="1"/>
    </row>
    <row r="787" spans="4:4" x14ac:dyDescent="0.25">
      <c r="D787" s="1"/>
    </row>
    <row r="788" spans="4:4" x14ac:dyDescent="0.25">
      <c r="D788" s="1"/>
    </row>
    <row r="789" spans="4:4" x14ac:dyDescent="0.25">
      <c r="D789" s="1"/>
    </row>
    <row r="790" spans="4:4" x14ac:dyDescent="0.25">
      <c r="D790" s="1"/>
    </row>
    <row r="791" spans="4:4" x14ac:dyDescent="0.25">
      <c r="D791" s="1"/>
    </row>
    <row r="792" spans="4:4" x14ac:dyDescent="0.25">
      <c r="D792" s="1"/>
    </row>
    <row r="793" spans="4:4" x14ac:dyDescent="0.25">
      <c r="D793" s="1"/>
    </row>
    <row r="794" spans="4:4" x14ac:dyDescent="0.25">
      <c r="D794" s="1"/>
    </row>
    <row r="795" spans="4:4" x14ac:dyDescent="0.25">
      <c r="D795" s="1"/>
    </row>
    <row r="796" spans="4:4" x14ac:dyDescent="0.25">
      <c r="D796" s="1"/>
    </row>
    <row r="797" spans="4:4" x14ac:dyDescent="0.25">
      <c r="D797" s="1"/>
    </row>
    <row r="798" spans="4:4" x14ac:dyDescent="0.25">
      <c r="D798" s="1"/>
    </row>
    <row r="799" spans="4:4" x14ac:dyDescent="0.25">
      <c r="D799" s="1"/>
    </row>
    <row r="800" spans="4:4" x14ac:dyDescent="0.25">
      <c r="D800" s="1"/>
    </row>
    <row r="801" spans="4:4" x14ac:dyDescent="0.25">
      <c r="D801" s="1"/>
    </row>
    <row r="802" spans="4:4" x14ac:dyDescent="0.25">
      <c r="D802" s="1"/>
    </row>
    <row r="803" spans="4:4" x14ac:dyDescent="0.25">
      <c r="D803" s="1"/>
    </row>
    <row r="804" spans="4:4" x14ac:dyDescent="0.25">
      <c r="D804" s="1"/>
    </row>
    <row r="805" spans="4:4" x14ac:dyDescent="0.25">
      <c r="D805" s="1"/>
    </row>
    <row r="806" spans="4:4" x14ac:dyDescent="0.25">
      <c r="D806" s="1"/>
    </row>
    <row r="807" spans="4:4" x14ac:dyDescent="0.25">
      <c r="D807" s="1"/>
    </row>
    <row r="808" spans="4:4" x14ac:dyDescent="0.25">
      <c r="D808" s="1"/>
    </row>
    <row r="809" spans="4:4" x14ac:dyDescent="0.25">
      <c r="D809" s="1"/>
    </row>
    <row r="810" spans="4:4" x14ac:dyDescent="0.25">
      <c r="D810" s="1"/>
    </row>
    <row r="811" spans="4:4" x14ac:dyDescent="0.25">
      <c r="D811" s="1"/>
    </row>
    <row r="812" spans="4:4" x14ac:dyDescent="0.25">
      <c r="D812" s="1"/>
    </row>
    <row r="813" spans="4:4" x14ac:dyDescent="0.25">
      <c r="D813" s="1"/>
    </row>
    <row r="814" spans="4:4" x14ac:dyDescent="0.25">
      <c r="D814" s="1"/>
    </row>
    <row r="815" spans="4:4" x14ac:dyDescent="0.25">
      <c r="D815" s="1"/>
    </row>
    <row r="816" spans="4:4" x14ac:dyDescent="0.25">
      <c r="D816" s="1"/>
    </row>
    <row r="817" spans="4:4" x14ac:dyDescent="0.25">
      <c r="D817" s="1"/>
    </row>
    <row r="818" spans="4:4" x14ac:dyDescent="0.25">
      <c r="D818" s="1"/>
    </row>
    <row r="819" spans="4:4" x14ac:dyDescent="0.25">
      <c r="D819" s="1"/>
    </row>
    <row r="820" spans="4:4" x14ac:dyDescent="0.25">
      <c r="D820" s="1"/>
    </row>
    <row r="821" spans="4:4" x14ac:dyDescent="0.25">
      <c r="D821" s="1"/>
    </row>
    <row r="822" spans="4:4" x14ac:dyDescent="0.25">
      <c r="D822" s="1"/>
    </row>
    <row r="823" spans="4:4" x14ac:dyDescent="0.25">
      <c r="D823" s="1"/>
    </row>
    <row r="824" spans="4:4" x14ac:dyDescent="0.25">
      <c r="D824" s="1"/>
    </row>
    <row r="825" spans="4:4" x14ac:dyDescent="0.25">
      <c r="D825" s="1"/>
    </row>
    <row r="826" spans="4:4" x14ac:dyDescent="0.25">
      <c r="D826" s="1"/>
    </row>
    <row r="827" spans="4:4" x14ac:dyDescent="0.25">
      <c r="D827" s="1"/>
    </row>
    <row r="828" spans="4:4" x14ac:dyDescent="0.25">
      <c r="D828" s="1"/>
    </row>
    <row r="829" spans="4:4" x14ac:dyDescent="0.25">
      <c r="D829" s="1"/>
    </row>
    <row r="830" spans="4:4" x14ac:dyDescent="0.25">
      <c r="D830" s="1"/>
    </row>
    <row r="831" spans="4:4" x14ac:dyDescent="0.25">
      <c r="D831" s="1"/>
    </row>
    <row r="832" spans="4:4" x14ac:dyDescent="0.25">
      <c r="D832" s="1"/>
    </row>
    <row r="833" spans="4:4" x14ac:dyDescent="0.25">
      <c r="D833" s="1"/>
    </row>
    <row r="834" spans="4:4" x14ac:dyDescent="0.25">
      <c r="D834" s="1"/>
    </row>
    <row r="835" spans="4:4" x14ac:dyDescent="0.25">
      <c r="D835" s="1"/>
    </row>
    <row r="836" spans="4:4" x14ac:dyDescent="0.25">
      <c r="D836" s="1"/>
    </row>
    <row r="837" spans="4:4" x14ac:dyDescent="0.25">
      <c r="D837" s="1"/>
    </row>
    <row r="838" spans="4:4" x14ac:dyDescent="0.25">
      <c r="D838" s="1"/>
    </row>
    <row r="839" spans="4:4" x14ac:dyDescent="0.25">
      <c r="D839" s="1"/>
    </row>
    <row r="840" spans="4:4" x14ac:dyDescent="0.25">
      <c r="D840" s="1"/>
    </row>
    <row r="841" spans="4:4" x14ac:dyDescent="0.25">
      <c r="D841" s="1"/>
    </row>
    <row r="842" spans="4:4" x14ac:dyDescent="0.25">
      <c r="D842" s="1"/>
    </row>
    <row r="843" spans="4:4" x14ac:dyDescent="0.25">
      <c r="D843" s="1"/>
    </row>
    <row r="844" spans="4:4" x14ac:dyDescent="0.25">
      <c r="D844" s="1"/>
    </row>
    <row r="845" spans="4:4" x14ac:dyDescent="0.25">
      <c r="D845" s="1"/>
    </row>
    <row r="846" spans="4:4" x14ac:dyDescent="0.25">
      <c r="D846" s="1"/>
    </row>
    <row r="847" spans="4:4" x14ac:dyDescent="0.25">
      <c r="D847" s="1"/>
    </row>
    <row r="848" spans="4:4" x14ac:dyDescent="0.25">
      <c r="D848" s="1"/>
    </row>
    <row r="849" spans="4:4" x14ac:dyDescent="0.25">
      <c r="D849" s="1"/>
    </row>
    <row r="850" spans="4:4" x14ac:dyDescent="0.25">
      <c r="D850" s="1"/>
    </row>
    <row r="851" spans="4:4" x14ac:dyDescent="0.25">
      <c r="D851" s="1"/>
    </row>
    <row r="852" spans="4:4" x14ac:dyDescent="0.25">
      <c r="D852" s="1"/>
    </row>
    <row r="853" spans="4:4" x14ac:dyDescent="0.25">
      <c r="D853" s="1"/>
    </row>
    <row r="854" spans="4:4" x14ac:dyDescent="0.25">
      <c r="D854" s="1"/>
    </row>
    <row r="855" spans="4:4" x14ac:dyDescent="0.25">
      <c r="D855" s="1"/>
    </row>
    <row r="856" spans="4:4" x14ac:dyDescent="0.25">
      <c r="D856" s="1"/>
    </row>
    <row r="857" spans="4:4" x14ac:dyDescent="0.25">
      <c r="D857" s="1"/>
    </row>
    <row r="858" spans="4:4" x14ac:dyDescent="0.25">
      <c r="D858" s="1"/>
    </row>
    <row r="859" spans="4:4" x14ac:dyDescent="0.25">
      <c r="D859" s="1"/>
    </row>
    <row r="860" spans="4:4" x14ac:dyDescent="0.25">
      <c r="D860" s="1"/>
    </row>
    <row r="861" spans="4:4" x14ac:dyDescent="0.25">
      <c r="D861" s="1"/>
    </row>
    <row r="862" spans="4:4" x14ac:dyDescent="0.25">
      <c r="D862" s="1"/>
    </row>
    <row r="863" spans="4:4" x14ac:dyDescent="0.25">
      <c r="D863" s="1"/>
    </row>
    <row r="864" spans="4:4" x14ac:dyDescent="0.25">
      <c r="D864" s="1"/>
    </row>
    <row r="865" spans="4:4" x14ac:dyDescent="0.25">
      <c r="D865" s="1"/>
    </row>
    <row r="866" spans="4:4" x14ac:dyDescent="0.25">
      <c r="D866" s="1"/>
    </row>
    <row r="867" spans="4:4" x14ac:dyDescent="0.25">
      <c r="D867" s="1"/>
    </row>
    <row r="868" spans="4:4" x14ac:dyDescent="0.25">
      <c r="D868" s="1"/>
    </row>
    <row r="869" spans="4:4" x14ac:dyDescent="0.25">
      <c r="D869" s="1"/>
    </row>
    <row r="870" spans="4:4" x14ac:dyDescent="0.25">
      <c r="D870" s="1"/>
    </row>
    <row r="871" spans="4:4" x14ac:dyDescent="0.25">
      <c r="D871" s="1"/>
    </row>
    <row r="872" spans="4:4" x14ac:dyDescent="0.25">
      <c r="D872" s="1"/>
    </row>
    <row r="873" spans="4:4" x14ac:dyDescent="0.25">
      <c r="D873" s="1"/>
    </row>
    <row r="874" spans="4:4" x14ac:dyDescent="0.25">
      <c r="D874" s="1"/>
    </row>
    <row r="875" spans="4:4" x14ac:dyDescent="0.25">
      <c r="D875" s="1"/>
    </row>
    <row r="876" spans="4:4" x14ac:dyDescent="0.25">
      <c r="D876" s="1"/>
    </row>
    <row r="877" spans="4:4" x14ac:dyDescent="0.25">
      <c r="D877" s="1"/>
    </row>
    <row r="878" spans="4:4" x14ac:dyDescent="0.25">
      <c r="D878" s="1"/>
    </row>
    <row r="879" spans="4:4" x14ac:dyDescent="0.25">
      <c r="D879" s="1"/>
    </row>
    <row r="880" spans="4:4" x14ac:dyDescent="0.25">
      <c r="D880" s="1"/>
    </row>
    <row r="881" spans="4:4" x14ac:dyDescent="0.25">
      <c r="D881" s="1"/>
    </row>
    <row r="882" spans="4:4" x14ac:dyDescent="0.25">
      <c r="D882" s="1"/>
    </row>
    <row r="883" spans="4:4" x14ac:dyDescent="0.25">
      <c r="D883" s="1"/>
    </row>
    <row r="884" spans="4:4" x14ac:dyDescent="0.25">
      <c r="D884" s="1"/>
    </row>
    <row r="885" spans="4:4" x14ac:dyDescent="0.25">
      <c r="D885" s="1"/>
    </row>
    <row r="886" spans="4:4" x14ac:dyDescent="0.25">
      <c r="D886" s="1"/>
    </row>
    <row r="887" spans="4:4" x14ac:dyDescent="0.25">
      <c r="D887" s="1"/>
    </row>
    <row r="888" spans="4:4" x14ac:dyDescent="0.25">
      <c r="D888" s="1"/>
    </row>
    <row r="889" spans="4:4" x14ac:dyDescent="0.25">
      <c r="D889" s="1"/>
    </row>
    <row r="890" spans="4:4" x14ac:dyDescent="0.25">
      <c r="D890" s="1"/>
    </row>
    <row r="891" spans="4:4" x14ac:dyDescent="0.25">
      <c r="D891" s="1"/>
    </row>
    <row r="892" spans="4:4" x14ac:dyDescent="0.25">
      <c r="D892" s="1"/>
    </row>
    <row r="893" spans="4:4" x14ac:dyDescent="0.25">
      <c r="D893" s="1"/>
    </row>
    <row r="894" spans="4:4" x14ac:dyDescent="0.25">
      <c r="D894" s="1"/>
    </row>
    <row r="895" spans="4:4" x14ac:dyDescent="0.25">
      <c r="D895" s="1"/>
    </row>
    <row r="896" spans="4:4" x14ac:dyDescent="0.25">
      <c r="D896" s="1"/>
    </row>
    <row r="897" spans="4:4" x14ac:dyDescent="0.25">
      <c r="D897" s="1"/>
    </row>
    <row r="898" spans="4:4" x14ac:dyDescent="0.25">
      <c r="D898" s="1"/>
    </row>
    <row r="899" spans="4:4" x14ac:dyDescent="0.25">
      <c r="D899" s="1"/>
    </row>
    <row r="900" spans="4:4" x14ac:dyDescent="0.25">
      <c r="D900" s="1"/>
    </row>
    <row r="901" spans="4:4" x14ac:dyDescent="0.25">
      <c r="D901" s="1"/>
    </row>
    <row r="902" spans="4:4" x14ac:dyDescent="0.25">
      <c r="D902" s="1"/>
    </row>
    <row r="903" spans="4:4" x14ac:dyDescent="0.25">
      <c r="D903" s="1"/>
    </row>
    <row r="904" spans="4:4" x14ac:dyDescent="0.25">
      <c r="D904" s="1"/>
    </row>
    <row r="905" spans="4:4" x14ac:dyDescent="0.25">
      <c r="D905" s="1"/>
    </row>
    <row r="906" spans="4:4" x14ac:dyDescent="0.25">
      <c r="D906" s="1"/>
    </row>
    <row r="907" spans="4:4" x14ac:dyDescent="0.25">
      <c r="D907" s="1"/>
    </row>
    <row r="908" spans="4:4" x14ac:dyDescent="0.25">
      <c r="D908" s="1"/>
    </row>
    <row r="909" spans="4:4" x14ac:dyDescent="0.25">
      <c r="D909" s="1"/>
    </row>
    <row r="910" spans="4:4" x14ac:dyDescent="0.25">
      <c r="D910" s="1"/>
    </row>
    <row r="911" spans="4:4" x14ac:dyDescent="0.25">
      <c r="D911" s="1"/>
    </row>
    <row r="912" spans="4:4" x14ac:dyDescent="0.25">
      <c r="D912" s="1"/>
    </row>
    <row r="913" spans="4:4" x14ac:dyDescent="0.25">
      <c r="D913" s="1"/>
    </row>
    <row r="914" spans="4:4" x14ac:dyDescent="0.25">
      <c r="D914" s="1"/>
    </row>
    <row r="915" spans="4:4" x14ac:dyDescent="0.25">
      <c r="D915" s="1"/>
    </row>
    <row r="916" spans="4:4" x14ac:dyDescent="0.25">
      <c r="D916" s="1"/>
    </row>
    <row r="917" spans="4:4" x14ac:dyDescent="0.25">
      <c r="D917" s="1"/>
    </row>
    <row r="918" spans="4:4" x14ac:dyDescent="0.25">
      <c r="D918" s="1"/>
    </row>
    <row r="919" spans="4:4" x14ac:dyDescent="0.25">
      <c r="D919" s="1"/>
    </row>
    <row r="920" spans="4:4" x14ac:dyDescent="0.25">
      <c r="D920" s="1"/>
    </row>
    <row r="921" spans="4:4" x14ac:dyDescent="0.25">
      <c r="D921" s="1"/>
    </row>
    <row r="922" spans="4:4" x14ac:dyDescent="0.25">
      <c r="D922" s="1"/>
    </row>
    <row r="923" spans="4:4" x14ac:dyDescent="0.25">
      <c r="D923" s="1"/>
    </row>
    <row r="924" spans="4:4" x14ac:dyDescent="0.25">
      <c r="D924" s="1"/>
    </row>
    <row r="925" spans="4:4" x14ac:dyDescent="0.25">
      <c r="D925" s="1"/>
    </row>
    <row r="926" spans="4:4" x14ac:dyDescent="0.25">
      <c r="D926" s="1"/>
    </row>
    <row r="927" spans="4:4" x14ac:dyDescent="0.25">
      <c r="D927" s="1"/>
    </row>
    <row r="928" spans="4:4" x14ac:dyDescent="0.25">
      <c r="D928" s="1"/>
    </row>
    <row r="929" spans="4:4" x14ac:dyDescent="0.25">
      <c r="D929" s="1"/>
    </row>
    <row r="930" spans="4:4" x14ac:dyDescent="0.25">
      <c r="D930" s="1"/>
    </row>
    <row r="931" spans="4:4" x14ac:dyDescent="0.25">
      <c r="D931" s="1"/>
    </row>
    <row r="932" spans="4:4" x14ac:dyDescent="0.25">
      <c r="D932" s="1"/>
    </row>
    <row r="933" spans="4:4" x14ac:dyDescent="0.25">
      <c r="D933" s="1"/>
    </row>
    <row r="934" spans="4:4" x14ac:dyDescent="0.25">
      <c r="D934" s="1"/>
    </row>
    <row r="935" spans="4:4" x14ac:dyDescent="0.25">
      <c r="D935" s="1"/>
    </row>
    <row r="936" spans="4:4" x14ac:dyDescent="0.25">
      <c r="D936" s="1"/>
    </row>
    <row r="937" spans="4:4" x14ac:dyDescent="0.25">
      <c r="D937" s="1"/>
    </row>
    <row r="938" spans="4:4" x14ac:dyDescent="0.25">
      <c r="D938" s="1"/>
    </row>
    <row r="939" spans="4:4" x14ac:dyDescent="0.25">
      <c r="D939" s="1"/>
    </row>
    <row r="940" spans="4:4" x14ac:dyDescent="0.25">
      <c r="D940" s="1"/>
    </row>
    <row r="941" spans="4:4" x14ac:dyDescent="0.25">
      <c r="D941" s="1"/>
    </row>
    <row r="942" spans="4:4" x14ac:dyDescent="0.25">
      <c r="D942" s="1"/>
    </row>
    <row r="943" spans="4:4" x14ac:dyDescent="0.25">
      <c r="D943" s="1"/>
    </row>
    <row r="944" spans="4:4" x14ac:dyDescent="0.25">
      <c r="D944" s="1"/>
    </row>
    <row r="945" spans="4:4" x14ac:dyDescent="0.25">
      <c r="D945" s="1"/>
    </row>
    <row r="946" spans="4:4" x14ac:dyDescent="0.25">
      <c r="D946" s="1"/>
    </row>
    <row r="947" spans="4:4" x14ac:dyDescent="0.25">
      <c r="D947" s="1"/>
    </row>
    <row r="948" spans="4:4" x14ac:dyDescent="0.25">
      <c r="D948" s="1"/>
    </row>
    <row r="949" spans="4:4" x14ac:dyDescent="0.25">
      <c r="D949" s="1"/>
    </row>
    <row r="950" spans="4:4" x14ac:dyDescent="0.25">
      <c r="D950" s="1"/>
    </row>
    <row r="951" spans="4:4" x14ac:dyDescent="0.25">
      <c r="D951" s="1"/>
    </row>
    <row r="952" spans="4:4" x14ac:dyDescent="0.25">
      <c r="D952" s="1"/>
    </row>
    <row r="953" spans="4:4" x14ac:dyDescent="0.25">
      <c r="D953" s="1"/>
    </row>
    <row r="954" spans="4:4" x14ac:dyDescent="0.25">
      <c r="D954" s="1"/>
    </row>
    <row r="955" spans="4:4" x14ac:dyDescent="0.25">
      <c r="D955" s="1"/>
    </row>
    <row r="956" spans="4:4" x14ac:dyDescent="0.25">
      <c r="D956" s="1"/>
    </row>
    <row r="957" spans="4:4" x14ac:dyDescent="0.25">
      <c r="D957" s="1"/>
    </row>
    <row r="958" spans="4:4" x14ac:dyDescent="0.25">
      <c r="D958" s="1"/>
    </row>
    <row r="959" spans="4:4" x14ac:dyDescent="0.25">
      <c r="D959" s="1"/>
    </row>
    <row r="960" spans="4:4" x14ac:dyDescent="0.25">
      <c r="D960" s="1"/>
    </row>
    <row r="961" spans="4:4" x14ac:dyDescent="0.25">
      <c r="D961" s="1"/>
    </row>
    <row r="962" spans="4:4" x14ac:dyDescent="0.25">
      <c r="D962" s="1"/>
    </row>
    <row r="963" spans="4:4" x14ac:dyDescent="0.25">
      <c r="D963" s="1"/>
    </row>
    <row r="964" spans="4:4" x14ac:dyDescent="0.25">
      <c r="D964" s="1"/>
    </row>
    <row r="965" spans="4:4" x14ac:dyDescent="0.25">
      <c r="D965" s="1"/>
    </row>
    <row r="966" spans="4:4" x14ac:dyDescent="0.25">
      <c r="D966" s="1"/>
    </row>
    <row r="967" spans="4:4" x14ac:dyDescent="0.25">
      <c r="D967" s="1"/>
    </row>
    <row r="968" spans="4:4" x14ac:dyDescent="0.25">
      <c r="D968" s="1"/>
    </row>
    <row r="969" spans="4:4" x14ac:dyDescent="0.25">
      <c r="D969" s="1"/>
    </row>
    <row r="970" spans="4:4" x14ac:dyDescent="0.25">
      <c r="D970" s="1"/>
    </row>
    <row r="971" spans="4:4" x14ac:dyDescent="0.25">
      <c r="D971" s="1"/>
    </row>
    <row r="972" spans="4:4" x14ac:dyDescent="0.25">
      <c r="D972" s="1"/>
    </row>
    <row r="973" spans="4:4" x14ac:dyDescent="0.25">
      <c r="D973" s="1"/>
    </row>
    <row r="974" spans="4:4" x14ac:dyDescent="0.25">
      <c r="D974" s="1"/>
    </row>
    <row r="975" spans="4:4" x14ac:dyDescent="0.25">
      <c r="D975" s="1"/>
    </row>
    <row r="976" spans="4:4" x14ac:dyDescent="0.25">
      <c r="D976" s="1"/>
    </row>
    <row r="977" spans="4:4" x14ac:dyDescent="0.25">
      <c r="D977" s="1"/>
    </row>
    <row r="978" spans="4:4" x14ac:dyDescent="0.25">
      <c r="D978" s="1"/>
    </row>
    <row r="979" spans="4:4" x14ac:dyDescent="0.25">
      <c r="D979" s="1"/>
    </row>
    <row r="980" spans="4:4" x14ac:dyDescent="0.25">
      <c r="D980" s="1"/>
    </row>
    <row r="981" spans="4:4" x14ac:dyDescent="0.25">
      <c r="D981" s="1"/>
    </row>
    <row r="982" spans="4:4" x14ac:dyDescent="0.25">
      <c r="D982" s="1"/>
    </row>
    <row r="983" spans="4:4" x14ac:dyDescent="0.25">
      <c r="D983" s="1"/>
    </row>
    <row r="984" spans="4:4" x14ac:dyDescent="0.25">
      <c r="D984" s="1"/>
    </row>
    <row r="985" spans="4:4" x14ac:dyDescent="0.25">
      <c r="D985" s="1"/>
    </row>
    <row r="986" spans="4:4" x14ac:dyDescent="0.25">
      <c r="D986" s="1"/>
    </row>
    <row r="987" spans="4:4" x14ac:dyDescent="0.25">
      <c r="D987" s="1"/>
    </row>
    <row r="988" spans="4:4" x14ac:dyDescent="0.25">
      <c r="D988" s="1"/>
    </row>
    <row r="989" spans="4:4" x14ac:dyDescent="0.25">
      <c r="D989" s="1"/>
    </row>
    <row r="990" spans="4:4" x14ac:dyDescent="0.25">
      <c r="D990" s="1"/>
    </row>
    <row r="991" spans="4:4" x14ac:dyDescent="0.25">
      <c r="D991" s="1"/>
    </row>
    <row r="992" spans="4:4" x14ac:dyDescent="0.25">
      <c r="D992" s="1"/>
    </row>
    <row r="993" spans="4:4" x14ac:dyDescent="0.25">
      <c r="D993" s="1"/>
    </row>
    <row r="994" spans="4:4" x14ac:dyDescent="0.25">
      <c r="D994" s="1"/>
    </row>
    <row r="995" spans="4:4" x14ac:dyDescent="0.25">
      <c r="D995" s="1"/>
    </row>
    <row r="996" spans="4:4" x14ac:dyDescent="0.25">
      <c r="D996" s="1"/>
    </row>
    <row r="997" spans="4:4" x14ac:dyDescent="0.25">
      <c r="D997" s="1"/>
    </row>
    <row r="998" spans="4:4" x14ac:dyDescent="0.25">
      <c r="D998" s="1"/>
    </row>
    <row r="999" spans="4:4" x14ac:dyDescent="0.25">
      <c r="D999" s="1"/>
    </row>
    <row r="1000" spans="4:4" x14ac:dyDescent="0.25">
      <c r="D1000" s="1"/>
    </row>
    <row r="1001" spans="4:4" x14ac:dyDescent="0.25">
      <c r="D1001" s="1"/>
    </row>
    <row r="1002" spans="4:4" x14ac:dyDescent="0.25">
      <c r="D1002" s="1"/>
    </row>
    <row r="1003" spans="4:4" x14ac:dyDescent="0.25">
      <c r="D1003" s="1"/>
    </row>
    <row r="1004" spans="4:4" x14ac:dyDescent="0.25">
      <c r="D1004" s="1"/>
    </row>
    <row r="1005" spans="4:4" x14ac:dyDescent="0.25">
      <c r="D1005" s="1"/>
    </row>
    <row r="1006" spans="4:4" x14ac:dyDescent="0.25">
      <c r="D1006" s="1"/>
    </row>
    <row r="1007" spans="4:4" x14ac:dyDescent="0.25">
      <c r="D1007" s="1"/>
    </row>
    <row r="1008" spans="4:4" x14ac:dyDescent="0.25">
      <c r="D1008" s="1"/>
    </row>
    <row r="1009" spans="4:4" x14ac:dyDescent="0.25">
      <c r="D1009" s="1"/>
    </row>
    <row r="1010" spans="4:4" x14ac:dyDescent="0.25">
      <c r="D1010" s="1"/>
    </row>
    <row r="1011" spans="4:4" x14ac:dyDescent="0.25">
      <c r="D1011" s="1"/>
    </row>
    <row r="1012" spans="4:4" x14ac:dyDescent="0.25">
      <c r="D1012" s="1"/>
    </row>
    <row r="1013" spans="4:4" x14ac:dyDescent="0.25">
      <c r="D1013" s="1"/>
    </row>
    <row r="1014" spans="4:4" x14ac:dyDescent="0.25">
      <c r="D1014" s="1"/>
    </row>
    <row r="1015" spans="4:4" x14ac:dyDescent="0.25">
      <c r="D1015" s="1"/>
    </row>
    <row r="1016" spans="4:4" x14ac:dyDescent="0.25">
      <c r="D1016" s="1"/>
    </row>
    <row r="1017" spans="4:4" x14ac:dyDescent="0.25">
      <c r="D1017" s="1"/>
    </row>
    <row r="1018" spans="4:4" x14ac:dyDescent="0.25">
      <c r="D1018" s="1"/>
    </row>
    <row r="1019" spans="4:4" x14ac:dyDescent="0.25">
      <c r="D1019" s="1"/>
    </row>
    <row r="1020" spans="4:4" x14ac:dyDescent="0.25">
      <c r="D1020" s="1"/>
    </row>
    <row r="1021" spans="4:4" x14ac:dyDescent="0.25">
      <c r="D1021" s="1"/>
    </row>
    <row r="1022" spans="4:4" x14ac:dyDescent="0.25">
      <c r="D1022" s="1"/>
    </row>
    <row r="1023" spans="4:4" x14ac:dyDescent="0.25">
      <c r="D1023" s="1"/>
    </row>
    <row r="1024" spans="4:4" x14ac:dyDescent="0.25">
      <c r="D1024" s="1"/>
    </row>
    <row r="1025" spans="4:4" x14ac:dyDescent="0.25">
      <c r="D1025" s="1"/>
    </row>
    <row r="1026" spans="4:4" x14ac:dyDescent="0.25">
      <c r="D1026" s="1"/>
    </row>
    <row r="1027" spans="4:4" x14ac:dyDescent="0.25">
      <c r="D1027" s="1"/>
    </row>
    <row r="1028" spans="4:4" x14ac:dyDescent="0.25">
      <c r="D1028" s="1"/>
    </row>
    <row r="1029" spans="4:4" x14ac:dyDescent="0.25">
      <c r="D1029" s="1"/>
    </row>
    <row r="1030" spans="4:4" x14ac:dyDescent="0.25">
      <c r="D1030" s="1"/>
    </row>
    <row r="1031" spans="4:4" x14ac:dyDescent="0.25">
      <c r="D1031" s="1"/>
    </row>
    <row r="1032" spans="4:4" x14ac:dyDescent="0.25">
      <c r="D1032" s="1"/>
    </row>
    <row r="1033" spans="4:4" x14ac:dyDescent="0.25">
      <c r="D1033" s="1"/>
    </row>
    <row r="1034" spans="4:4" x14ac:dyDescent="0.25">
      <c r="D1034" s="1"/>
    </row>
    <row r="1035" spans="4:4" x14ac:dyDescent="0.25">
      <c r="D1035" s="1"/>
    </row>
    <row r="1036" spans="4:4" x14ac:dyDescent="0.25">
      <c r="D1036" s="1"/>
    </row>
    <row r="1037" spans="4:4" x14ac:dyDescent="0.25">
      <c r="D1037" s="1"/>
    </row>
    <row r="1038" spans="4:4" x14ac:dyDescent="0.25">
      <c r="D1038" s="1"/>
    </row>
    <row r="1039" spans="4:4" x14ac:dyDescent="0.25">
      <c r="D1039" s="1"/>
    </row>
    <row r="1040" spans="4:4" x14ac:dyDescent="0.25">
      <c r="D1040" s="1"/>
    </row>
    <row r="1041" spans="4:4" x14ac:dyDescent="0.25">
      <c r="D1041" s="1"/>
    </row>
    <row r="1042" spans="4:4" x14ac:dyDescent="0.25">
      <c r="D1042" s="1"/>
    </row>
    <row r="1043" spans="4:4" x14ac:dyDescent="0.25">
      <c r="D1043" s="1"/>
    </row>
    <row r="1044" spans="4:4" x14ac:dyDescent="0.25">
      <c r="D1044" s="1"/>
    </row>
    <row r="1045" spans="4:4" x14ac:dyDescent="0.25">
      <c r="D1045" s="1"/>
    </row>
    <row r="1046" spans="4:4" x14ac:dyDescent="0.25">
      <c r="D1046" s="1"/>
    </row>
    <row r="1047" spans="4:4" x14ac:dyDescent="0.25">
      <c r="D1047" s="1"/>
    </row>
    <row r="1048" spans="4:4" x14ac:dyDescent="0.25">
      <c r="D1048" s="1"/>
    </row>
    <row r="1049" spans="4:4" x14ac:dyDescent="0.25">
      <c r="D1049" s="1"/>
    </row>
    <row r="1050" spans="4:4" x14ac:dyDescent="0.25">
      <c r="D1050" s="1"/>
    </row>
    <row r="1051" spans="4:4" x14ac:dyDescent="0.25">
      <c r="D1051" s="1"/>
    </row>
    <row r="1052" spans="4:4" x14ac:dyDescent="0.25">
      <c r="D1052" s="1"/>
    </row>
    <row r="1053" spans="4:4" x14ac:dyDescent="0.25">
      <c r="D1053" s="1"/>
    </row>
    <row r="1054" spans="4:4" x14ac:dyDescent="0.25">
      <c r="D1054" s="1"/>
    </row>
    <row r="1055" spans="4:4" x14ac:dyDescent="0.25">
      <c r="D1055" s="1"/>
    </row>
    <row r="1056" spans="4:4" x14ac:dyDescent="0.25">
      <c r="D1056" s="1"/>
    </row>
    <row r="1057" spans="4:4" x14ac:dyDescent="0.25">
      <c r="D1057" s="1"/>
    </row>
    <row r="1058" spans="4:4" x14ac:dyDescent="0.25">
      <c r="D1058" s="1"/>
    </row>
    <row r="1059" spans="4:4" x14ac:dyDescent="0.25">
      <c r="D1059" s="1"/>
    </row>
    <row r="1060" spans="4:4" x14ac:dyDescent="0.25">
      <c r="D1060" s="1"/>
    </row>
    <row r="1061" spans="4:4" x14ac:dyDescent="0.25">
      <c r="D1061" s="1"/>
    </row>
    <row r="1062" spans="4:4" x14ac:dyDescent="0.25">
      <c r="D1062" s="1"/>
    </row>
    <row r="1063" spans="4:4" x14ac:dyDescent="0.25">
      <c r="D1063" s="1"/>
    </row>
    <row r="1064" spans="4:4" x14ac:dyDescent="0.25">
      <c r="D1064" s="1"/>
    </row>
    <row r="1065" spans="4:4" x14ac:dyDescent="0.25">
      <c r="D1065" s="1"/>
    </row>
    <row r="1066" spans="4:4" x14ac:dyDescent="0.25">
      <c r="D1066" s="1"/>
    </row>
    <row r="1067" spans="4:4" x14ac:dyDescent="0.25">
      <c r="D1067" s="1"/>
    </row>
    <row r="1068" spans="4:4" x14ac:dyDescent="0.25">
      <c r="D1068" s="1"/>
    </row>
    <row r="1069" spans="4:4" x14ac:dyDescent="0.25">
      <c r="D1069" s="1"/>
    </row>
    <row r="1070" spans="4:4" x14ac:dyDescent="0.25">
      <c r="D1070" s="1"/>
    </row>
    <row r="1071" spans="4:4" x14ac:dyDescent="0.25">
      <c r="D1071" s="1"/>
    </row>
    <row r="1072" spans="4:4" x14ac:dyDescent="0.25">
      <c r="D1072" s="1"/>
    </row>
    <row r="1073" spans="4:4" x14ac:dyDescent="0.25">
      <c r="D1073" s="1"/>
    </row>
    <row r="1074" spans="4:4" x14ac:dyDescent="0.25">
      <c r="D1074" s="1"/>
    </row>
    <row r="1075" spans="4:4" x14ac:dyDescent="0.25">
      <c r="D1075" s="1"/>
    </row>
    <row r="1076" spans="4:4" x14ac:dyDescent="0.25">
      <c r="D1076" s="1"/>
    </row>
    <row r="1077" spans="4:4" x14ac:dyDescent="0.25">
      <c r="D1077" s="1"/>
    </row>
    <row r="1078" spans="4:4" x14ac:dyDescent="0.25">
      <c r="D1078" s="1"/>
    </row>
    <row r="1079" spans="4:4" x14ac:dyDescent="0.25">
      <c r="D1079" s="1"/>
    </row>
    <row r="1080" spans="4:4" x14ac:dyDescent="0.25">
      <c r="D1080" s="1"/>
    </row>
    <row r="1081" spans="4:4" x14ac:dyDescent="0.25">
      <c r="D1081" s="1"/>
    </row>
    <row r="1082" spans="4:4" x14ac:dyDescent="0.25">
      <c r="D1082" s="1"/>
    </row>
    <row r="1083" spans="4:4" x14ac:dyDescent="0.25">
      <c r="D1083" s="1"/>
    </row>
    <row r="1084" spans="4:4" x14ac:dyDescent="0.25">
      <c r="D1084" s="1"/>
    </row>
    <row r="1085" spans="4:4" x14ac:dyDescent="0.25">
      <c r="D1085" s="1"/>
    </row>
    <row r="1086" spans="4:4" x14ac:dyDescent="0.25">
      <c r="D1086" s="1"/>
    </row>
    <row r="1087" spans="4:4" x14ac:dyDescent="0.25">
      <c r="D1087" s="1"/>
    </row>
    <row r="1088" spans="4:4" x14ac:dyDescent="0.25">
      <c r="D1088" s="1"/>
    </row>
    <row r="1089" spans="4:4" x14ac:dyDescent="0.25">
      <c r="D1089" s="1"/>
    </row>
    <row r="1090" spans="4:4" x14ac:dyDescent="0.25">
      <c r="D1090" s="1"/>
    </row>
    <row r="1091" spans="4:4" x14ac:dyDescent="0.25">
      <c r="D1091" s="1"/>
    </row>
    <row r="1092" spans="4:4" x14ac:dyDescent="0.25">
      <c r="D1092" s="1"/>
    </row>
    <row r="1093" spans="4:4" x14ac:dyDescent="0.25">
      <c r="D1093" s="1"/>
    </row>
    <row r="1094" spans="4:4" x14ac:dyDescent="0.25">
      <c r="D1094" s="1"/>
    </row>
    <row r="1095" spans="4:4" x14ac:dyDescent="0.25">
      <c r="D1095" s="1"/>
    </row>
    <row r="1096" spans="4:4" x14ac:dyDescent="0.25">
      <c r="D1096" s="1"/>
    </row>
    <row r="1097" spans="4:4" x14ac:dyDescent="0.25">
      <c r="D1097" s="1"/>
    </row>
    <row r="1098" spans="4:4" x14ac:dyDescent="0.25">
      <c r="D1098" s="1"/>
    </row>
    <row r="1099" spans="4:4" x14ac:dyDescent="0.25">
      <c r="D1099" s="1"/>
    </row>
    <row r="1100" spans="4:4" x14ac:dyDescent="0.25">
      <c r="D1100" s="1"/>
    </row>
    <row r="1101" spans="4:4" x14ac:dyDescent="0.25">
      <c r="D1101" s="1"/>
    </row>
    <row r="1102" spans="4:4" x14ac:dyDescent="0.25">
      <c r="D1102" s="1"/>
    </row>
    <row r="1103" spans="4:4" x14ac:dyDescent="0.25">
      <c r="D1103" s="1"/>
    </row>
    <row r="1104" spans="4:4" x14ac:dyDescent="0.25">
      <c r="D1104" s="1"/>
    </row>
    <row r="1105" spans="4:4" x14ac:dyDescent="0.25">
      <c r="D1105" s="1"/>
    </row>
    <row r="1106" spans="4:4" x14ac:dyDescent="0.25">
      <c r="D1106" s="1"/>
    </row>
    <row r="1107" spans="4:4" x14ac:dyDescent="0.25">
      <c r="D1107" s="1"/>
    </row>
    <row r="1108" spans="4:4" x14ac:dyDescent="0.25">
      <c r="D1108" s="1"/>
    </row>
    <row r="1109" spans="4:4" x14ac:dyDescent="0.25">
      <c r="D1109" s="1"/>
    </row>
    <row r="1110" spans="4:4" x14ac:dyDescent="0.25">
      <c r="D1110" s="1"/>
    </row>
    <row r="1111" spans="4:4" x14ac:dyDescent="0.25">
      <c r="D1111" s="1"/>
    </row>
    <row r="1112" spans="4:4" x14ac:dyDescent="0.25">
      <c r="D1112" s="1"/>
    </row>
    <row r="1113" spans="4:4" x14ac:dyDescent="0.25">
      <c r="D1113" s="1"/>
    </row>
    <row r="1114" spans="4:4" x14ac:dyDescent="0.25">
      <c r="D1114" s="1"/>
    </row>
    <row r="1115" spans="4:4" x14ac:dyDescent="0.25">
      <c r="D1115" s="1"/>
    </row>
    <row r="1116" spans="4:4" x14ac:dyDescent="0.25">
      <c r="D1116" s="1"/>
    </row>
    <row r="1117" spans="4:4" x14ac:dyDescent="0.25">
      <c r="D1117" s="1"/>
    </row>
    <row r="1118" spans="4:4" x14ac:dyDescent="0.25">
      <c r="D1118" s="1"/>
    </row>
    <row r="1119" spans="4:4" x14ac:dyDescent="0.25">
      <c r="D1119" s="1"/>
    </row>
    <row r="1120" spans="4:4" x14ac:dyDescent="0.25">
      <c r="D1120" s="1"/>
    </row>
    <row r="1121" spans="4:4" x14ac:dyDescent="0.25">
      <c r="D1121" s="1"/>
    </row>
    <row r="1122" spans="4:4" x14ac:dyDescent="0.25">
      <c r="D1122" s="1"/>
    </row>
    <row r="1123" spans="4:4" x14ac:dyDescent="0.25">
      <c r="D1123" s="1"/>
    </row>
    <row r="1124" spans="4:4" x14ac:dyDescent="0.25">
      <c r="D1124" s="1"/>
    </row>
    <row r="1125" spans="4:4" x14ac:dyDescent="0.25">
      <c r="D1125" s="1"/>
    </row>
    <row r="1126" spans="4:4" x14ac:dyDescent="0.25">
      <c r="D1126" s="1"/>
    </row>
    <row r="1127" spans="4:4" x14ac:dyDescent="0.25">
      <c r="D1127" s="1"/>
    </row>
    <row r="1128" spans="4:4" x14ac:dyDescent="0.25">
      <c r="D1128" s="1"/>
    </row>
    <row r="1129" spans="4:4" x14ac:dyDescent="0.25">
      <c r="D1129" s="1"/>
    </row>
    <row r="1130" spans="4:4" x14ac:dyDescent="0.25">
      <c r="D1130" s="1"/>
    </row>
    <row r="1131" spans="4:4" x14ac:dyDescent="0.25">
      <c r="D1131" s="1"/>
    </row>
    <row r="1132" spans="4:4" x14ac:dyDescent="0.25">
      <c r="D1132" s="1"/>
    </row>
    <row r="1133" spans="4:4" x14ac:dyDescent="0.25">
      <c r="D1133" s="1"/>
    </row>
    <row r="1134" spans="4:4" x14ac:dyDescent="0.25">
      <c r="D1134" s="1"/>
    </row>
    <row r="1135" spans="4:4" x14ac:dyDescent="0.25">
      <c r="D1135" s="1"/>
    </row>
    <row r="1136" spans="4:4" x14ac:dyDescent="0.25">
      <c r="D1136" s="1"/>
    </row>
    <row r="1137" spans="4:4" x14ac:dyDescent="0.25">
      <c r="D1137" s="1"/>
    </row>
    <row r="1138" spans="4:4" x14ac:dyDescent="0.25">
      <c r="D1138" s="1"/>
    </row>
    <row r="1139" spans="4:4" x14ac:dyDescent="0.25">
      <c r="D1139" s="1"/>
    </row>
    <row r="1140" spans="4:4" x14ac:dyDescent="0.25">
      <c r="D1140" s="1"/>
    </row>
    <row r="1141" spans="4:4" x14ac:dyDescent="0.25">
      <c r="D1141" s="1"/>
    </row>
    <row r="1142" spans="4:4" x14ac:dyDescent="0.25">
      <c r="D1142" s="1"/>
    </row>
    <row r="1143" spans="4:4" x14ac:dyDescent="0.25">
      <c r="D1143" s="1"/>
    </row>
    <row r="1144" spans="4:4" x14ac:dyDescent="0.25">
      <c r="D1144" s="1"/>
    </row>
    <row r="1145" spans="4:4" x14ac:dyDescent="0.25">
      <c r="D1145" s="1"/>
    </row>
    <row r="1146" spans="4:4" x14ac:dyDescent="0.25">
      <c r="D1146" s="1"/>
    </row>
    <row r="1147" spans="4:4" x14ac:dyDescent="0.25">
      <c r="D1147" s="1"/>
    </row>
    <row r="1148" spans="4:4" x14ac:dyDescent="0.25">
      <c r="D1148" s="1"/>
    </row>
    <row r="1149" spans="4:4" x14ac:dyDescent="0.25">
      <c r="D1149" s="1"/>
    </row>
    <row r="1150" spans="4:4" x14ac:dyDescent="0.25">
      <c r="D1150" s="1"/>
    </row>
    <row r="1151" spans="4:4" x14ac:dyDescent="0.25">
      <c r="D1151" s="1"/>
    </row>
    <row r="1152" spans="4:4" x14ac:dyDescent="0.25">
      <c r="D1152" s="1"/>
    </row>
    <row r="1153" spans="4:4" x14ac:dyDescent="0.25">
      <c r="D1153" s="1"/>
    </row>
    <row r="1154" spans="4:4" x14ac:dyDescent="0.25">
      <c r="D1154" s="1"/>
    </row>
    <row r="1155" spans="4:4" x14ac:dyDescent="0.25">
      <c r="D1155" s="1"/>
    </row>
    <row r="1156" spans="4:4" x14ac:dyDescent="0.25">
      <c r="D1156" s="1"/>
    </row>
    <row r="1157" spans="4:4" x14ac:dyDescent="0.25">
      <c r="D1157" s="1"/>
    </row>
    <row r="1158" spans="4:4" x14ac:dyDescent="0.25">
      <c r="D1158" s="1"/>
    </row>
    <row r="1159" spans="4:4" x14ac:dyDescent="0.25">
      <c r="D1159" s="1"/>
    </row>
    <row r="1160" spans="4:4" x14ac:dyDescent="0.25">
      <c r="D1160" s="1"/>
    </row>
    <row r="1161" spans="4:4" x14ac:dyDescent="0.25">
      <c r="D1161" s="1"/>
    </row>
    <row r="1162" spans="4:4" x14ac:dyDescent="0.25">
      <c r="D1162" s="1"/>
    </row>
    <row r="1163" spans="4:4" x14ac:dyDescent="0.25">
      <c r="D1163" s="1"/>
    </row>
    <row r="1164" spans="4:4" x14ac:dyDescent="0.25">
      <c r="D1164" s="1"/>
    </row>
    <row r="1165" spans="4:4" x14ac:dyDescent="0.25">
      <c r="D1165" s="1"/>
    </row>
    <row r="1166" spans="4:4" x14ac:dyDescent="0.25">
      <c r="D1166" s="1"/>
    </row>
    <row r="1167" spans="4:4" x14ac:dyDescent="0.25">
      <c r="D1167" s="1"/>
    </row>
    <row r="1168" spans="4:4" x14ac:dyDescent="0.25">
      <c r="D1168" s="1"/>
    </row>
    <row r="1169" spans="4:4" x14ac:dyDescent="0.25">
      <c r="D1169" s="1"/>
    </row>
    <row r="1170" spans="4:4" x14ac:dyDescent="0.25">
      <c r="D1170" s="1"/>
    </row>
    <row r="1171" spans="4:4" x14ac:dyDescent="0.25">
      <c r="D1171" s="1"/>
    </row>
    <row r="1172" spans="4:4" x14ac:dyDescent="0.25">
      <c r="D1172" s="1"/>
    </row>
    <row r="1173" spans="4:4" x14ac:dyDescent="0.25">
      <c r="D1173" s="1"/>
    </row>
    <row r="1174" spans="4:4" x14ac:dyDescent="0.25">
      <c r="D1174" s="1"/>
    </row>
    <row r="1175" spans="4:4" x14ac:dyDescent="0.25">
      <c r="D1175" s="1"/>
    </row>
    <row r="1176" spans="4:4" x14ac:dyDescent="0.25">
      <c r="D1176" s="1"/>
    </row>
    <row r="1177" spans="4:4" x14ac:dyDescent="0.25">
      <c r="D1177" s="1"/>
    </row>
    <row r="1178" spans="4:4" x14ac:dyDescent="0.25">
      <c r="D1178" s="1"/>
    </row>
    <row r="1179" spans="4:4" x14ac:dyDescent="0.25">
      <c r="D1179" s="1"/>
    </row>
    <row r="1180" spans="4:4" x14ac:dyDescent="0.25">
      <c r="D1180" s="1"/>
    </row>
    <row r="1181" spans="4:4" x14ac:dyDescent="0.25">
      <c r="D1181" s="1"/>
    </row>
    <row r="1182" spans="4:4" x14ac:dyDescent="0.25">
      <c r="D1182" s="1"/>
    </row>
    <row r="1183" spans="4:4" x14ac:dyDescent="0.25">
      <c r="D1183" s="1"/>
    </row>
    <row r="1184" spans="4:4" x14ac:dyDescent="0.25">
      <c r="D1184" s="1"/>
    </row>
    <row r="1185" spans="4:4" x14ac:dyDescent="0.25">
      <c r="D1185" s="1"/>
    </row>
    <row r="1186" spans="4:4" x14ac:dyDescent="0.25">
      <c r="D1186" s="1"/>
    </row>
    <row r="1187" spans="4:4" x14ac:dyDescent="0.25">
      <c r="D1187" s="1"/>
    </row>
    <row r="1188" spans="4:4" x14ac:dyDescent="0.25">
      <c r="D1188" s="1"/>
    </row>
    <row r="1189" spans="4:4" x14ac:dyDescent="0.25">
      <c r="D1189" s="1"/>
    </row>
    <row r="1190" spans="4:4" x14ac:dyDescent="0.25">
      <c r="D1190" s="1"/>
    </row>
    <row r="1191" spans="4:4" x14ac:dyDescent="0.25">
      <c r="D1191" s="1"/>
    </row>
    <row r="1192" spans="4:4" x14ac:dyDescent="0.25">
      <c r="D1192" s="1"/>
    </row>
    <row r="1193" spans="4:4" x14ac:dyDescent="0.25">
      <c r="D1193" s="1"/>
    </row>
    <row r="1194" spans="4:4" x14ac:dyDescent="0.25">
      <c r="D1194" s="1"/>
    </row>
    <row r="1195" spans="4:4" x14ac:dyDescent="0.25">
      <c r="D1195" s="1"/>
    </row>
    <row r="1196" spans="4:4" x14ac:dyDescent="0.25">
      <c r="D1196" s="1"/>
    </row>
    <row r="1197" spans="4:4" x14ac:dyDescent="0.25">
      <c r="D1197" s="1"/>
    </row>
    <row r="1198" spans="4:4" x14ac:dyDescent="0.25">
      <c r="D1198" s="1"/>
    </row>
    <row r="1199" spans="4:4" x14ac:dyDescent="0.25">
      <c r="D1199" s="1"/>
    </row>
    <row r="1200" spans="4:4" x14ac:dyDescent="0.25">
      <c r="D1200" s="1"/>
    </row>
    <row r="1201" spans="4:4" x14ac:dyDescent="0.25">
      <c r="D1201" s="1"/>
    </row>
    <row r="1202" spans="4:4" x14ac:dyDescent="0.25">
      <c r="D1202" s="1"/>
    </row>
    <row r="1203" spans="4:4" x14ac:dyDescent="0.25">
      <c r="D1203" s="1"/>
    </row>
    <row r="1204" spans="4:4" x14ac:dyDescent="0.25">
      <c r="D1204" s="1"/>
    </row>
    <row r="1205" spans="4:4" x14ac:dyDescent="0.25">
      <c r="D1205" s="1"/>
    </row>
    <row r="1206" spans="4:4" x14ac:dyDescent="0.25">
      <c r="D1206" s="1"/>
    </row>
    <row r="1207" spans="4:4" x14ac:dyDescent="0.25">
      <c r="D1207" s="1"/>
    </row>
    <row r="1208" spans="4:4" x14ac:dyDescent="0.25">
      <c r="D1208" s="1"/>
    </row>
    <row r="1209" spans="4:4" x14ac:dyDescent="0.25">
      <c r="D1209" s="1"/>
    </row>
    <row r="1210" spans="4:4" x14ac:dyDescent="0.25">
      <c r="D1210" s="1"/>
    </row>
    <row r="1211" spans="4:4" x14ac:dyDescent="0.25">
      <c r="D1211" s="1"/>
    </row>
    <row r="1212" spans="4:4" x14ac:dyDescent="0.25">
      <c r="D1212" s="1"/>
    </row>
    <row r="1213" spans="4:4" x14ac:dyDescent="0.25">
      <c r="D1213" s="1"/>
    </row>
    <row r="1214" spans="4:4" x14ac:dyDescent="0.25">
      <c r="D1214" s="1"/>
    </row>
    <row r="1215" spans="4:4" x14ac:dyDescent="0.25">
      <c r="D1215" s="1"/>
    </row>
    <row r="1216" spans="4:4" x14ac:dyDescent="0.25">
      <c r="D1216" s="1"/>
    </row>
    <row r="1217" spans="4:4" x14ac:dyDescent="0.25">
      <c r="D1217" s="1"/>
    </row>
    <row r="1218" spans="4:4" x14ac:dyDescent="0.25">
      <c r="D1218" s="1"/>
    </row>
    <row r="1219" spans="4:4" x14ac:dyDescent="0.25">
      <c r="D1219" s="1"/>
    </row>
    <row r="1220" spans="4:4" x14ac:dyDescent="0.25">
      <c r="D1220" s="1"/>
    </row>
    <row r="1221" spans="4:4" x14ac:dyDescent="0.25">
      <c r="D1221" s="1"/>
    </row>
    <row r="1222" spans="4:4" x14ac:dyDescent="0.25">
      <c r="D1222" s="1"/>
    </row>
    <row r="1223" spans="4:4" x14ac:dyDescent="0.25">
      <c r="D1223" s="1"/>
    </row>
    <row r="1224" spans="4:4" x14ac:dyDescent="0.25">
      <c r="D1224" s="1"/>
    </row>
    <row r="1225" spans="4:4" x14ac:dyDescent="0.25">
      <c r="D1225" s="1"/>
    </row>
    <row r="1226" spans="4:4" x14ac:dyDescent="0.25">
      <c r="D1226" s="1"/>
    </row>
    <row r="1227" spans="4:4" x14ac:dyDescent="0.25">
      <c r="D1227" s="1"/>
    </row>
    <row r="1228" spans="4:4" x14ac:dyDescent="0.25">
      <c r="D1228" s="1"/>
    </row>
    <row r="1229" spans="4:4" x14ac:dyDescent="0.25">
      <c r="D1229" s="1"/>
    </row>
    <row r="1230" spans="4:4" x14ac:dyDescent="0.25">
      <c r="D1230" s="1"/>
    </row>
    <row r="1231" spans="4:4" x14ac:dyDescent="0.25">
      <c r="D1231" s="1"/>
    </row>
    <row r="1232" spans="4:4" x14ac:dyDescent="0.25">
      <c r="D1232" s="1"/>
    </row>
    <row r="1233" spans="4:4" x14ac:dyDescent="0.25">
      <c r="D1233" s="1"/>
    </row>
    <row r="1234" spans="4:4" x14ac:dyDescent="0.25">
      <c r="D1234" s="1"/>
    </row>
    <row r="1235" spans="4:4" x14ac:dyDescent="0.25">
      <c r="D1235" s="1"/>
    </row>
    <row r="1236" spans="4:4" x14ac:dyDescent="0.25">
      <c r="D1236" s="1"/>
    </row>
    <row r="1237" spans="4:4" x14ac:dyDescent="0.25">
      <c r="D1237" s="1"/>
    </row>
    <row r="1238" spans="4:4" x14ac:dyDescent="0.25">
      <c r="D1238" s="1"/>
    </row>
    <row r="1239" spans="4:4" x14ac:dyDescent="0.25">
      <c r="D1239" s="1"/>
    </row>
    <row r="1240" spans="4:4" x14ac:dyDescent="0.25">
      <c r="D1240" s="1"/>
    </row>
    <row r="1241" spans="4:4" x14ac:dyDescent="0.25">
      <c r="D1241" s="1"/>
    </row>
    <row r="1242" spans="4:4" x14ac:dyDescent="0.25">
      <c r="D1242" s="1"/>
    </row>
    <row r="1243" spans="4:4" x14ac:dyDescent="0.25">
      <c r="D1243" s="1"/>
    </row>
    <row r="1244" spans="4:4" x14ac:dyDescent="0.25">
      <c r="D1244" s="1"/>
    </row>
    <row r="1245" spans="4:4" x14ac:dyDescent="0.25">
      <c r="D1245" s="1"/>
    </row>
    <row r="1246" spans="4:4" x14ac:dyDescent="0.25">
      <c r="D1246" s="1"/>
    </row>
    <row r="1247" spans="4:4" x14ac:dyDescent="0.25">
      <c r="D1247" s="1"/>
    </row>
    <row r="1248" spans="4:4" x14ac:dyDescent="0.25">
      <c r="D1248" s="1"/>
    </row>
    <row r="1249" spans="4:4" x14ac:dyDescent="0.25">
      <c r="D1249" s="1"/>
    </row>
    <row r="1250" spans="4:4" x14ac:dyDescent="0.25">
      <c r="D1250" s="1"/>
    </row>
    <row r="1251" spans="4:4" x14ac:dyDescent="0.25">
      <c r="D1251" s="1"/>
    </row>
    <row r="1252" spans="4:4" x14ac:dyDescent="0.25">
      <c r="D1252" s="1"/>
    </row>
    <row r="1253" spans="4:4" x14ac:dyDescent="0.25">
      <c r="D1253" s="1"/>
    </row>
    <row r="1254" spans="4:4" x14ac:dyDescent="0.25">
      <c r="D1254" s="1"/>
    </row>
    <row r="1255" spans="4:4" x14ac:dyDescent="0.25">
      <c r="D1255" s="1"/>
    </row>
    <row r="1256" spans="4:4" x14ac:dyDescent="0.25">
      <c r="D1256" s="1"/>
    </row>
    <row r="1257" spans="4:4" x14ac:dyDescent="0.25">
      <c r="D1257" s="1"/>
    </row>
    <row r="1258" spans="4:4" x14ac:dyDescent="0.25">
      <c r="D1258" s="1"/>
    </row>
    <row r="1259" spans="4:4" x14ac:dyDescent="0.25">
      <c r="D1259" s="1"/>
    </row>
    <row r="1260" spans="4:4" x14ac:dyDescent="0.25">
      <c r="D1260" s="1"/>
    </row>
    <row r="1261" spans="4:4" x14ac:dyDescent="0.25">
      <c r="D1261" s="1"/>
    </row>
    <row r="1262" spans="4:4" x14ac:dyDescent="0.25">
      <c r="D1262" s="1"/>
    </row>
    <row r="1263" spans="4:4" x14ac:dyDescent="0.25">
      <c r="D1263" s="1"/>
    </row>
    <row r="1264" spans="4:4" x14ac:dyDescent="0.25">
      <c r="D1264" s="1"/>
    </row>
    <row r="1265" spans="4:4" x14ac:dyDescent="0.25">
      <c r="D1265" s="1"/>
    </row>
    <row r="1266" spans="4:4" x14ac:dyDescent="0.25">
      <c r="D1266" s="1"/>
    </row>
    <row r="1267" spans="4:4" x14ac:dyDescent="0.25">
      <c r="D1267" s="1"/>
    </row>
    <row r="1268" spans="4:4" x14ac:dyDescent="0.25">
      <c r="D1268" s="1"/>
    </row>
    <row r="1269" spans="4:4" x14ac:dyDescent="0.25">
      <c r="D1269" s="1"/>
    </row>
    <row r="1270" spans="4:4" x14ac:dyDescent="0.25">
      <c r="D1270" s="1"/>
    </row>
    <row r="1271" spans="4:4" x14ac:dyDescent="0.25">
      <c r="D1271" s="1"/>
    </row>
    <row r="1272" spans="4:4" x14ac:dyDescent="0.25">
      <c r="D1272" s="1"/>
    </row>
    <row r="1273" spans="4:4" x14ac:dyDescent="0.25">
      <c r="D1273" s="1"/>
    </row>
    <row r="1274" spans="4:4" x14ac:dyDescent="0.25">
      <c r="D1274" s="1"/>
    </row>
    <row r="1275" spans="4:4" x14ac:dyDescent="0.25">
      <c r="D1275" s="1"/>
    </row>
    <row r="1276" spans="4:4" x14ac:dyDescent="0.25">
      <c r="D1276" s="1"/>
    </row>
    <row r="1277" spans="4:4" x14ac:dyDescent="0.25">
      <c r="D1277" s="1"/>
    </row>
    <row r="1278" spans="4:4" x14ac:dyDescent="0.25">
      <c r="D1278" s="1"/>
    </row>
    <row r="1279" spans="4:4" x14ac:dyDescent="0.25">
      <c r="D1279" s="1"/>
    </row>
    <row r="1280" spans="4:4" x14ac:dyDescent="0.25">
      <c r="D1280" s="1"/>
    </row>
    <row r="1281" spans="4:4" x14ac:dyDescent="0.25">
      <c r="D1281" s="1"/>
    </row>
    <row r="1282" spans="4:4" x14ac:dyDescent="0.25">
      <c r="D1282" s="1"/>
    </row>
    <row r="1283" spans="4:4" x14ac:dyDescent="0.25">
      <c r="D1283" s="1"/>
    </row>
    <row r="1284" spans="4:4" x14ac:dyDescent="0.25">
      <c r="D1284" s="1"/>
    </row>
    <row r="1285" spans="4:4" x14ac:dyDescent="0.25">
      <c r="D1285" s="1"/>
    </row>
    <row r="1286" spans="4:4" x14ac:dyDescent="0.25">
      <c r="D1286" s="1"/>
    </row>
    <row r="1287" spans="4:4" x14ac:dyDescent="0.25">
      <c r="D1287" s="1"/>
    </row>
    <row r="1288" spans="4:4" x14ac:dyDescent="0.25">
      <c r="D1288" s="1"/>
    </row>
    <row r="1289" spans="4:4" x14ac:dyDescent="0.25">
      <c r="D1289" s="1"/>
    </row>
    <row r="1290" spans="4:4" x14ac:dyDescent="0.25">
      <c r="D1290" s="1"/>
    </row>
    <row r="1291" spans="4:4" x14ac:dyDescent="0.25">
      <c r="D1291" s="1"/>
    </row>
    <row r="1292" spans="4:4" x14ac:dyDescent="0.25">
      <c r="D1292" s="1"/>
    </row>
    <row r="1293" spans="4:4" x14ac:dyDescent="0.25">
      <c r="D1293" s="1"/>
    </row>
    <row r="1294" spans="4:4" x14ac:dyDescent="0.25">
      <c r="D1294" s="1"/>
    </row>
    <row r="1295" spans="4:4" x14ac:dyDescent="0.25">
      <c r="D1295" s="1"/>
    </row>
    <row r="1296" spans="4:4" x14ac:dyDescent="0.25">
      <c r="D1296" s="1"/>
    </row>
    <row r="1297" spans="4:4" x14ac:dyDescent="0.25">
      <c r="D1297" s="1"/>
    </row>
    <row r="1298" spans="4:4" x14ac:dyDescent="0.25">
      <c r="D1298" s="1"/>
    </row>
    <row r="1299" spans="4:4" x14ac:dyDescent="0.25">
      <c r="D1299" s="1"/>
    </row>
    <row r="1300" spans="4:4" x14ac:dyDescent="0.25">
      <c r="D1300" s="1"/>
    </row>
    <row r="1301" spans="4:4" x14ac:dyDescent="0.25">
      <c r="D1301" s="1"/>
    </row>
    <row r="1302" spans="4:4" x14ac:dyDescent="0.25">
      <c r="D1302" s="1"/>
    </row>
    <row r="1303" spans="4:4" x14ac:dyDescent="0.25">
      <c r="D1303" s="1"/>
    </row>
    <row r="1304" spans="4:4" x14ac:dyDescent="0.25">
      <c r="D1304" s="1"/>
    </row>
    <row r="1305" spans="4:4" x14ac:dyDescent="0.25">
      <c r="D1305" s="1"/>
    </row>
    <row r="1306" spans="4:4" x14ac:dyDescent="0.25">
      <c r="D1306" s="1"/>
    </row>
    <row r="1307" spans="4:4" x14ac:dyDescent="0.25">
      <c r="D1307" s="1"/>
    </row>
    <row r="1308" spans="4:4" x14ac:dyDescent="0.25">
      <c r="D1308" s="1"/>
    </row>
    <row r="1309" spans="4:4" x14ac:dyDescent="0.25">
      <c r="D1309" s="1"/>
    </row>
    <row r="1310" spans="4:4" x14ac:dyDescent="0.25">
      <c r="D1310" s="1"/>
    </row>
    <row r="1311" spans="4:4" x14ac:dyDescent="0.25">
      <c r="D1311" s="1"/>
    </row>
    <row r="1312" spans="4:4" x14ac:dyDescent="0.25">
      <c r="D1312" s="1"/>
    </row>
    <row r="1313" spans="4:4" x14ac:dyDescent="0.25">
      <c r="D1313" s="1"/>
    </row>
    <row r="1314" spans="4:4" x14ac:dyDescent="0.25">
      <c r="D1314" s="1"/>
    </row>
    <row r="1315" spans="4:4" x14ac:dyDescent="0.25">
      <c r="D1315" s="1"/>
    </row>
    <row r="1316" spans="4:4" x14ac:dyDescent="0.25">
      <c r="D1316" s="1"/>
    </row>
    <row r="1317" spans="4:4" x14ac:dyDescent="0.25">
      <c r="D1317" s="1"/>
    </row>
    <row r="1318" spans="4:4" x14ac:dyDescent="0.25">
      <c r="D1318" s="1"/>
    </row>
    <row r="1319" spans="4:4" x14ac:dyDescent="0.25">
      <c r="D1319" s="1"/>
    </row>
    <row r="1320" spans="4:4" x14ac:dyDescent="0.25">
      <c r="D1320" s="1"/>
    </row>
    <row r="1321" spans="4:4" x14ac:dyDescent="0.25">
      <c r="D1321" s="1"/>
    </row>
    <row r="1322" spans="4:4" x14ac:dyDescent="0.25">
      <c r="D1322" s="1"/>
    </row>
    <row r="1323" spans="4:4" x14ac:dyDescent="0.25">
      <c r="D1323" s="1"/>
    </row>
    <row r="1324" spans="4:4" x14ac:dyDescent="0.25">
      <c r="D1324" s="1"/>
    </row>
    <row r="1325" spans="4:4" x14ac:dyDescent="0.25">
      <c r="D1325" s="1"/>
    </row>
    <row r="1326" spans="4:4" x14ac:dyDescent="0.25">
      <c r="D1326" s="1"/>
    </row>
    <row r="1327" spans="4:4" x14ac:dyDescent="0.25">
      <c r="D1327" s="1"/>
    </row>
    <row r="1328" spans="4:4" x14ac:dyDescent="0.25">
      <c r="D1328" s="1"/>
    </row>
    <row r="1329" spans="4:4" x14ac:dyDescent="0.25">
      <c r="D1329" s="1"/>
    </row>
    <row r="1330" spans="4:4" x14ac:dyDescent="0.25">
      <c r="D1330" s="1"/>
    </row>
    <row r="1331" spans="4:4" x14ac:dyDescent="0.25">
      <c r="D1331" s="1"/>
    </row>
    <row r="1332" spans="4:4" x14ac:dyDescent="0.25">
      <c r="D1332" s="1"/>
    </row>
    <row r="1333" spans="4:4" x14ac:dyDescent="0.25">
      <c r="D1333" s="1"/>
    </row>
    <row r="1334" spans="4:4" x14ac:dyDescent="0.25">
      <c r="D1334" s="1"/>
    </row>
    <row r="1335" spans="4:4" x14ac:dyDescent="0.25">
      <c r="D1335" s="1"/>
    </row>
    <row r="1336" spans="4:4" x14ac:dyDescent="0.25">
      <c r="D1336" s="1"/>
    </row>
    <row r="1337" spans="4:4" x14ac:dyDescent="0.25">
      <c r="D1337" s="1"/>
    </row>
    <row r="1338" spans="4:4" x14ac:dyDescent="0.25">
      <c r="D1338" s="1"/>
    </row>
    <row r="1339" spans="4:4" x14ac:dyDescent="0.25">
      <c r="D1339" s="1"/>
    </row>
    <row r="1340" spans="4:4" x14ac:dyDescent="0.25">
      <c r="D1340" s="1"/>
    </row>
    <row r="1341" spans="4:4" x14ac:dyDescent="0.25">
      <c r="D1341" s="1"/>
    </row>
    <row r="1342" spans="4:4" x14ac:dyDescent="0.25">
      <c r="D1342" s="1"/>
    </row>
    <row r="1343" spans="4:4" x14ac:dyDescent="0.25">
      <c r="D1343" s="1"/>
    </row>
    <row r="1344" spans="4:4" x14ac:dyDescent="0.25">
      <c r="D1344" s="1"/>
    </row>
    <row r="1345" spans="4:4" x14ac:dyDescent="0.25">
      <c r="D1345" s="1"/>
    </row>
    <row r="1346" spans="4:4" x14ac:dyDescent="0.25">
      <c r="D1346" s="1"/>
    </row>
    <row r="1347" spans="4:4" x14ac:dyDescent="0.25">
      <c r="D1347" s="1"/>
    </row>
    <row r="1348" spans="4:4" x14ac:dyDescent="0.25">
      <c r="D1348" s="1"/>
    </row>
    <row r="1349" spans="4:4" x14ac:dyDescent="0.25">
      <c r="D1349" s="1"/>
    </row>
    <row r="1350" spans="4:4" x14ac:dyDescent="0.25">
      <c r="D1350" s="1"/>
    </row>
    <row r="1351" spans="4:4" x14ac:dyDescent="0.25">
      <c r="D1351" s="1"/>
    </row>
    <row r="1352" spans="4:4" x14ac:dyDescent="0.25">
      <c r="D1352" s="1"/>
    </row>
    <row r="1353" spans="4:4" x14ac:dyDescent="0.25">
      <c r="D1353" s="1"/>
    </row>
    <row r="1354" spans="4:4" x14ac:dyDescent="0.25">
      <c r="D1354" s="1"/>
    </row>
    <row r="1355" spans="4:4" x14ac:dyDescent="0.25">
      <c r="D1355" s="1"/>
    </row>
    <row r="1356" spans="4:4" x14ac:dyDescent="0.25">
      <c r="D1356" s="1"/>
    </row>
    <row r="1357" spans="4:4" x14ac:dyDescent="0.25">
      <c r="D1357" s="1"/>
    </row>
    <row r="1358" spans="4:4" x14ac:dyDescent="0.25">
      <c r="D1358" s="1"/>
    </row>
    <row r="1359" spans="4:4" x14ac:dyDescent="0.25">
      <c r="D1359" s="1"/>
    </row>
    <row r="1360" spans="4:4" x14ac:dyDescent="0.25">
      <c r="D1360" s="1"/>
    </row>
    <row r="1361" spans="4:4" x14ac:dyDescent="0.25">
      <c r="D1361" s="1"/>
    </row>
    <row r="1362" spans="4:4" x14ac:dyDescent="0.25">
      <c r="D1362" s="1"/>
    </row>
    <row r="1363" spans="4:4" x14ac:dyDescent="0.25">
      <c r="D1363" s="1"/>
    </row>
    <row r="1364" spans="4:4" x14ac:dyDescent="0.25">
      <c r="D1364" s="1"/>
    </row>
    <row r="1365" spans="4:4" x14ac:dyDescent="0.25">
      <c r="D1365" s="1"/>
    </row>
    <row r="1366" spans="4:4" x14ac:dyDescent="0.25">
      <c r="D1366" s="1"/>
    </row>
    <row r="1367" spans="4:4" x14ac:dyDescent="0.25">
      <c r="D1367" s="1"/>
    </row>
    <row r="1368" spans="4:4" x14ac:dyDescent="0.25">
      <c r="D1368" s="1"/>
    </row>
    <row r="1369" spans="4:4" x14ac:dyDescent="0.25">
      <c r="D1369" s="1"/>
    </row>
    <row r="1370" spans="4:4" x14ac:dyDescent="0.25">
      <c r="D1370" s="1"/>
    </row>
    <row r="1371" spans="4:4" x14ac:dyDescent="0.25">
      <c r="D1371" s="1"/>
    </row>
    <row r="1372" spans="4:4" x14ac:dyDescent="0.25">
      <c r="D1372" s="1"/>
    </row>
    <row r="1373" spans="4:4" x14ac:dyDescent="0.25">
      <c r="D1373" s="1"/>
    </row>
    <row r="1374" spans="4:4" x14ac:dyDescent="0.25">
      <c r="D1374" s="1"/>
    </row>
    <row r="1375" spans="4:4" x14ac:dyDescent="0.25">
      <c r="D1375" s="1"/>
    </row>
    <row r="1376" spans="4:4" x14ac:dyDescent="0.25">
      <c r="D1376" s="1"/>
    </row>
    <row r="1377" spans="4:4" x14ac:dyDescent="0.25">
      <c r="D1377" s="1"/>
    </row>
    <row r="1378" spans="4:4" x14ac:dyDescent="0.25">
      <c r="D1378" s="1"/>
    </row>
    <row r="1379" spans="4:4" x14ac:dyDescent="0.25">
      <c r="D1379" s="1"/>
    </row>
    <row r="1380" spans="4:4" x14ac:dyDescent="0.25">
      <c r="D1380" s="1"/>
    </row>
    <row r="1381" spans="4:4" x14ac:dyDescent="0.25">
      <c r="D1381" s="1"/>
    </row>
    <row r="1382" spans="4:4" x14ac:dyDescent="0.25">
      <c r="D1382" s="1"/>
    </row>
    <row r="1383" spans="4:4" x14ac:dyDescent="0.25">
      <c r="D1383" s="1"/>
    </row>
    <row r="1384" spans="4:4" x14ac:dyDescent="0.25">
      <c r="D1384" s="1"/>
    </row>
    <row r="1385" spans="4:4" x14ac:dyDescent="0.25">
      <c r="D1385" s="1"/>
    </row>
    <row r="1386" spans="4:4" x14ac:dyDescent="0.25">
      <c r="D1386" s="1"/>
    </row>
    <row r="1387" spans="4:4" x14ac:dyDescent="0.25">
      <c r="D1387" s="1"/>
    </row>
    <row r="1388" spans="4:4" x14ac:dyDescent="0.25">
      <c r="D1388" s="1"/>
    </row>
    <row r="1389" spans="4:4" x14ac:dyDescent="0.25">
      <c r="D1389" s="1"/>
    </row>
    <row r="1390" spans="4:4" x14ac:dyDescent="0.25">
      <c r="D1390" s="1"/>
    </row>
    <row r="1391" spans="4:4" x14ac:dyDescent="0.25">
      <c r="D1391" s="1"/>
    </row>
    <row r="1392" spans="4:4" x14ac:dyDescent="0.25">
      <c r="D1392" s="1"/>
    </row>
    <row r="1393" spans="4:4" x14ac:dyDescent="0.25">
      <c r="D1393" s="1"/>
    </row>
    <row r="1394" spans="4:4" x14ac:dyDescent="0.25">
      <c r="D1394" s="1"/>
    </row>
    <row r="1395" spans="4:4" x14ac:dyDescent="0.25">
      <c r="D1395" s="1"/>
    </row>
    <row r="1396" spans="4:4" x14ac:dyDescent="0.25">
      <c r="D1396" s="1"/>
    </row>
    <row r="1397" spans="4:4" x14ac:dyDescent="0.25">
      <c r="D1397" s="1"/>
    </row>
    <row r="1398" spans="4:4" x14ac:dyDescent="0.25">
      <c r="D1398" s="1"/>
    </row>
    <row r="1399" spans="4:4" x14ac:dyDescent="0.25">
      <c r="D1399" s="1"/>
    </row>
    <row r="1400" spans="4:4" x14ac:dyDescent="0.25">
      <c r="D1400" s="1"/>
    </row>
    <row r="1401" spans="4:4" x14ac:dyDescent="0.25">
      <c r="D1401" s="1"/>
    </row>
    <row r="1402" spans="4:4" x14ac:dyDescent="0.25">
      <c r="D1402" s="1"/>
    </row>
    <row r="1403" spans="4:4" x14ac:dyDescent="0.25">
      <c r="D1403" s="1"/>
    </row>
    <row r="1404" spans="4:4" x14ac:dyDescent="0.25">
      <c r="D1404" s="1"/>
    </row>
    <row r="1405" spans="4:4" x14ac:dyDescent="0.25">
      <c r="D1405" s="1"/>
    </row>
    <row r="1406" spans="4:4" x14ac:dyDescent="0.25">
      <c r="D1406" s="1"/>
    </row>
    <row r="1407" spans="4:4" x14ac:dyDescent="0.25">
      <c r="D1407" s="1"/>
    </row>
    <row r="1408" spans="4:4" x14ac:dyDescent="0.25">
      <c r="D1408" s="1"/>
    </row>
    <row r="1409" spans="4:4" x14ac:dyDescent="0.25">
      <c r="D1409" s="1"/>
    </row>
    <row r="1410" spans="4:4" x14ac:dyDescent="0.25">
      <c r="D1410" s="1"/>
    </row>
    <row r="1411" spans="4:4" x14ac:dyDescent="0.25">
      <c r="D1411" s="1"/>
    </row>
    <row r="1412" spans="4:4" x14ac:dyDescent="0.25">
      <c r="D1412" s="1"/>
    </row>
    <row r="1413" spans="4:4" x14ac:dyDescent="0.25">
      <c r="D1413" s="1"/>
    </row>
    <row r="1414" spans="4:4" x14ac:dyDescent="0.25">
      <c r="D1414" s="1"/>
    </row>
    <row r="1415" spans="4:4" x14ac:dyDescent="0.25">
      <c r="D1415" s="1"/>
    </row>
    <row r="1416" spans="4:4" x14ac:dyDescent="0.25">
      <c r="D1416" s="1"/>
    </row>
    <row r="1417" spans="4:4" x14ac:dyDescent="0.25">
      <c r="D1417" s="1"/>
    </row>
    <row r="1418" spans="4:4" x14ac:dyDescent="0.25">
      <c r="D1418" s="1"/>
    </row>
    <row r="1419" spans="4:4" x14ac:dyDescent="0.25">
      <c r="D1419" s="1"/>
    </row>
    <row r="1420" spans="4:4" x14ac:dyDescent="0.25">
      <c r="D1420" s="1"/>
    </row>
    <row r="1421" spans="4:4" x14ac:dyDescent="0.25">
      <c r="D1421" s="1"/>
    </row>
    <row r="1422" spans="4:4" x14ac:dyDescent="0.25">
      <c r="D1422" s="1"/>
    </row>
    <row r="1423" spans="4:4" x14ac:dyDescent="0.25">
      <c r="D1423" s="1"/>
    </row>
    <row r="1424" spans="4:4" x14ac:dyDescent="0.25">
      <c r="D1424" s="1"/>
    </row>
    <row r="1425" spans="4:4" x14ac:dyDescent="0.25">
      <c r="D1425" s="1"/>
    </row>
    <row r="1426" spans="4:4" x14ac:dyDescent="0.25">
      <c r="D1426" s="1"/>
    </row>
    <row r="1427" spans="4:4" x14ac:dyDescent="0.25">
      <c r="D1427" s="1"/>
    </row>
    <row r="1428" spans="4:4" x14ac:dyDescent="0.25">
      <c r="D1428" s="1"/>
    </row>
    <row r="1429" spans="4:4" x14ac:dyDescent="0.25">
      <c r="D1429" s="1"/>
    </row>
    <row r="1430" spans="4:4" x14ac:dyDescent="0.25">
      <c r="D1430" s="1"/>
    </row>
    <row r="1431" spans="4:4" x14ac:dyDescent="0.25">
      <c r="D1431" s="1"/>
    </row>
    <row r="1432" spans="4:4" x14ac:dyDescent="0.25">
      <c r="D1432" s="1"/>
    </row>
    <row r="1433" spans="4:4" x14ac:dyDescent="0.25">
      <c r="D1433" s="1"/>
    </row>
    <row r="1434" spans="4:4" x14ac:dyDescent="0.25">
      <c r="D1434" s="1"/>
    </row>
    <row r="1435" spans="4:4" x14ac:dyDescent="0.25">
      <c r="D1435" s="1"/>
    </row>
    <row r="1436" spans="4:4" x14ac:dyDescent="0.25">
      <c r="D1436" s="1"/>
    </row>
    <row r="1437" spans="4:4" x14ac:dyDescent="0.25">
      <c r="D1437" s="1"/>
    </row>
    <row r="1438" spans="4:4" x14ac:dyDescent="0.25">
      <c r="D1438" s="1"/>
    </row>
    <row r="1439" spans="4:4" x14ac:dyDescent="0.25">
      <c r="D1439" s="1"/>
    </row>
    <row r="1440" spans="4:4" x14ac:dyDescent="0.25">
      <c r="D1440" s="1"/>
    </row>
    <row r="1441" spans="4:4" x14ac:dyDescent="0.25">
      <c r="D1441" s="1"/>
    </row>
    <row r="1442" spans="4:4" x14ac:dyDescent="0.25">
      <c r="D1442" s="1"/>
    </row>
    <row r="1443" spans="4:4" x14ac:dyDescent="0.25">
      <c r="D1443" s="1"/>
    </row>
    <row r="1444" spans="4:4" x14ac:dyDescent="0.25">
      <c r="D1444" s="1"/>
    </row>
    <row r="1445" spans="4:4" x14ac:dyDescent="0.25">
      <c r="D1445" s="1"/>
    </row>
    <row r="1446" spans="4:4" x14ac:dyDescent="0.25">
      <c r="D1446" s="1"/>
    </row>
    <row r="1447" spans="4:4" x14ac:dyDescent="0.25">
      <c r="D1447" s="1"/>
    </row>
    <row r="1448" spans="4:4" x14ac:dyDescent="0.25">
      <c r="D1448" s="1"/>
    </row>
    <row r="1449" spans="4:4" x14ac:dyDescent="0.25">
      <c r="D1449" s="1"/>
    </row>
    <row r="1450" spans="4:4" x14ac:dyDescent="0.25">
      <c r="D1450" s="1"/>
    </row>
    <row r="1451" spans="4:4" x14ac:dyDescent="0.25">
      <c r="D1451" s="1"/>
    </row>
    <row r="1452" spans="4:4" x14ac:dyDescent="0.25">
      <c r="D1452" s="1"/>
    </row>
    <row r="1453" spans="4:4" x14ac:dyDescent="0.25">
      <c r="D1453" s="1"/>
    </row>
    <row r="1454" spans="4:4" x14ac:dyDescent="0.25">
      <c r="D1454" s="1"/>
    </row>
    <row r="1455" spans="4:4" x14ac:dyDescent="0.25">
      <c r="D1455" s="1"/>
    </row>
    <row r="1456" spans="4:4" x14ac:dyDescent="0.25">
      <c r="D1456" s="1"/>
    </row>
    <row r="1457" spans="4:4" x14ac:dyDescent="0.25">
      <c r="D1457" s="1"/>
    </row>
    <row r="1458" spans="4:4" x14ac:dyDescent="0.25">
      <c r="D1458" s="1"/>
    </row>
    <row r="1459" spans="4:4" x14ac:dyDescent="0.25">
      <c r="D1459" s="1"/>
    </row>
    <row r="1460" spans="4:4" x14ac:dyDescent="0.25">
      <c r="D1460" s="1"/>
    </row>
    <row r="1461" spans="4:4" x14ac:dyDescent="0.25">
      <c r="D1461" s="1"/>
    </row>
    <row r="1462" spans="4:4" x14ac:dyDescent="0.25">
      <c r="D1462" s="1"/>
    </row>
    <row r="1463" spans="4:4" x14ac:dyDescent="0.25">
      <c r="D1463" s="1"/>
    </row>
    <row r="1464" spans="4:4" x14ac:dyDescent="0.25">
      <c r="D1464" s="1"/>
    </row>
    <row r="1465" spans="4:4" x14ac:dyDescent="0.25">
      <c r="D1465" s="1"/>
    </row>
    <row r="1466" spans="4:4" x14ac:dyDescent="0.25">
      <c r="D1466" s="1"/>
    </row>
    <row r="1467" spans="4:4" x14ac:dyDescent="0.25">
      <c r="D1467" s="1"/>
    </row>
    <row r="1468" spans="4:4" x14ac:dyDescent="0.25">
      <c r="D1468" s="1"/>
    </row>
    <row r="1469" spans="4:4" x14ac:dyDescent="0.25">
      <c r="D1469" s="1"/>
    </row>
    <row r="1470" spans="4:4" x14ac:dyDescent="0.25">
      <c r="D1470" s="1"/>
    </row>
    <row r="1471" spans="4:4" x14ac:dyDescent="0.25">
      <c r="D1471" s="1"/>
    </row>
    <row r="1472" spans="4:4" x14ac:dyDescent="0.25">
      <c r="D1472" s="1"/>
    </row>
    <row r="1473" spans="4:4" x14ac:dyDescent="0.25">
      <c r="D1473" s="1"/>
    </row>
    <row r="1474" spans="4:4" x14ac:dyDescent="0.25">
      <c r="D1474" s="1"/>
    </row>
    <row r="1475" spans="4:4" x14ac:dyDescent="0.25">
      <c r="D1475" s="1"/>
    </row>
    <row r="1476" spans="4:4" x14ac:dyDescent="0.25">
      <c r="D1476" s="1"/>
    </row>
    <row r="1477" spans="4:4" x14ac:dyDescent="0.25">
      <c r="D1477" s="1"/>
    </row>
    <row r="1478" spans="4:4" x14ac:dyDescent="0.25">
      <c r="D1478" s="1"/>
    </row>
    <row r="1479" spans="4:4" x14ac:dyDescent="0.25">
      <c r="D1479" s="1"/>
    </row>
    <row r="1480" spans="4:4" x14ac:dyDescent="0.25">
      <c r="D1480" s="1"/>
    </row>
    <row r="1481" spans="4:4" x14ac:dyDescent="0.25">
      <c r="D1481" s="1"/>
    </row>
    <row r="1482" spans="4:4" x14ac:dyDescent="0.25">
      <c r="D1482" s="1"/>
    </row>
    <row r="1483" spans="4:4" x14ac:dyDescent="0.25">
      <c r="D1483" s="1"/>
    </row>
    <row r="1484" spans="4:4" x14ac:dyDescent="0.25">
      <c r="D1484" s="1"/>
    </row>
    <row r="1485" spans="4:4" x14ac:dyDescent="0.25">
      <c r="D1485" s="1"/>
    </row>
    <row r="1486" spans="4:4" x14ac:dyDescent="0.25">
      <c r="D1486" s="1"/>
    </row>
    <row r="1487" spans="4:4" x14ac:dyDescent="0.25">
      <c r="D1487" s="1"/>
    </row>
    <row r="1488" spans="4:4" x14ac:dyDescent="0.25">
      <c r="D1488" s="1"/>
    </row>
    <row r="1489" spans="4:4" x14ac:dyDescent="0.25">
      <c r="D1489" s="1"/>
    </row>
    <row r="1490" spans="4:4" x14ac:dyDescent="0.25">
      <c r="D1490" s="1"/>
    </row>
    <row r="1491" spans="4:4" x14ac:dyDescent="0.25">
      <c r="D1491" s="1"/>
    </row>
    <row r="1492" spans="4:4" x14ac:dyDescent="0.25">
      <c r="D1492" s="1"/>
    </row>
    <row r="1493" spans="4:4" x14ac:dyDescent="0.25">
      <c r="D1493" s="1"/>
    </row>
    <row r="1494" spans="4:4" x14ac:dyDescent="0.25">
      <c r="D1494" s="1"/>
    </row>
    <row r="1495" spans="4:4" x14ac:dyDescent="0.25">
      <c r="D1495" s="1"/>
    </row>
    <row r="1496" spans="4:4" x14ac:dyDescent="0.25">
      <c r="D1496" s="1"/>
    </row>
    <row r="1497" spans="4:4" x14ac:dyDescent="0.25">
      <c r="D1497" s="1"/>
    </row>
    <row r="1498" spans="4:4" x14ac:dyDescent="0.25">
      <c r="D1498" s="1"/>
    </row>
    <row r="1499" spans="4:4" x14ac:dyDescent="0.25">
      <c r="D1499" s="1"/>
    </row>
    <row r="1500" spans="4:4" x14ac:dyDescent="0.25">
      <c r="D1500" s="1"/>
    </row>
    <row r="1501" spans="4:4" x14ac:dyDescent="0.25">
      <c r="D1501" s="1"/>
    </row>
    <row r="1502" spans="4:4" x14ac:dyDescent="0.25">
      <c r="D1502" s="1"/>
    </row>
    <row r="1503" spans="4:4" x14ac:dyDescent="0.25">
      <c r="D1503" s="1"/>
    </row>
    <row r="1504" spans="4:4" x14ac:dyDescent="0.25">
      <c r="D1504" s="1"/>
    </row>
    <row r="1505" spans="4:4" x14ac:dyDescent="0.25">
      <c r="D1505" s="1"/>
    </row>
    <row r="1506" spans="4:4" x14ac:dyDescent="0.25">
      <c r="D1506" s="1"/>
    </row>
    <row r="1507" spans="4:4" x14ac:dyDescent="0.25">
      <c r="D1507" s="1"/>
    </row>
    <row r="1508" spans="4:4" x14ac:dyDescent="0.25">
      <c r="D1508" s="1"/>
    </row>
    <row r="1509" spans="4:4" x14ac:dyDescent="0.25">
      <c r="D1509" s="1"/>
    </row>
    <row r="1510" spans="4:4" x14ac:dyDescent="0.25">
      <c r="D1510" s="1"/>
    </row>
    <row r="1511" spans="4:4" x14ac:dyDescent="0.25">
      <c r="D1511" s="1"/>
    </row>
    <row r="1512" spans="4:4" x14ac:dyDescent="0.25">
      <c r="D1512" s="1"/>
    </row>
    <row r="1513" spans="4:4" x14ac:dyDescent="0.25">
      <c r="D1513" s="1"/>
    </row>
    <row r="1514" spans="4:4" x14ac:dyDescent="0.25">
      <c r="D1514" s="1"/>
    </row>
    <row r="1515" spans="4:4" x14ac:dyDescent="0.25">
      <c r="D1515" s="1"/>
    </row>
    <row r="1516" spans="4:4" x14ac:dyDescent="0.25">
      <c r="D1516" s="1"/>
    </row>
    <row r="1517" spans="4:4" x14ac:dyDescent="0.25">
      <c r="D1517" s="1"/>
    </row>
    <row r="1518" spans="4:4" x14ac:dyDescent="0.25">
      <c r="D1518" s="1"/>
    </row>
    <row r="1519" spans="4:4" x14ac:dyDescent="0.25">
      <c r="D1519" s="1"/>
    </row>
    <row r="1520" spans="4:4" x14ac:dyDescent="0.25">
      <c r="D1520" s="1"/>
    </row>
    <row r="1521" spans="4:4" x14ac:dyDescent="0.25">
      <c r="D1521" s="1"/>
    </row>
    <row r="1522" spans="4:4" x14ac:dyDescent="0.25">
      <c r="D1522" s="1"/>
    </row>
    <row r="1523" spans="4:4" x14ac:dyDescent="0.25">
      <c r="D1523" s="1"/>
    </row>
    <row r="1524" spans="4:4" x14ac:dyDescent="0.25">
      <c r="D1524" s="1"/>
    </row>
    <row r="1525" spans="4:4" x14ac:dyDescent="0.25">
      <c r="D1525" s="1"/>
    </row>
    <row r="1526" spans="4:4" x14ac:dyDescent="0.25">
      <c r="D1526" s="1"/>
    </row>
    <row r="1527" spans="4:4" x14ac:dyDescent="0.25">
      <c r="D1527" s="1"/>
    </row>
    <row r="1528" spans="4:4" x14ac:dyDescent="0.25">
      <c r="D1528" s="1"/>
    </row>
    <row r="1529" spans="4:4" x14ac:dyDescent="0.25">
      <c r="D1529" s="1"/>
    </row>
    <row r="1530" spans="4:4" x14ac:dyDescent="0.25">
      <c r="D1530" s="1"/>
    </row>
    <row r="1531" spans="4:4" x14ac:dyDescent="0.25">
      <c r="D1531" s="1"/>
    </row>
    <row r="1532" spans="4:4" x14ac:dyDescent="0.25">
      <c r="D1532" s="1"/>
    </row>
    <row r="1533" spans="4:4" x14ac:dyDescent="0.25">
      <c r="D1533" s="1"/>
    </row>
    <row r="1534" spans="4:4" x14ac:dyDescent="0.25">
      <c r="D1534" s="1"/>
    </row>
    <row r="1535" spans="4:4" x14ac:dyDescent="0.25">
      <c r="D1535" s="1"/>
    </row>
    <row r="1536" spans="4:4" x14ac:dyDescent="0.25">
      <c r="D1536" s="1"/>
    </row>
    <row r="1537" spans="4:4" x14ac:dyDescent="0.25">
      <c r="D1537" s="1"/>
    </row>
    <row r="1538" spans="4:4" x14ac:dyDescent="0.25">
      <c r="D1538" s="1"/>
    </row>
    <row r="1539" spans="4:4" x14ac:dyDescent="0.25">
      <c r="D1539" s="1"/>
    </row>
    <row r="1540" spans="4:4" x14ac:dyDescent="0.25">
      <c r="D1540" s="1"/>
    </row>
    <row r="1541" spans="4:4" x14ac:dyDescent="0.25">
      <c r="D1541" s="1"/>
    </row>
    <row r="1542" spans="4:4" x14ac:dyDescent="0.25">
      <c r="D1542" s="1"/>
    </row>
    <row r="1543" spans="4:4" x14ac:dyDescent="0.25">
      <c r="D1543" s="1"/>
    </row>
    <row r="1544" spans="4:4" x14ac:dyDescent="0.25">
      <c r="D1544" s="1"/>
    </row>
    <row r="1545" spans="4:4" x14ac:dyDescent="0.25">
      <c r="D1545" s="1"/>
    </row>
    <row r="1546" spans="4:4" x14ac:dyDescent="0.25">
      <c r="D1546" s="1"/>
    </row>
    <row r="1547" spans="4:4" x14ac:dyDescent="0.25">
      <c r="D1547" s="1"/>
    </row>
    <row r="1548" spans="4:4" x14ac:dyDescent="0.25">
      <c r="D1548" s="1"/>
    </row>
    <row r="1549" spans="4:4" x14ac:dyDescent="0.25">
      <c r="D1549" s="1"/>
    </row>
    <row r="1550" spans="4:4" x14ac:dyDescent="0.25">
      <c r="D1550" s="1"/>
    </row>
    <row r="1551" spans="4:4" x14ac:dyDescent="0.25">
      <c r="D1551" s="1"/>
    </row>
    <row r="1552" spans="4:4" x14ac:dyDescent="0.25">
      <c r="D1552" s="1"/>
    </row>
    <row r="1553" spans="4:4" x14ac:dyDescent="0.25">
      <c r="D1553" s="1"/>
    </row>
    <row r="1554" spans="4:4" x14ac:dyDescent="0.25">
      <c r="D1554" s="1"/>
    </row>
    <row r="1555" spans="4:4" x14ac:dyDescent="0.25">
      <c r="D1555" s="1"/>
    </row>
    <row r="1556" spans="4:4" x14ac:dyDescent="0.25">
      <c r="D1556" s="1"/>
    </row>
    <row r="1557" spans="4:4" x14ac:dyDescent="0.25">
      <c r="D1557" s="1"/>
    </row>
    <row r="1558" spans="4:4" x14ac:dyDescent="0.25">
      <c r="D1558" s="1"/>
    </row>
    <row r="1559" spans="4:4" x14ac:dyDescent="0.25">
      <c r="D1559" s="1"/>
    </row>
    <row r="1560" spans="4:4" x14ac:dyDescent="0.25">
      <c r="D1560" s="1"/>
    </row>
    <row r="1561" spans="4:4" x14ac:dyDescent="0.25">
      <c r="D1561" s="1"/>
    </row>
    <row r="1562" spans="4:4" x14ac:dyDescent="0.25">
      <c r="D1562" s="1"/>
    </row>
    <row r="1563" spans="4:4" x14ac:dyDescent="0.25">
      <c r="D1563" s="1"/>
    </row>
    <row r="1564" spans="4:4" x14ac:dyDescent="0.25">
      <c r="D1564" s="1"/>
    </row>
    <row r="1565" spans="4:4" x14ac:dyDescent="0.25">
      <c r="D1565" s="1"/>
    </row>
    <row r="1566" spans="4:4" x14ac:dyDescent="0.25">
      <c r="D1566" s="1"/>
    </row>
    <row r="1567" spans="4:4" x14ac:dyDescent="0.25">
      <c r="D1567" s="1"/>
    </row>
    <row r="1568" spans="4:4" x14ac:dyDescent="0.25">
      <c r="D1568" s="1"/>
    </row>
    <row r="1569" spans="4:4" x14ac:dyDescent="0.25">
      <c r="D1569" s="1"/>
    </row>
    <row r="1570" spans="4:4" x14ac:dyDescent="0.25">
      <c r="D1570" s="1"/>
    </row>
    <row r="1571" spans="4:4" x14ac:dyDescent="0.25">
      <c r="D1571" s="1"/>
    </row>
    <row r="1572" spans="4:4" x14ac:dyDescent="0.25">
      <c r="D1572" s="1"/>
    </row>
    <row r="1573" spans="4:4" x14ac:dyDescent="0.25">
      <c r="D1573" s="1"/>
    </row>
    <row r="1574" spans="4:4" x14ac:dyDescent="0.25">
      <c r="D1574" s="1"/>
    </row>
    <row r="1575" spans="4:4" x14ac:dyDescent="0.25">
      <c r="D1575" s="1"/>
    </row>
    <row r="1576" spans="4:4" x14ac:dyDescent="0.25">
      <c r="D1576" s="1"/>
    </row>
    <row r="1577" spans="4:4" x14ac:dyDescent="0.25">
      <c r="D1577" s="1"/>
    </row>
    <row r="1578" spans="4:4" x14ac:dyDescent="0.25">
      <c r="D1578" s="1"/>
    </row>
    <row r="1579" spans="4:4" x14ac:dyDescent="0.25">
      <c r="D1579" s="1"/>
    </row>
    <row r="1580" spans="4:4" x14ac:dyDescent="0.25">
      <c r="D1580" s="1"/>
    </row>
    <row r="1581" spans="4:4" x14ac:dyDescent="0.25">
      <c r="D1581" s="1"/>
    </row>
    <row r="1582" spans="4:4" x14ac:dyDescent="0.25">
      <c r="D1582" s="1"/>
    </row>
    <row r="1583" spans="4:4" x14ac:dyDescent="0.25">
      <c r="D1583" s="1"/>
    </row>
    <row r="1584" spans="4:4" x14ac:dyDescent="0.25">
      <c r="D1584" s="1"/>
    </row>
    <row r="1585" spans="4:4" x14ac:dyDescent="0.25">
      <c r="D1585" s="1"/>
    </row>
    <row r="1586" spans="4:4" x14ac:dyDescent="0.25">
      <c r="D1586" s="1"/>
    </row>
    <row r="1587" spans="4:4" x14ac:dyDescent="0.25">
      <c r="D1587" s="1"/>
    </row>
    <row r="1588" spans="4:4" x14ac:dyDescent="0.25">
      <c r="D1588" s="1"/>
    </row>
    <row r="1589" spans="4:4" x14ac:dyDescent="0.25">
      <c r="D1589" s="1"/>
    </row>
    <row r="1590" spans="4:4" x14ac:dyDescent="0.25">
      <c r="D1590" s="1"/>
    </row>
    <row r="1591" spans="4:4" x14ac:dyDescent="0.25">
      <c r="D1591" s="1"/>
    </row>
    <row r="1592" spans="4:4" x14ac:dyDescent="0.25">
      <c r="D1592" s="1"/>
    </row>
    <row r="1593" spans="4:4" x14ac:dyDescent="0.25">
      <c r="D1593" s="1"/>
    </row>
    <row r="1594" spans="4:4" x14ac:dyDescent="0.25">
      <c r="D1594" s="1"/>
    </row>
    <row r="1595" spans="4:4" x14ac:dyDescent="0.25">
      <c r="D1595" s="1"/>
    </row>
    <row r="1596" spans="4:4" x14ac:dyDescent="0.25">
      <c r="D1596" s="1"/>
    </row>
    <row r="1597" spans="4:4" x14ac:dyDescent="0.25">
      <c r="D1597" s="1"/>
    </row>
    <row r="1598" spans="4:4" x14ac:dyDescent="0.25">
      <c r="D1598" s="1"/>
    </row>
    <row r="1599" spans="4:4" x14ac:dyDescent="0.25">
      <c r="D1599" s="1"/>
    </row>
    <row r="1600" spans="4:4" x14ac:dyDescent="0.25">
      <c r="D1600" s="1"/>
    </row>
    <row r="1601" spans="4:4" x14ac:dyDescent="0.25">
      <c r="D1601" s="1"/>
    </row>
    <row r="1602" spans="4:4" x14ac:dyDescent="0.25">
      <c r="D1602" s="1"/>
    </row>
    <row r="1603" spans="4:4" x14ac:dyDescent="0.25">
      <c r="D1603" s="1"/>
    </row>
    <row r="1604" spans="4:4" x14ac:dyDescent="0.25">
      <c r="D1604" s="1"/>
    </row>
    <row r="1605" spans="4:4" x14ac:dyDescent="0.25">
      <c r="D1605" s="1"/>
    </row>
    <row r="1606" spans="4:4" x14ac:dyDescent="0.25">
      <c r="D1606" s="1"/>
    </row>
    <row r="1607" spans="4:4" x14ac:dyDescent="0.25">
      <c r="D1607" s="1"/>
    </row>
    <row r="1608" spans="4:4" x14ac:dyDescent="0.25">
      <c r="D1608" s="1"/>
    </row>
    <row r="1609" spans="4:4" x14ac:dyDescent="0.25">
      <c r="D1609" s="1"/>
    </row>
    <row r="1610" spans="4:4" x14ac:dyDescent="0.25">
      <c r="D1610" s="1"/>
    </row>
    <row r="1611" spans="4:4" x14ac:dyDescent="0.25">
      <c r="D1611" s="1"/>
    </row>
    <row r="1612" spans="4:4" x14ac:dyDescent="0.25">
      <c r="D1612" s="1"/>
    </row>
    <row r="1613" spans="4:4" x14ac:dyDescent="0.25">
      <c r="D1613" s="1"/>
    </row>
    <row r="1614" spans="4:4" x14ac:dyDescent="0.25">
      <c r="D1614" s="1"/>
    </row>
    <row r="1615" spans="4:4" x14ac:dyDescent="0.25">
      <c r="D1615" s="1"/>
    </row>
    <row r="1616" spans="4:4" x14ac:dyDescent="0.25">
      <c r="D1616" s="1"/>
    </row>
    <row r="1617" spans="4:4" x14ac:dyDescent="0.25">
      <c r="D1617" s="1"/>
    </row>
    <row r="1618" spans="4:4" x14ac:dyDescent="0.25">
      <c r="D1618" s="1"/>
    </row>
    <row r="1619" spans="4:4" x14ac:dyDescent="0.25">
      <c r="D1619" s="1"/>
    </row>
    <row r="1620" spans="4:4" x14ac:dyDescent="0.25">
      <c r="D1620" s="1"/>
    </row>
    <row r="1621" spans="4:4" x14ac:dyDescent="0.25">
      <c r="D1621" s="1"/>
    </row>
    <row r="1622" spans="4:4" x14ac:dyDescent="0.25">
      <c r="D1622" s="1"/>
    </row>
    <row r="1623" spans="4:4" x14ac:dyDescent="0.25">
      <c r="D1623" s="1"/>
    </row>
    <row r="1624" spans="4:4" x14ac:dyDescent="0.25">
      <c r="D1624" s="1"/>
    </row>
    <row r="1625" spans="4:4" x14ac:dyDescent="0.25">
      <c r="D1625" s="1"/>
    </row>
    <row r="1626" spans="4:4" x14ac:dyDescent="0.25">
      <c r="D1626" s="1"/>
    </row>
    <row r="1627" spans="4:4" x14ac:dyDescent="0.25">
      <c r="D1627" s="1"/>
    </row>
    <row r="1628" spans="4:4" x14ac:dyDescent="0.25">
      <c r="D1628" s="1"/>
    </row>
    <row r="1629" spans="4:4" x14ac:dyDescent="0.25">
      <c r="D1629" s="1"/>
    </row>
    <row r="1630" spans="4:4" x14ac:dyDescent="0.25">
      <c r="D1630" s="1"/>
    </row>
    <row r="1631" spans="4:4" x14ac:dyDescent="0.25">
      <c r="D1631" s="1"/>
    </row>
    <row r="1632" spans="4:4" x14ac:dyDescent="0.25">
      <c r="D1632" s="1"/>
    </row>
    <row r="1633" spans="4:4" x14ac:dyDescent="0.25">
      <c r="D1633" s="1"/>
    </row>
    <row r="1634" spans="4:4" x14ac:dyDescent="0.25">
      <c r="D1634" s="1"/>
    </row>
    <row r="1635" spans="4:4" x14ac:dyDescent="0.25">
      <c r="D1635" s="1"/>
    </row>
    <row r="1636" spans="4:4" x14ac:dyDescent="0.25">
      <c r="D1636" s="1"/>
    </row>
    <row r="1637" spans="4:4" x14ac:dyDescent="0.25">
      <c r="D1637" s="1"/>
    </row>
    <row r="1638" spans="4:4" x14ac:dyDescent="0.25">
      <c r="D1638" s="1"/>
    </row>
    <row r="1639" spans="4:4" x14ac:dyDescent="0.25">
      <c r="D1639" s="1"/>
    </row>
    <row r="1640" spans="4:4" x14ac:dyDescent="0.25">
      <c r="D1640" s="1"/>
    </row>
    <row r="1641" spans="4:4" x14ac:dyDescent="0.25">
      <c r="D1641" s="1"/>
    </row>
    <row r="1642" spans="4:4" x14ac:dyDescent="0.25">
      <c r="D1642" s="1"/>
    </row>
    <row r="1643" spans="4:4" x14ac:dyDescent="0.25">
      <c r="D1643" s="1"/>
    </row>
    <row r="1644" spans="4:4" x14ac:dyDescent="0.25">
      <c r="D1644" s="1"/>
    </row>
    <row r="1645" spans="4:4" x14ac:dyDescent="0.25">
      <c r="D1645" s="1"/>
    </row>
    <row r="1646" spans="4:4" x14ac:dyDescent="0.25">
      <c r="D1646" s="1"/>
    </row>
    <row r="1647" spans="4:4" x14ac:dyDescent="0.25">
      <c r="D1647" s="1"/>
    </row>
    <row r="1648" spans="4:4" x14ac:dyDescent="0.25">
      <c r="D1648" s="1"/>
    </row>
    <row r="1649" spans="4:4" x14ac:dyDescent="0.25">
      <c r="D1649" s="1"/>
    </row>
    <row r="1650" spans="4:4" x14ac:dyDescent="0.25">
      <c r="D1650" s="1"/>
    </row>
    <row r="1651" spans="4:4" x14ac:dyDescent="0.25">
      <c r="D1651" s="1"/>
    </row>
    <row r="1652" spans="4:4" x14ac:dyDescent="0.25">
      <c r="D1652" s="1"/>
    </row>
    <row r="1653" spans="4:4" x14ac:dyDescent="0.25">
      <c r="D1653" s="1"/>
    </row>
    <row r="1654" spans="4:4" x14ac:dyDescent="0.25">
      <c r="D1654" s="1"/>
    </row>
    <row r="1655" spans="4:4" x14ac:dyDescent="0.25">
      <c r="D1655" s="1"/>
    </row>
    <row r="1656" spans="4:4" x14ac:dyDescent="0.25">
      <c r="D1656" s="1"/>
    </row>
    <row r="1657" spans="4:4" x14ac:dyDescent="0.25">
      <c r="D1657" s="1"/>
    </row>
    <row r="1658" spans="4:4" x14ac:dyDescent="0.25">
      <c r="D1658" s="1"/>
    </row>
    <row r="1659" spans="4:4" x14ac:dyDescent="0.25">
      <c r="D1659" s="1"/>
    </row>
    <row r="1660" spans="4:4" x14ac:dyDescent="0.25">
      <c r="D1660" s="1"/>
    </row>
    <row r="1661" spans="4:4" x14ac:dyDescent="0.25">
      <c r="D1661" s="1"/>
    </row>
    <row r="1662" spans="4:4" x14ac:dyDescent="0.25">
      <c r="D1662" s="1"/>
    </row>
    <row r="1663" spans="4:4" x14ac:dyDescent="0.25">
      <c r="D1663" s="1"/>
    </row>
    <row r="1664" spans="4:4" x14ac:dyDescent="0.25">
      <c r="D1664" s="1"/>
    </row>
    <row r="1665" spans="4:4" x14ac:dyDescent="0.25">
      <c r="D1665" s="1"/>
    </row>
    <row r="1666" spans="4:4" x14ac:dyDescent="0.25">
      <c r="D1666" s="1"/>
    </row>
    <row r="1667" spans="4:4" x14ac:dyDescent="0.25">
      <c r="D1667" s="1"/>
    </row>
    <row r="1668" spans="4:4" x14ac:dyDescent="0.25">
      <c r="D1668" s="1"/>
    </row>
    <row r="1669" spans="4:4" x14ac:dyDescent="0.25">
      <c r="D1669" s="1"/>
    </row>
    <row r="1670" spans="4:4" x14ac:dyDescent="0.25">
      <c r="D1670" s="1"/>
    </row>
    <row r="1671" spans="4:4" x14ac:dyDescent="0.25">
      <c r="D1671" s="1"/>
    </row>
    <row r="1672" spans="4:4" x14ac:dyDescent="0.25">
      <c r="D1672" s="1"/>
    </row>
    <row r="1673" spans="4:4" x14ac:dyDescent="0.25">
      <c r="D1673" s="1"/>
    </row>
    <row r="1674" spans="4:4" x14ac:dyDescent="0.25">
      <c r="D1674" s="1"/>
    </row>
    <row r="1675" spans="4:4" x14ac:dyDescent="0.25">
      <c r="D1675" s="1"/>
    </row>
    <row r="1676" spans="4:4" x14ac:dyDescent="0.25">
      <c r="D1676" s="1"/>
    </row>
    <row r="1677" spans="4:4" x14ac:dyDescent="0.25">
      <c r="D1677" s="1"/>
    </row>
    <row r="1678" spans="4:4" x14ac:dyDescent="0.25">
      <c r="D1678" s="1"/>
    </row>
    <row r="1679" spans="4:4" x14ac:dyDescent="0.25">
      <c r="D1679" s="1"/>
    </row>
    <row r="1680" spans="4:4" x14ac:dyDescent="0.25">
      <c r="D1680" s="1"/>
    </row>
    <row r="1681" spans="4:4" x14ac:dyDescent="0.25">
      <c r="D1681" s="1"/>
    </row>
    <row r="1682" spans="4:4" x14ac:dyDescent="0.25">
      <c r="D1682" s="1"/>
    </row>
    <row r="1683" spans="4:4" x14ac:dyDescent="0.25">
      <c r="D1683" s="1"/>
    </row>
    <row r="1684" spans="4:4" x14ac:dyDescent="0.25">
      <c r="D1684" s="1"/>
    </row>
    <row r="1685" spans="4:4" x14ac:dyDescent="0.25">
      <c r="D1685" s="1"/>
    </row>
    <row r="1686" spans="4:4" x14ac:dyDescent="0.25">
      <c r="D1686" s="1"/>
    </row>
    <row r="1687" spans="4:4" x14ac:dyDescent="0.25">
      <c r="D1687" s="1"/>
    </row>
    <row r="1688" spans="4:4" x14ac:dyDescent="0.25">
      <c r="D1688" s="1"/>
    </row>
    <row r="1689" spans="4:4" x14ac:dyDescent="0.25">
      <c r="D1689" s="1"/>
    </row>
    <row r="1690" spans="4:4" x14ac:dyDescent="0.25">
      <c r="D1690" s="1"/>
    </row>
    <row r="1691" spans="4:4" x14ac:dyDescent="0.25">
      <c r="D1691" s="1"/>
    </row>
    <row r="1692" spans="4:4" x14ac:dyDescent="0.25">
      <c r="D1692" s="1"/>
    </row>
    <row r="1693" spans="4:4" x14ac:dyDescent="0.25">
      <c r="D1693" s="1"/>
    </row>
    <row r="1694" spans="4:4" x14ac:dyDescent="0.25">
      <c r="D1694" s="1"/>
    </row>
    <row r="1695" spans="4:4" x14ac:dyDescent="0.25">
      <c r="D1695" s="1"/>
    </row>
    <row r="1696" spans="4:4" x14ac:dyDescent="0.25">
      <c r="D1696" s="1"/>
    </row>
    <row r="1697" spans="4:4" x14ac:dyDescent="0.25">
      <c r="D1697" s="1"/>
    </row>
    <row r="1698" spans="4:4" x14ac:dyDescent="0.25">
      <c r="D1698" s="1"/>
    </row>
    <row r="1699" spans="4:4" x14ac:dyDescent="0.25">
      <c r="D1699" s="1"/>
    </row>
    <row r="1700" spans="4:4" x14ac:dyDescent="0.25">
      <c r="D1700" s="1"/>
    </row>
    <row r="1701" spans="4:4" x14ac:dyDescent="0.25">
      <c r="D1701" s="1"/>
    </row>
    <row r="1702" spans="4:4" x14ac:dyDescent="0.25">
      <c r="D1702" s="1"/>
    </row>
    <row r="1703" spans="4:4" x14ac:dyDescent="0.25">
      <c r="D1703" s="1"/>
    </row>
    <row r="1704" spans="4:4" x14ac:dyDescent="0.25">
      <c r="D1704" s="1"/>
    </row>
    <row r="1705" spans="4:4" x14ac:dyDescent="0.25">
      <c r="D1705" s="1"/>
    </row>
    <row r="1706" spans="4:4" x14ac:dyDescent="0.25">
      <c r="D1706" s="1"/>
    </row>
    <row r="1707" spans="4:4" x14ac:dyDescent="0.25">
      <c r="D1707" s="1"/>
    </row>
    <row r="1708" spans="4:4" x14ac:dyDescent="0.25">
      <c r="D1708" s="1"/>
    </row>
    <row r="1709" spans="4:4" x14ac:dyDescent="0.25">
      <c r="D1709" s="1"/>
    </row>
    <row r="1710" spans="4:4" x14ac:dyDescent="0.25">
      <c r="D1710" s="1"/>
    </row>
    <row r="1711" spans="4:4" x14ac:dyDescent="0.25">
      <c r="D1711" s="1"/>
    </row>
    <row r="1712" spans="4:4" x14ac:dyDescent="0.25">
      <c r="D1712" s="1"/>
    </row>
    <row r="1713" spans="4:4" x14ac:dyDescent="0.25">
      <c r="D1713" s="1"/>
    </row>
    <row r="1714" spans="4:4" x14ac:dyDescent="0.25">
      <c r="D1714" s="1"/>
    </row>
    <row r="1715" spans="4:4" x14ac:dyDescent="0.25">
      <c r="D1715" s="1"/>
    </row>
    <row r="1716" spans="4:4" x14ac:dyDescent="0.25">
      <c r="D1716" s="1"/>
    </row>
    <row r="1717" spans="4:4" x14ac:dyDescent="0.25">
      <c r="D1717" s="1"/>
    </row>
    <row r="1718" spans="4:4" x14ac:dyDescent="0.25">
      <c r="D1718" s="1"/>
    </row>
    <row r="1719" spans="4:4" x14ac:dyDescent="0.25">
      <c r="D1719" s="1"/>
    </row>
    <row r="1720" spans="4:4" x14ac:dyDescent="0.25">
      <c r="D1720" s="1"/>
    </row>
    <row r="1721" spans="4:4" x14ac:dyDescent="0.25">
      <c r="D1721" s="1"/>
    </row>
    <row r="1722" spans="4:4" x14ac:dyDescent="0.25">
      <c r="D1722" s="1"/>
    </row>
    <row r="1723" spans="4:4" x14ac:dyDescent="0.25">
      <c r="D1723" s="1"/>
    </row>
    <row r="1724" spans="4:4" x14ac:dyDescent="0.25">
      <c r="D1724" s="1"/>
    </row>
    <row r="1725" spans="4:4" x14ac:dyDescent="0.25">
      <c r="D1725" s="1"/>
    </row>
    <row r="1726" spans="4:4" x14ac:dyDescent="0.25">
      <c r="D1726" s="1"/>
    </row>
    <row r="1727" spans="4:4" x14ac:dyDescent="0.25">
      <c r="D1727" s="1"/>
    </row>
    <row r="1728" spans="4:4" x14ac:dyDescent="0.25">
      <c r="D1728" s="1"/>
    </row>
    <row r="1729" spans="4:4" x14ac:dyDescent="0.25">
      <c r="D1729" s="1"/>
    </row>
    <row r="1730" spans="4:4" x14ac:dyDescent="0.25">
      <c r="D1730" s="1"/>
    </row>
    <row r="1731" spans="4:4" x14ac:dyDescent="0.25">
      <c r="D1731" s="1"/>
    </row>
    <row r="1732" spans="4:4" x14ac:dyDescent="0.25">
      <c r="D1732" s="1"/>
    </row>
    <row r="1733" spans="4:4" x14ac:dyDescent="0.25">
      <c r="D1733" s="1"/>
    </row>
    <row r="1734" spans="4:4" x14ac:dyDescent="0.25">
      <c r="D1734" s="1"/>
    </row>
    <row r="1735" spans="4:4" x14ac:dyDescent="0.25">
      <c r="D1735" s="1"/>
    </row>
    <row r="1736" spans="4:4" x14ac:dyDescent="0.25">
      <c r="D1736" s="1"/>
    </row>
    <row r="1737" spans="4:4" x14ac:dyDescent="0.25">
      <c r="D1737" s="1"/>
    </row>
    <row r="1738" spans="4:4" x14ac:dyDescent="0.25">
      <c r="D1738" s="1"/>
    </row>
    <row r="1739" spans="4:4" x14ac:dyDescent="0.25">
      <c r="D1739" s="1"/>
    </row>
    <row r="1740" spans="4:4" x14ac:dyDescent="0.25">
      <c r="D1740" s="1"/>
    </row>
    <row r="1741" spans="4:4" x14ac:dyDescent="0.25">
      <c r="D1741" s="1"/>
    </row>
    <row r="1742" spans="4:4" x14ac:dyDescent="0.25">
      <c r="D1742" s="1"/>
    </row>
    <row r="1743" spans="4:4" x14ac:dyDescent="0.25">
      <c r="D1743" s="1"/>
    </row>
    <row r="1744" spans="4:4" x14ac:dyDescent="0.25">
      <c r="D1744" s="1"/>
    </row>
    <row r="1745" spans="4:4" x14ac:dyDescent="0.25">
      <c r="D1745" s="1"/>
    </row>
    <row r="1746" spans="4:4" x14ac:dyDescent="0.25">
      <c r="D1746" s="1"/>
    </row>
    <row r="1747" spans="4:4" x14ac:dyDescent="0.25">
      <c r="D1747" s="1"/>
    </row>
    <row r="1748" spans="4:4" x14ac:dyDescent="0.25">
      <c r="D1748" s="1"/>
    </row>
    <row r="1749" spans="4:4" x14ac:dyDescent="0.25">
      <c r="D1749" s="1"/>
    </row>
    <row r="1750" spans="4:4" x14ac:dyDescent="0.25">
      <c r="D1750" s="1"/>
    </row>
    <row r="1751" spans="4:4" x14ac:dyDescent="0.25">
      <c r="D1751" s="1"/>
    </row>
    <row r="1752" spans="4:4" x14ac:dyDescent="0.25">
      <c r="D1752" s="1"/>
    </row>
    <row r="1753" spans="4:4" x14ac:dyDescent="0.25">
      <c r="D1753" s="1"/>
    </row>
    <row r="1754" spans="4:4" x14ac:dyDescent="0.25">
      <c r="D1754" s="1"/>
    </row>
    <row r="1755" spans="4:4" x14ac:dyDescent="0.25">
      <c r="D1755" s="1"/>
    </row>
    <row r="1756" spans="4:4" x14ac:dyDescent="0.25">
      <c r="D1756" s="1"/>
    </row>
    <row r="1757" spans="4:4" x14ac:dyDescent="0.25">
      <c r="D1757" s="1"/>
    </row>
    <row r="1758" spans="4:4" x14ac:dyDescent="0.25">
      <c r="D1758" s="1"/>
    </row>
    <row r="1759" spans="4:4" x14ac:dyDescent="0.25">
      <c r="D1759" s="1"/>
    </row>
    <row r="1760" spans="4:4" x14ac:dyDescent="0.25">
      <c r="D1760" s="1"/>
    </row>
    <row r="1761" spans="4:4" x14ac:dyDescent="0.25">
      <c r="D1761" s="1"/>
    </row>
    <row r="1762" spans="4:4" x14ac:dyDescent="0.25">
      <c r="D1762" s="1"/>
    </row>
    <row r="1763" spans="4:4" x14ac:dyDescent="0.25">
      <c r="D1763" s="1"/>
    </row>
    <row r="1764" spans="4:4" x14ac:dyDescent="0.25">
      <c r="D1764" s="1"/>
    </row>
    <row r="1765" spans="4:4" x14ac:dyDescent="0.25">
      <c r="D1765" s="1"/>
    </row>
    <row r="1766" spans="4:4" x14ac:dyDescent="0.25">
      <c r="D1766" s="1"/>
    </row>
    <row r="1767" spans="4:4" x14ac:dyDescent="0.25">
      <c r="D1767" s="1"/>
    </row>
    <row r="1768" spans="4:4" x14ac:dyDescent="0.25">
      <c r="D1768" s="1"/>
    </row>
    <row r="1769" spans="4:4" x14ac:dyDescent="0.25">
      <c r="D1769" s="1"/>
    </row>
    <row r="1770" spans="4:4" x14ac:dyDescent="0.25">
      <c r="D1770" s="1"/>
    </row>
    <row r="1771" spans="4:4" x14ac:dyDescent="0.25">
      <c r="D1771" s="1"/>
    </row>
    <row r="1772" spans="4:4" x14ac:dyDescent="0.25">
      <c r="D1772" s="1"/>
    </row>
    <row r="1773" spans="4:4" x14ac:dyDescent="0.25">
      <c r="D1773" s="1"/>
    </row>
    <row r="1774" spans="4:4" x14ac:dyDescent="0.25">
      <c r="D1774" s="1"/>
    </row>
    <row r="1775" spans="4:4" x14ac:dyDescent="0.25">
      <c r="D1775" s="1"/>
    </row>
    <row r="1776" spans="4:4" x14ac:dyDescent="0.25">
      <c r="D1776" s="1"/>
    </row>
    <row r="1777" spans="4:4" x14ac:dyDescent="0.25">
      <c r="D1777" s="1"/>
    </row>
    <row r="1778" spans="4:4" x14ac:dyDescent="0.25">
      <c r="D1778" s="1"/>
    </row>
    <row r="1779" spans="4:4" x14ac:dyDescent="0.25">
      <c r="D1779" s="1"/>
    </row>
    <row r="1780" spans="4:4" x14ac:dyDescent="0.25">
      <c r="D1780" s="1"/>
    </row>
    <row r="1781" spans="4:4" x14ac:dyDescent="0.25">
      <c r="D1781" s="1"/>
    </row>
    <row r="1782" spans="4:4" x14ac:dyDescent="0.25">
      <c r="D1782" s="1"/>
    </row>
    <row r="1783" spans="4:4" x14ac:dyDescent="0.25">
      <c r="D1783" s="1"/>
    </row>
    <row r="1784" spans="4:4" x14ac:dyDescent="0.25">
      <c r="D1784" s="1"/>
    </row>
    <row r="1785" spans="4:4" x14ac:dyDescent="0.25">
      <c r="D1785" s="1"/>
    </row>
    <row r="1786" spans="4:4" x14ac:dyDescent="0.25">
      <c r="D1786" s="1"/>
    </row>
    <row r="1787" spans="4:4" x14ac:dyDescent="0.25">
      <c r="D1787" s="1"/>
    </row>
    <row r="1788" spans="4:4" x14ac:dyDescent="0.25">
      <c r="D1788" s="1"/>
    </row>
    <row r="1789" spans="4:4" x14ac:dyDescent="0.25">
      <c r="D1789" s="1"/>
    </row>
    <row r="1790" spans="4:4" x14ac:dyDescent="0.25">
      <c r="D1790" s="1"/>
    </row>
    <row r="1791" spans="4:4" x14ac:dyDescent="0.25">
      <c r="D1791" s="1"/>
    </row>
    <row r="1792" spans="4:4" x14ac:dyDescent="0.25">
      <c r="D1792" s="1"/>
    </row>
    <row r="1793" spans="4:4" x14ac:dyDescent="0.25">
      <c r="D1793" s="1"/>
    </row>
    <row r="1794" spans="4:4" x14ac:dyDescent="0.25">
      <c r="D1794" s="1"/>
    </row>
    <row r="1795" spans="4:4" x14ac:dyDescent="0.25">
      <c r="D1795" s="1"/>
    </row>
    <row r="1796" spans="4:4" x14ac:dyDescent="0.25">
      <c r="D1796" s="1"/>
    </row>
    <row r="1797" spans="4:4" x14ac:dyDescent="0.25">
      <c r="D1797" s="1"/>
    </row>
    <row r="1798" spans="4:4" x14ac:dyDescent="0.25">
      <c r="D1798" s="1"/>
    </row>
    <row r="1799" spans="4:4" x14ac:dyDescent="0.25">
      <c r="D1799" s="1"/>
    </row>
    <row r="1800" spans="4:4" x14ac:dyDescent="0.25">
      <c r="D1800" s="1"/>
    </row>
    <row r="1801" spans="4:4" x14ac:dyDescent="0.25">
      <c r="D1801" s="1"/>
    </row>
    <row r="1802" spans="4:4" x14ac:dyDescent="0.25">
      <c r="D1802" s="1"/>
    </row>
    <row r="1803" spans="4:4" x14ac:dyDescent="0.25">
      <c r="D1803" s="1"/>
    </row>
    <row r="1804" spans="4:4" x14ac:dyDescent="0.25">
      <c r="D1804" s="1"/>
    </row>
    <row r="1805" spans="4:4" x14ac:dyDescent="0.25">
      <c r="D1805" s="1"/>
    </row>
    <row r="1806" spans="4:4" x14ac:dyDescent="0.25">
      <c r="D1806" s="1"/>
    </row>
    <row r="1807" spans="4:4" x14ac:dyDescent="0.25">
      <c r="D1807" s="1"/>
    </row>
    <row r="1808" spans="4:4" x14ac:dyDescent="0.25">
      <c r="D1808" s="1"/>
    </row>
    <row r="1809" spans="4:4" x14ac:dyDescent="0.25">
      <c r="D1809" s="1"/>
    </row>
    <row r="1810" spans="4:4" x14ac:dyDescent="0.25">
      <c r="D1810" s="1"/>
    </row>
    <row r="1811" spans="4:4" x14ac:dyDescent="0.25">
      <c r="D1811" s="1"/>
    </row>
    <row r="1812" spans="4:4" x14ac:dyDescent="0.25">
      <c r="D1812" s="1"/>
    </row>
    <row r="1813" spans="4:4" x14ac:dyDescent="0.25">
      <c r="D1813" s="1"/>
    </row>
    <row r="1814" spans="4:4" x14ac:dyDescent="0.25">
      <c r="D1814" s="1"/>
    </row>
    <row r="1815" spans="4:4" x14ac:dyDescent="0.25">
      <c r="D1815" s="1"/>
    </row>
    <row r="1816" spans="4:4" x14ac:dyDescent="0.25">
      <c r="D1816" s="1"/>
    </row>
    <row r="1817" spans="4:4" x14ac:dyDescent="0.25">
      <c r="D1817" s="1"/>
    </row>
    <row r="1818" spans="4:4" x14ac:dyDescent="0.25">
      <c r="D1818" s="1"/>
    </row>
    <row r="1819" spans="4:4" x14ac:dyDescent="0.25">
      <c r="D1819" s="1"/>
    </row>
    <row r="1820" spans="4:4" x14ac:dyDescent="0.25">
      <c r="D1820" s="1"/>
    </row>
    <row r="1821" spans="4:4" x14ac:dyDescent="0.25">
      <c r="D1821" s="1"/>
    </row>
    <row r="1822" spans="4:4" x14ac:dyDescent="0.25">
      <c r="D1822" s="1"/>
    </row>
    <row r="1823" spans="4:4" x14ac:dyDescent="0.25">
      <c r="D1823" s="1"/>
    </row>
    <row r="1824" spans="4:4" x14ac:dyDescent="0.25">
      <c r="D1824" s="1"/>
    </row>
    <row r="1825" spans="4:4" x14ac:dyDescent="0.25">
      <c r="D1825" s="1"/>
    </row>
    <row r="1826" spans="4:4" x14ac:dyDescent="0.25">
      <c r="D1826" s="1"/>
    </row>
    <row r="1827" spans="4:4" x14ac:dyDescent="0.25">
      <c r="D1827" s="1"/>
    </row>
    <row r="1828" spans="4:4" x14ac:dyDescent="0.25">
      <c r="D1828" s="1"/>
    </row>
    <row r="1829" spans="4:4" x14ac:dyDescent="0.25">
      <c r="D1829" s="1"/>
    </row>
    <row r="1830" spans="4:4" x14ac:dyDescent="0.25">
      <c r="D1830" s="1"/>
    </row>
    <row r="1831" spans="4:4" x14ac:dyDescent="0.25">
      <c r="D1831" s="1"/>
    </row>
    <row r="1832" spans="4:4" x14ac:dyDescent="0.25">
      <c r="D1832" s="1"/>
    </row>
    <row r="1833" spans="4:4" x14ac:dyDescent="0.25">
      <c r="D1833" s="1"/>
    </row>
    <row r="1834" spans="4:4" x14ac:dyDescent="0.25">
      <c r="D1834" s="1"/>
    </row>
    <row r="1835" spans="4:4" x14ac:dyDescent="0.25">
      <c r="D1835" s="1"/>
    </row>
    <row r="1836" spans="4:4" x14ac:dyDescent="0.25">
      <c r="D1836" s="1"/>
    </row>
    <row r="1837" spans="4:4" x14ac:dyDescent="0.25">
      <c r="D1837" s="1"/>
    </row>
    <row r="1838" spans="4:4" x14ac:dyDescent="0.25">
      <c r="D1838" s="1"/>
    </row>
    <row r="1839" spans="4:4" x14ac:dyDescent="0.25">
      <c r="D1839" s="1"/>
    </row>
    <row r="1840" spans="4:4" x14ac:dyDescent="0.25">
      <c r="D1840" s="1"/>
    </row>
    <row r="1841" spans="4:4" x14ac:dyDescent="0.25">
      <c r="D1841" s="1"/>
    </row>
    <row r="1842" spans="4:4" x14ac:dyDescent="0.25">
      <c r="D1842" s="1"/>
    </row>
    <row r="1843" spans="4:4" x14ac:dyDescent="0.25">
      <c r="D1843" s="1"/>
    </row>
    <row r="1844" spans="4:4" x14ac:dyDescent="0.25">
      <c r="D1844" s="1"/>
    </row>
    <row r="1845" spans="4:4" x14ac:dyDescent="0.25">
      <c r="D1845" s="1"/>
    </row>
    <row r="1846" spans="4:4" x14ac:dyDescent="0.25">
      <c r="D1846" s="1"/>
    </row>
    <row r="1847" spans="4:4" x14ac:dyDescent="0.25">
      <c r="D1847" s="1"/>
    </row>
    <row r="1848" spans="4:4" x14ac:dyDescent="0.25">
      <c r="D1848" s="1"/>
    </row>
    <row r="1849" spans="4:4" x14ac:dyDescent="0.25">
      <c r="D1849" s="1"/>
    </row>
    <row r="1850" spans="4:4" x14ac:dyDescent="0.25">
      <c r="D1850" s="1"/>
    </row>
    <row r="1851" spans="4:4" x14ac:dyDescent="0.25">
      <c r="D1851" s="1"/>
    </row>
    <row r="1852" spans="4:4" x14ac:dyDescent="0.25">
      <c r="D1852" s="1"/>
    </row>
    <row r="1853" spans="4:4" x14ac:dyDescent="0.25">
      <c r="D1853" s="1"/>
    </row>
    <row r="1854" spans="4:4" x14ac:dyDescent="0.25">
      <c r="D1854" s="1"/>
    </row>
    <row r="1855" spans="4:4" x14ac:dyDescent="0.25">
      <c r="D1855" s="1"/>
    </row>
    <row r="1856" spans="4:4" x14ac:dyDescent="0.25">
      <c r="D1856" s="1"/>
    </row>
    <row r="1857" spans="4:4" x14ac:dyDescent="0.25">
      <c r="D1857" s="1"/>
    </row>
    <row r="1858" spans="4:4" x14ac:dyDescent="0.25">
      <c r="D1858" s="1"/>
    </row>
    <row r="1859" spans="4:4" x14ac:dyDescent="0.25">
      <c r="D1859" s="1"/>
    </row>
    <row r="1860" spans="4:4" x14ac:dyDescent="0.25">
      <c r="D1860" s="1"/>
    </row>
    <row r="1861" spans="4:4" x14ac:dyDescent="0.25">
      <c r="D1861" s="1"/>
    </row>
    <row r="1862" spans="4:4" x14ac:dyDescent="0.25">
      <c r="D1862" s="1"/>
    </row>
    <row r="1863" spans="4:4" x14ac:dyDescent="0.25">
      <c r="D1863" s="1"/>
    </row>
    <row r="1864" spans="4:4" x14ac:dyDescent="0.25">
      <c r="D1864" s="1"/>
    </row>
    <row r="1865" spans="4:4" x14ac:dyDescent="0.25">
      <c r="D1865" s="1"/>
    </row>
    <row r="1866" spans="4:4" x14ac:dyDescent="0.25">
      <c r="D1866" s="1"/>
    </row>
    <row r="1867" spans="4:4" x14ac:dyDescent="0.25">
      <c r="D1867" s="1"/>
    </row>
    <row r="1868" spans="4:4" x14ac:dyDescent="0.25">
      <c r="D1868" s="1"/>
    </row>
    <row r="1869" spans="4:4" x14ac:dyDescent="0.25">
      <c r="D1869" s="1"/>
    </row>
    <row r="1870" spans="4:4" x14ac:dyDescent="0.25">
      <c r="D1870" s="1"/>
    </row>
    <row r="1871" spans="4:4" x14ac:dyDescent="0.25">
      <c r="D1871" s="1"/>
    </row>
    <row r="1872" spans="4:4" x14ac:dyDescent="0.25">
      <c r="D1872" s="1"/>
    </row>
    <row r="1873" spans="4:4" x14ac:dyDescent="0.25">
      <c r="D1873" s="1"/>
    </row>
    <row r="1874" spans="4:4" x14ac:dyDescent="0.25">
      <c r="D1874" s="1"/>
    </row>
    <row r="1875" spans="4:4" x14ac:dyDescent="0.25">
      <c r="D1875" s="1"/>
    </row>
    <row r="1876" spans="4:4" x14ac:dyDescent="0.25">
      <c r="D1876" s="1"/>
    </row>
    <row r="1877" spans="4:4" x14ac:dyDescent="0.25">
      <c r="D1877" s="1"/>
    </row>
    <row r="1878" spans="4:4" x14ac:dyDescent="0.25">
      <c r="D1878" s="1"/>
    </row>
    <row r="1879" spans="4:4" x14ac:dyDescent="0.25">
      <c r="D1879" s="1"/>
    </row>
    <row r="1880" spans="4:4" x14ac:dyDescent="0.25">
      <c r="D1880" s="1"/>
    </row>
    <row r="1881" spans="4:4" x14ac:dyDescent="0.25">
      <c r="D1881" s="1"/>
    </row>
    <row r="1882" spans="4:4" x14ac:dyDescent="0.25">
      <c r="D1882" s="1"/>
    </row>
    <row r="1883" spans="4:4" x14ac:dyDescent="0.25">
      <c r="D1883" s="1"/>
    </row>
    <row r="1884" spans="4:4" x14ac:dyDescent="0.25">
      <c r="D1884" s="1"/>
    </row>
    <row r="1885" spans="4:4" x14ac:dyDescent="0.25">
      <c r="D1885" s="1"/>
    </row>
    <row r="1886" spans="4:4" x14ac:dyDescent="0.25">
      <c r="D1886" s="1"/>
    </row>
    <row r="1887" spans="4:4" x14ac:dyDescent="0.25">
      <c r="D1887" s="1"/>
    </row>
    <row r="1888" spans="4:4" x14ac:dyDescent="0.25">
      <c r="D1888" s="1"/>
    </row>
    <row r="1889" spans="4:4" x14ac:dyDescent="0.25">
      <c r="D1889" s="1"/>
    </row>
    <row r="1890" spans="4:4" x14ac:dyDescent="0.25">
      <c r="D1890" s="1"/>
    </row>
    <row r="1891" spans="4:4" x14ac:dyDescent="0.25">
      <c r="D1891" s="1"/>
    </row>
    <row r="1892" spans="4:4" x14ac:dyDescent="0.25">
      <c r="D1892" s="1"/>
    </row>
    <row r="1893" spans="4:4" x14ac:dyDescent="0.25">
      <c r="D1893" s="1"/>
    </row>
    <row r="1894" spans="4:4" x14ac:dyDescent="0.25">
      <c r="D1894" s="1"/>
    </row>
    <row r="1895" spans="4:4" x14ac:dyDescent="0.25">
      <c r="D1895" s="1"/>
    </row>
    <row r="1896" spans="4:4" x14ac:dyDescent="0.25">
      <c r="D1896" s="1"/>
    </row>
    <row r="1897" spans="4:4" x14ac:dyDescent="0.25">
      <c r="D1897" s="1"/>
    </row>
    <row r="1898" spans="4:4" x14ac:dyDescent="0.25">
      <c r="D1898" s="1"/>
    </row>
    <row r="1899" spans="4:4" x14ac:dyDescent="0.25">
      <c r="D1899" s="1"/>
    </row>
    <row r="1900" spans="4:4" x14ac:dyDescent="0.25">
      <c r="D1900" s="1"/>
    </row>
    <row r="1901" spans="4:4" x14ac:dyDescent="0.25">
      <c r="D1901" s="1"/>
    </row>
    <row r="1902" spans="4:4" x14ac:dyDescent="0.25">
      <c r="D1902" s="1"/>
    </row>
    <row r="1903" spans="4:4" x14ac:dyDescent="0.25">
      <c r="D1903" s="1"/>
    </row>
    <row r="1904" spans="4:4" x14ac:dyDescent="0.25">
      <c r="D1904" s="1"/>
    </row>
    <row r="1905" spans="4:4" x14ac:dyDescent="0.25">
      <c r="D1905" s="1"/>
    </row>
    <row r="1906" spans="4:4" x14ac:dyDescent="0.25">
      <c r="D1906" s="1"/>
    </row>
    <row r="1907" spans="4:4" x14ac:dyDescent="0.25">
      <c r="D1907" s="1"/>
    </row>
    <row r="1908" spans="4:4" x14ac:dyDescent="0.25">
      <c r="D1908" s="1"/>
    </row>
    <row r="1909" spans="4:4" x14ac:dyDescent="0.25">
      <c r="D1909" s="1"/>
    </row>
    <row r="1910" spans="4:4" x14ac:dyDescent="0.25">
      <c r="D1910" s="1"/>
    </row>
    <row r="1911" spans="4:4" x14ac:dyDescent="0.25">
      <c r="D1911" s="1"/>
    </row>
    <row r="1912" spans="4:4" x14ac:dyDescent="0.25">
      <c r="D1912" s="1"/>
    </row>
    <row r="1913" spans="4:4" x14ac:dyDescent="0.25">
      <c r="D1913" s="1"/>
    </row>
    <row r="1914" spans="4:4" x14ac:dyDescent="0.25">
      <c r="D1914" s="1"/>
    </row>
    <row r="1915" spans="4:4" x14ac:dyDescent="0.25">
      <c r="D1915" s="1"/>
    </row>
    <row r="1916" spans="4:4" x14ac:dyDescent="0.25">
      <c r="D1916" s="1"/>
    </row>
    <row r="1917" spans="4:4" x14ac:dyDescent="0.25">
      <c r="D1917" s="1"/>
    </row>
    <row r="1918" spans="4:4" x14ac:dyDescent="0.25">
      <c r="D1918" s="1"/>
    </row>
    <row r="1919" spans="4:4" x14ac:dyDescent="0.25">
      <c r="D1919" s="1"/>
    </row>
    <row r="1920" spans="4:4" x14ac:dyDescent="0.25">
      <c r="D1920" s="1"/>
    </row>
    <row r="1921" spans="4:4" x14ac:dyDescent="0.25">
      <c r="D1921" s="1"/>
    </row>
    <row r="1922" spans="4:4" x14ac:dyDescent="0.25">
      <c r="D1922" s="1"/>
    </row>
    <row r="1923" spans="4:4" x14ac:dyDescent="0.25">
      <c r="D1923" s="1"/>
    </row>
    <row r="1924" spans="4:4" x14ac:dyDescent="0.25">
      <c r="D1924" s="1"/>
    </row>
    <row r="1925" spans="4:4" x14ac:dyDescent="0.25">
      <c r="D1925" s="1"/>
    </row>
    <row r="1926" spans="4:4" x14ac:dyDescent="0.25">
      <c r="D1926" s="1"/>
    </row>
    <row r="1927" spans="4:4" x14ac:dyDescent="0.25">
      <c r="D1927" s="1"/>
    </row>
    <row r="1928" spans="4:4" x14ac:dyDescent="0.25">
      <c r="D1928" s="1"/>
    </row>
    <row r="1929" spans="4:4" x14ac:dyDescent="0.25">
      <c r="D1929" s="1"/>
    </row>
    <row r="1930" spans="4:4" x14ac:dyDescent="0.25">
      <c r="D1930" s="1"/>
    </row>
    <row r="1931" spans="4:4" x14ac:dyDescent="0.25">
      <c r="D1931" s="1"/>
    </row>
    <row r="1932" spans="4:4" x14ac:dyDescent="0.25">
      <c r="D1932" s="1"/>
    </row>
    <row r="1933" spans="4:4" x14ac:dyDescent="0.25">
      <c r="D1933" s="1"/>
    </row>
    <row r="1934" spans="4:4" x14ac:dyDescent="0.25">
      <c r="D1934" s="1"/>
    </row>
    <row r="1935" spans="4:4" x14ac:dyDescent="0.25">
      <c r="D1935" s="1"/>
    </row>
    <row r="1936" spans="4:4" x14ac:dyDescent="0.25">
      <c r="D1936" s="1"/>
    </row>
    <row r="1937" spans="4:4" x14ac:dyDescent="0.25">
      <c r="D1937" s="1"/>
    </row>
    <row r="1938" spans="4:4" x14ac:dyDescent="0.25">
      <c r="D1938" s="1"/>
    </row>
    <row r="1939" spans="4:4" x14ac:dyDescent="0.25">
      <c r="D1939" s="1"/>
    </row>
    <row r="1940" spans="4:4" x14ac:dyDescent="0.25">
      <c r="D1940" s="1"/>
    </row>
    <row r="1941" spans="4:4" x14ac:dyDescent="0.25">
      <c r="D1941" s="1"/>
    </row>
    <row r="1942" spans="4:4" x14ac:dyDescent="0.25">
      <c r="D1942" s="1"/>
    </row>
    <row r="1943" spans="4:4" x14ac:dyDescent="0.25">
      <c r="D1943" s="1"/>
    </row>
    <row r="1944" spans="4:4" x14ac:dyDescent="0.25">
      <c r="D1944" s="1"/>
    </row>
    <row r="1945" spans="4:4" x14ac:dyDescent="0.25">
      <c r="D1945" s="1"/>
    </row>
    <row r="1946" spans="4:4" x14ac:dyDescent="0.25">
      <c r="D1946" s="1"/>
    </row>
    <row r="1947" spans="4:4" x14ac:dyDescent="0.25">
      <c r="D1947" s="1"/>
    </row>
    <row r="1948" spans="4:4" x14ac:dyDescent="0.25">
      <c r="D1948" s="1"/>
    </row>
    <row r="1949" spans="4:4" x14ac:dyDescent="0.25">
      <c r="D1949" s="1"/>
    </row>
    <row r="1950" spans="4:4" x14ac:dyDescent="0.25">
      <c r="D1950" s="1"/>
    </row>
    <row r="1951" spans="4:4" x14ac:dyDescent="0.25">
      <c r="D1951" s="1"/>
    </row>
    <row r="1952" spans="4:4" x14ac:dyDescent="0.25">
      <c r="D1952" s="1"/>
    </row>
    <row r="1953" spans="4:4" x14ac:dyDescent="0.25">
      <c r="D1953" s="1"/>
    </row>
    <row r="1954" spans="4:4" x14ac:dyDescent="0.25">
      <c r="D1954" s="1"/>
    </row>
    <row r="1955" spans="4:4" x14ac:dyDescent="0.25">
      <c r="D1955" s="1"/>
    </row>
    <row r="1956" spans="4:4" x14ac:dyDescent="0.25">
      <c r="D1956" s="1"/>
    </row>
    <row r="1957" spans="4:4" x14ac:dyDescent="0.25">
      <c r="D1957" s="1"/>
    </row>
    <row r="1958" spans="4:4" x14ac:dyDescent="0.25">
      <c r="D1958" s="1"/>
    </row>
    <row r="1959" spans="4:4" x14ac:dyDescent="0.25">
      <c r="D1959" s="1"/>
    </row>
    <row r="1960" spans="4:4" x14ac:dyDescent="0.25">
      <c r="D1960" s="1"/>
    </row>
    <row r="1961" spans="4:4" x14ac:dyDescent="0.25">
      <c r="D1961" s="1"/>
    </row>
    <row r="1962" spans="4:4" x14ac:dyDescent="0.25">
      <c r="D1962" s="1"/>
    </row>
    <row r="1963" spans="4:4" x14ac:dyDescent="0.25">
      <c r="D1963" s="1"/>
    </row>
    <row r="1964" spans="4:4" x14ac:dyDescent="0.25">
      <c r="D1964" s="1"/>
    </row>
    <row r="1965" spans="4:4" x14ac:dyDescent="0.25">
      <c r="D1965" s="1"/>
    </row>
    <row r="1966" spans="4:4" x14ac:dyDescent="0.25">
      <c r="D1966" s="1"/>
    </row>
    <row r="1967" spans="4:4" x14ac:dyDescent="0.25">
      <c r="D1967" s="1"/>
    </row>
    <row r="1968" spans="4:4" x14ac:dyDescent="0.25">
      <c r="D1968" s="1"/>
    </row>
    <row r="1969" spans="4:4" x14ac:dyDescent="0.25">
      <c r="D1969" s="1"/>
    </row>
    <row r="1970" spans="4:4" x14ac:dyDescent="0.25">
      <c r="D1970" s="1"/>
    </row>
    <row r="1971" spans="4:4" x14ac:dyDescent="0.25">
      <c r="D1971" s="1"/>
    </row>
    <row r="1972" spans="4:4" x14ac:dyDescent="0.25">
      <c r="D1972" s="1"/>
    </row>
    <row r="1973" spans="4:4" x14ac:dyDescent="0.25">
      <c r="D1973" s="1"/>
    </row>
    <row r="1974" spans="4:4" x14ac:dyDescent="0.25">
      <c r="D1974" s="1"/>
    </row>
    <row r="1975" spans="4:4" x14ac:dyDescent="0.25">
      <c r="D1975" s="1"/>
    </row>
    <row r="1976" spans="4:4" x14ac:dyDescent="0.25">
      <c r="D1976" s="1"/>
    </row>
    <row r="1977" spans="4:4" x14ac:dyDescent="0.25">
      <c r="D1977" s="1"/>
    </row>
    <row r="1978" spans="4:4" x14ac:dyDescent="0.25">
      <c r="D1978" s="1"/>
    </row>
    <row r="1979" spans="4:4" x14ac:dyDescent="0.25">
      <c r="D1979" s="1"/>
    </row>
    <row r="1980" spans="4:4" x14ac:dyDescent="0.25">
      <c r="D1980" s="1"/>
    </row>
    <row r="1981" spans="4:4" x14ac:dyDescent="0.25">
      <c r="D1981" s="1"/>
    </row>
    <row r="1982" spans="4:4" x14ac:dyDescent="0.25">
      <c r="D1982" s="1"/>
    </row>
    <row r="1983" spans="4:4" x14ac:dyDescent="0.25">
      <c r="D1983" s="1"/>
    </row>
    <row r="1984" spans="4:4" x14ac:dyDescent="0.25">
      <c r="D1984" s="1"/>
    </row>
    <row r="1985" spans="4:4" x14ac:dyDescent="0.25">
      <c r="D1985" s="1"/>
    </row>
    <row r="1986" spans="4:4" x14ac:dyDescent="0.25">
      <c r="D1986" s="1"/>
    </row>
    <row r="1987" spans="4:4" x14ac:dyDescent="0.25">
      <c r="D1987" s="1"/>
    </row>
    <row r="1988" spans="4:4" x14ac:dyDescent="0.25">
      <c r="D1988" s="1"/>
    </row>
    <row r="1989" spans="4:4" x14ac:dyDescent="0.25">
      <c r="D1989" s="1"/>
    </row>
    <row r="1990" spans="4:4" x14ac:dyDescent="0.25">
      <c r="D1990" s="1"/>
    </row>
    <row r="1991" spans="4:4" x14ac:dyDescent="0.25">
      <c r="D1991" s="1"/>
    </row>
    <row r="1992" spans="4:4" x14ac:dyDescent="0.25">
      <c r="D1992" s="1"/>
    </row>
    <row r="1993" spans="4:4" x14ac:dyDescent="0.25">
      <c r="D1993" s="1"/>
    </row>
    <row r="1994" spans="4:4" x14ac:dyDescent="0.25">
      <c r="D1994" s="1"/>
    </row>
    <row r="1995" spans="4:4" x14ac:dyDescent="0.25">
      <c r="D1995" s="1"/>
    </row>
    <row r="1996" spans="4:4" x14ac:dyDescent="0.25">
      <c r="D1996" s="1"/>
    </row>
    <row r="1997" spans="4:4" x14ac:dyDescent="0.25">
      <c r="D1997" s="1"/>
    </row>
    <row r="1998" spans="4:4" x14ac:dyDescent="0.25">
      <c r="D1998" s="1"/>
    </row>
    <row r="1999" spans="4:4" x14ac:dyDescent="0.25">
      <c r="D1999" s="1"/>
    </row>
    <row r="2000" spans="4:4" x14ac:dyDescent="0.25">
      <c r="D2000" s="1"/>
    </row>
    <row r="2001" spans="4:4" x14ac:dyDescent="0.25">
      <c r="D2001" s="1"/>
    </row>
    <row r="2002" spans="4:4" x14ac:dyDescent="0.25">
      <c r="D2002" s="1"/>
    </row>
    <row r="2003" spans="4:4" x14ac:dyDescent="0.25">
      <c r="D2003" s="1"/>
    </row>
    <row r="2004" spans="4:4" x14ac:dyDescent="0.25">
      <c r="D2004" s="1"/>
    </row>
    <row r="2005" spans="4:4" x14ac:dyDescent="0.25">
      <c r="D2005" s="1"/>
    </row>
    <row r="2006" spans="4:4" x14ac:dyDescent="0.25">
      <c r="D2006" s="1"/>
    </row>
    <row r="2007" spans="4:4" x14ac:dyDescent="0.25">
      <c r="D2007" s="1"/>
    </row>
    <row r="2008" spans="4:4" x14ac:dyDescent="0.25">
      <c r="D2008" s="1"/>
    </row>
    <row r="2009" spans="4:4" x14ac:dyDescent="0.25">
      <c r="D2009" s="1"/>
    </row>
    <row r="2010" spans="4:4" x14ac:dyDescent="0.25">
      <c r="D2010" s="1"/>
    </row>
    <row r="2011" spans="4:4" x14ac:dyDescent="0.25">
      <c r="D2011" s="1"/>
    </row>
    <row r="2012" spans="4:4" x14ac:dyDescent="0.25">
      <c r="D2012" s="1"/>
    </row>
    <row r="2013" spans="4:4" x14ac:dyDescent="0.25">
      <c r="D2013" s="1"/>
    </row>
    <row r="2014" spans="4:4" x14ac:dyDescent="0.25">
      <c r="D2014" s="1"/>
    </row>
    <row r="2015" spans="4:4" x14ac:dyDescent="0.25">
      <c r="D2015" s="1"/>
    </row>
    <row r="2016" spans="4:4" x14ac:dyDescent="0.25">
      <c r="D2016" s="1"/>
    </row>
    <row r="2017" spans="4:4" x14ac:dyDescent="0.25">
      <c r="D2017" s="1"/>
    </row>
    <row r="2018" spans="4:4" x14ac:dyDescent="0.25">
      <c r="D2018" s="1"/>
    </row>
    <row r="2019" spans="4:4" x14ac:dyDescent="0.25">
      <c r="D2019" s="1"/>
    </row>
    <row r="2020" spans="4:4" x14ac:dyDescent="0.25">
      <c r="D2020" s="1"/>
    </row>
    <row r="2021" spans="4:4" x14ac:dyDescent="0.25">
      <c r="D2021" s="1"/>
    </row>
    <row r="2022" spans="4:4" x14ac:dyDescent="0.25">
      <c r="D2022" s="1"/>
    </row>
    <row r="2023" spans="4:4" x14ac:dyDescent="0.25">
      <c r="D2023" s="1"/>
    </row>
    <row r="2024" spans="4:4" x14ac:dyDescent="0.25">
      <c r="D2024" s="1"/>
    </row>
    <row r="2025" spans="4:4" x14ac:dyDescent="0.25">
      <c r="D2025" s="1"/>
    </row>
    <row r="2026" spans="4:4" x14ac:dyDescent="0.25">
      <c r="D2026" s="1"/>
    </row>
    <row r="2027" spans="4:4" x14ac:dyDescent="0.25">
      <c r="D2027" s="1"/>
    </row>
    <row r="2028" spans="4:4" x14ac:dyDescent="0.25">
      <c r="D2028" s="1"/>
    </row>
    <row r="2029" spans="4:4" x14ac:dyDescent="0.25">
      <c r="D2029" s="1"/>
    </row>
    <row r="2030" spans="4:4" x14ac:dyDescent="0.25">
      <c r="D2030" s="1"/>
    </row>
    <row r="2031" spans="4:4" x14ac:dyDescent="0.25">
      <c r="D2031" s="1"/>
    </row>
    <row r="2032" spans="4:4" x14ac:dyDescent="0.25">
      <c r="D2032" s="1"/>
    </row>
    <row r="2033" spans="4:4" x14ac:dyDescent="0.25">
      <c r="D2033" s="1"/>
    </row>
    <row r="2034" spans="4:4" x14ac:dyDescent="0.25">
      <c r="D2034" s="1"/>
    </row>
    <row r="2035" spans="4:4" x14ac:dyDescent="0.25">
      <c r="D2035" s="1"/>
    </row>
    <row r="2036" spans="4:4" x14ac:dyDescent="0.25">
      <c r="D2036" s="1"/>
    </row>
    <row r="2037" spans="4:4" x14ac:dyDescent="0.25">
      <c r="D2037" s="1"/>
    </row>
    <row r="2038" spans="4:4" x14ac:dyDescent="0.25">
      <c r="D2038" s="1"/>
    </row>
    <row r="2039" spans="4:4" x14ac:dyDescent="0.25">
      <c r="D2039" s="1"/>
    </row>
    <row r="2040" spans="4:4" x14ac:dyDescent="0.25">
      <c r="D2040" s="1"/>
    </row>
    <row r="2041" spans="4:4" x14ac:dyDescent="0.25">
      <c r="D2041" s="1"/>
    </row>
    <row r="2042" spans="4:4" x14ac:dyDescent="0.25">
      <c r="D2042" s="1"/>
    </row>
    <row r="2043" spans="4:4" x14ac:dyDescent="0.25">
      <c r="D2043" s="1"/>
    </row>
    <row r="2044" spans="4:4" x14ac:dyDescent="0.25">
      <c r="D2044" s="1"/>
    </row>
    <row r="2045" spans="4:4" x14ac:dyDescent="0.25">
      <c r="D2045" s="1"/>
    </row>
    <row r="2046" spans="4:4" x14ac:dyDescent="0.25">
      <c r="D2046" s="1"/>
    </row>
    <row r="2047" spans="4:4" x14ac:dyDescent="0.25">
      <c r="D2047" s="1"/>
    </row>
    <row r="2048" spans="4:4" x14ac:dyDescent="0.25">
      <c r="D2048" s="1"/>
    </row>
    <row r="2049" spans="4:4" x14ac:dyDescent="0.25">
      <c r="D2049" s="1"/>
    </row>
    <row r="2050" spans="4:4" x14ac:dyDescent="0.25">
      <c r="D2050" s="1"/>
    </row>
    <row r="2051" spans="4:4" x14ac:dyDescent="0.25">
      <c r="D2051" s="1"/>
    </row>
    <row r="2052" spans="4:4" x14ac:dyDescent="0.25">
      <c r="D2052" s="1"/>
    </row>
    <row r="2053" spans="4:4" x14ac:dyDescent="0.25">
      <c r="D2053" s="1"/>
    </row>
    <row r="2054" spans="4:4" x14ac:dyDescent="0.25">
      <c r="D2054" s="1"/>
    </row>
    <row r="2055" spans="4:4" x14ac:dyDescent="0.25">
      <c r="D2055" s="1"/>
    </row>
    <row r="2056" spans="4:4" x14ac:dyDescent="0.25">
      <c r="D2056" s="1"/>
    </row>
    <row r="2057" spans="4:4" x14ac:dyDescent="0.25">
      <c r="D2057" s="1"/>
    </row>
    <row r="2058" spans="4:4" x14ac:dyDescent="0.25">
      <c r="D2058" s="1"/>
    </row>
    <row r="2059" spans="4:4" x14ac:dyDescent="0.25">
      <c r="D2059" s="1"/>
    </row>
    <row r="2060" spans="4:4" x14ac:dyDescent="0.25">
      <c r="D2060" s="1"/>
    </row>
    <row r="2061" spans="4:4" x14ac:dyDescent="0.25">
      <c r="D2061" s="1"/>
    </row>
    <row r="2062" spans="4:4" x14ac:dyDescent="0.25">
      <c r="D2062" s="1"/>
    </row>
    <row r="2063" spans="4:4" x14ac:dyDescent="0.25">
      <c r="D2063" s="1"/>
    </row>
    <row r="2064" spans="4:4" x14ac:dyDescent="0.25">
      <c r="D2064" s="1"/>
    </row>
    <row r="2065" spans="4:4" x14ac:dyDescent="0.25">
      <c r="D2065" s="1"/>
    </row>
    <row r="2066" spans="4:4" x14ac:dyDescent="0.25">
      <c r="D2066" s="1"/>
    </row>
    <row r="2067" spans="4:4" x14ac:dyDescent="0.25">
      <c r="D2067" s="1"/>
    </row>
    <row r="2068" spans="4:4" x14ac:dyDescent="0.25">
      <c r="D2068" s="1"/>
    </row>
    <row r="2069" spans="4:4" x14ac:dyDescent="0.25">
      <c r="D2069" s="1"/>
    </row>
    <row r="2070" spans="4:4" x14ac:dyDescent="0.25">
      <c r="D2070" s="1"/>
    </row>
    <row r="2071" spans="4:4" x14ac:dyDescent="0.25">
      <c r="D2071" s="1"/>
    </row>
    <row r="2072" spans="4:4" x14ac:dyDescent="0.25">
      <c r="D2072" s="1"/>
    </row>
    <row r="2073" spans="4:4" x14ac:dyDescent="0.25">
      <c r="D2073" s="1"/>
    </row>
    <row r="2074" spans="4:4" x14ac:dyDescent="0.25">
      <c r="D2074" s="1"/>
    </row>
    <row r="2075" spans="4:4" x14ac:dyDescent="0.25">
      <c r="D2075" s="1"/>
    </row>
    <row r="2076" spans="4:4" x14ac:dyDescent="0.25">
      <c r="D2076" s="1"/>
    </row>
    <row r="2077" spans="4:4" x14ac:dyDescent="0.25">
      <c r="D2077" s="1"/>
    </row>
    <row r="2078" spans="4:4" x14ac:dyDescent="0.25">
      <c r="D2078" s="1"/>
    </row>
    <row r="2079" spans="4:4" x14ac:dyDescent="0.25">
      <c r="D2079" s="1"/>
    </row>
    <row r="2080" spans="4:4" x14ac:dyDescent="0.25">
      <c r="D2080" s="1"/>
    </row>
    <row r="2081" spans="4:4" x14ac:dyDescent="0.25">
      <c r="D2081" s="1"/>
    </row>
    <row r="2082" spans="4:4" x14ac:dyDescent="0.25">
      <c r="D2082" s="1"/>
    </row>
    <row r="2083" spans="4:4" x14ac:dyDescent="0.25">
      <c r="D2083" s="1"/>
    </row>
    <row r="2084" spans="4:4" x14ac:dyDescent="0.25">
      <c r="D2084" s="1"/>
    </row>
    <row r="2085" spans="4:4" x14ac:dyDescent="0.25">
      <c r="D2085" s="1"/>
    </row>
    <row r="2086" spans="4:4" x14ac:dyDescent="0.25">
      <c r="D2086" s="1"/>
    </row>
    <row r="2087" spans="4:4" x14ac:dyDescent="0.25">
      <c r="D2087" s="1"/>
    </row>
    <row r="2088" spans="4:4" x14ac:dyDescent="0.25">
      <c r="D2088" s="1"/>
    </row>
    <row r="2089" spans="4:4" x14ac:dyDescent="0.25">
      <c r="D2089" s="1"/>
    </row>
    <row r="2090" spans="4:4" x14ac:dyDescent="0.25">
      <c r="D2090" s="1"/>
    </row>
    <row r="2091" spans="4:4" x14ac:dyDescent="0.25">
      <c r="D2091" s="1"/>
    </row>
    <row r="2092" spans="4:4" x14ac:dyDescent="0.25">
      <c r="D2092" s="1"/>
    </row>
    <row r="2093" spans="4:4" x14ac:dyDescent="0.25">
      <c r="D2093" s="1"/>
    </row>
    <row r="2094" spans="4:4" x14ac:dyDescent="0.25">
      <c r="D2094" s="1"/>
    </row>
    <row r="2095" spans="4:4" x14ac:dyDescent="0.25">
      <c r="D2095" s="1"/>
    </row>
    <row r="2096" spans="4:4" x14ac:dyDescent="0.25">
      <c r="D2096" s="1"/>
    </row>
    <row r="2097" spans="4:4" x14ac:dyDescent="0.25">
      <c r="D2097" s="1"/>
    </row>
    <row r="2098" spans="4:4" x14ac:dyDescent="0.25">
      <c r="D2098" s="1"/>
    </row>
    <row r="2099" spans="4:4" x14ac:dyDescent="0.25">
      <c r="D2099" s="1"/>
    </row>
    <row r="2100" spans="4:4" x14ac:dyDescent="0.25">
      <c r="D2100" s="1"/>
    </row>
    <row r="2101" spans="4:4" x14ac:dyDescent="0.25">
      <c r="D2101" s="1"/>
    </row>
    <row r="2102" spans="4:4" x14ac:dyDescent="0.25">
      <c r="D2102" s="1"/>
    </row>
    <row r="2103" spans="4:4" x14ac:dyDescent="0.25">
      <c r="D2103" s="1"/>
    </row>
    <row r="2104" spans="4:4" x14ac:dyDescent="0.25">
      <c r="D2104" s="1"/>
    </row>
    <row r="2105" spans="4:4" x14ac:dyDescent="0.25">
      <c r="D2105" s="1"/>
    </row>
    <row r="2106" spans="4:4" x14ac:dyDescent="0.25">
      <c r="D2106" s="1"/>
    </row>
    <row r="2107" spans="4:4" x14ac:dyDescent="0.25">
      <c r="D2107" s="1"/>
    </row>
    <row r="2108" spans="4:4" x14ac:dyDescent="0.25">
      <c r="D2108" s="1"/>
    </row>
    <row r="2109" spans="4:4" x14ac:dyDescent="0.25">
      <c r="D2109" s="1"/>
    </row>
    <row r="2110" spans="4:4" x14ac:dyDescent="0.25">
      <c r="D2110" s="1"/>
    </row>
    <row r="2111" spans="4:4" x14ac:dyDescent="0.25">
      <c r="D2111" s="1"/>
    </row>
    <row r="2112" spans="4:4" x14ac:dyDescent="0.25">
      <c r="D2112" s="1"/>
    </row>
    <row r="2113" spans="4:4" x14ac:dyDescent="0.25">
      <c r="D2113" s="1"/>
    </row>
    <row r="2114" spans="4:4" x14ac:dyDescent="0.25">
      <c r="D2114" s="1"/>
    </row>
    <row r="2115" spans="4:4" x14ac:dyDescent="0.25">
      <c r="D2115" s="1"/>
    </row>
    <row r="2116" spans="4:4" x14ac:dyDescent="0.25">
      <c r="D2116" s="1"/>
    </row>
    <row r="2117" spans="4:4" x14ac:dyDescent="0.25">
      <c r="D2117" s="1"/>
    </row>
    <row r="2118" spans="4:4" x14ac:dyDescent="0.25">
      <c r="D2118" s="1"/>
    </row>
    <row r="2119" spans="4:4" x14ac:dyDescent="0.25">
      <c r="D2119" s="1"/>
    </row>
    <row r="2120" spans="4:4" x14ac:dyDescent="0.25">
      <c r="D2120" s="1"/>
    </row>
    <row r="2121" spans="4:4" x14ac:dyDescent="0.25">
      <c r="D2121" s="1"/>
    </row>
    <row r="2122" spans="4:4" x14ac:dyDescent="0.25">
      <c r="D2122" s="1"/>
    </row>
    <row r="2123" spans="4:4" x14ac:dyDescent="0.25">
      <c r="D2123" s="1"/>
    </row>
    <row r="2124" spans="4:4" x14ac:dyDescent="0.25">
      <c r="D2124" s="1"/>
    </row>
    <row r="2125" spans="4:4" x14ac:dyDescent="0.25">
      <c r="D2125" s="1"/>
    </row>
    <row r="2126" spans="4:4" x14ac:dyDescent="0.25">
      <c r="D2126" s="1"/>
    </row>
    <row r="2127" spans="4:4" x14ac:dyDescent="0.25">
      <c r="D2127" s="1"/>
    </row>
    <row r="2128" spans="4:4" x14ac:dyDescent="0.25">
      <c r="D2128" s="1"/>
    </row>
    <row r="2129" spans="4:4" x14ac:dyDescent="0.25">
      <c r="D2129" s="1"/>
    </row>
    <row r="2130" spans="4:4" x14ac:dyDescent="0.25">
      <c r="D2130" s="1"/>
    </row>
    <row r="2131" spans="4:4" x14ac:dyDescent="0.25">
      <c r="D2131" s="1"/>
    </row>
    <row r="2132" spans="4:4" x14ac:dyDescent="0.25">
      <c r="D2132" s="1"/>
    </row>
    <row r="2133" spans="4:4" x14ac:dyDescent="0.25">
      <c r="D2133" s="1"/>
    </row>
    <row r="2134" spans="4:4" x14ac:dyDescent="0.25">
      <c r="D2134" s="1"/>
    </row>
    <row r="2135" spans="4:4" x14ac:dyDescent="0.25">
      <c r="D2135" s="1"/>
    </row>
    <row r="2136" spans="4:4" x14ac:dyDescent="0.25">
      <c r="D2136" s="1"/>
    </row>
    <row r="2137" spans="4:4" x14ac:dyDescent="0.25">
      <c r="D2137" s="1"/>
    </row>
    <row r="2138" spans="4:4" x14ac:dyDescent="0.25">
      <c r="D2138" s="1"/>
    </row>
    <row r="2139" spans="4:4" x14ac:dyDescent="0.25">
      <c r="D2139" s="1"/>
    </row>
    <row r="2140" spans="4:4" x14ac:dyDescent="0.25">
      <c r="D2140" s="1"/>
    </row>
    <row r="2141" spans="4:4" x14ac:dyDescent="0.25">
      <c r="D2141" s="1"/>
    </row>
    <row r="2142" spans="4:4" x14ac:dyDescent="0.25">
      <c r="D2142" s="1"/>
    </row>
    <row r="2143" spans="4:4" x14ac:dyDescent="0.25">
      <c r="D2143" s="1"/>
    </row>
    <row r="2144" spans="4:4" x14ac:dyDescent="0.25">
      <c r="D2144" s="1"/>
    </row>
    <row r="2145" spans="4:4" x14ac:dyDescent="0.25">
      <c r="D2145" s="1"/>
    </row>
    <row r="2146" spans="4:4" x14ac:dyDescent="0.25">
      <c r="D2146" s="1"/>
    </row>
    <row r="2147" spans="4:4" x14ac:dyDescent="0.25">
      <c r="D2147" s="1"/>
    </row>
    <row r="2148" spans="4:4" x14ac:dyDescent="0.25">
      <c r="D2148" s="1"/>
    </row>
    <row r="2149" spans="4:4" x14ac:dyDescent="0.25">
      <c r="D2149" s="1"/>
    </row>
    <row r="2150" spans="4:4" x14ac:dyDescent="0.25">
      <c r="D2150" s="1"/>
    </row>
    <row r="2151" spans="4:4" x14ac:dyDescent="0.25">
      <c r="D2151" s="1"/>
    </row>
    <row r="2152" spans="4:4" x14ac:dyDescent="0.25">
      <c r="D2152" s="1"/>
    </row>
    <row r="2153" spans="4:4" x14ac:dyDescent="0.25">
      <c r="D2153" s="1"/>
    </row>
    <row r="2154" spans="4:4" x14ac:dyDescent="0.25">
      <c r="D2154" s="1"/>
    </row>
    <row r="2155" spans="4:4" x14ac:dyDescent="0.25">
      <c r="D2155" s="1"/>
    </row>
    <row r="2156" spans="4:4" x14ac:dyDescent="0.25">
      <c r="D2156" s="1"/>
    </row>
    <row r="2157" spans="4:4" x14ac:dyDescent="0.25">
      <c r="D2157" s="1"/>
    </row>
    <row r="2158" spans="4:4" x14ac:dyDescent="0.25">
      <c r="D2158" s="1"/>
    </row>
    <row r="2159" spans="4:4" x14ac:dyDescent="0.25">
      <c r="D2159" s="1"/>
    </row>
    <row r="2160" spans="4:4" x14ac:dyDescent="0.25">
      <c r="D2160" s="1"/>
    </row>
    <row r="2161" spans="4:4" x14ac:dyDescent="0.25">
      <c r="D2161" s="1"/>
    </row>
    <row r="2162" spans="4:4" x14ac:dyDescent="0.25">
      <c r="D2162" s="1"/>
    </row>
    <row r="2163" spans="4:4" x14ac:dyDescent="0.25">
      <c r="D2163" s="1"/>
    </row>
    <row r="2164" spans="4:4" x14ac:dyDescent="0.25">
      <c r="D2164" s="1"/>
    </row>
    <row r="2165" spans="4:4" x14ac:dyDescent="0.25">
      <c r="D2165" s="1"/>
    </row>
    <row r="2166" spans="4:4" x14ac:dyDescent="0.25">
      <c r="D2166" s="1"/>
    </row>
    <row r="2167" spans="4:4" x14ac:dyDescent="0.25">
      <c r="D2167" s="1"/>
    </row>
    <row r="2168" spans="4:4" x14ac:dyDescent="0.25">
      <c r="D2168" s="1"/>
    </row>
    <row r="2169" spans="4:4" x14ac:dyDescent="0.25">
      <c r="D2169" s="1"/>
    </row>
    <row r="2170" spans="4:4" x14ac:dyDescent="0.25">
      <c r="D2170" s="1"/>
    </row>
    <row r="2171" spans="4:4" x14ac:dyDescent="0.25">
      <c r="D2171" s="1"/>
    </row>
    <row r="2172" spans="4:4" x14ac:dyDescent="0.25">
      <c r="D2172" s="1"/>
    </row>
    <row r="2173" spans="4:4" x14ac:dyDescent="0.25">
      <c r="D2173" s="1"/>
    </row>
    <row r="2174" spans="4:4" x14ac:dyDescent="0.25">
      <c r="D2174" s="1"/>
    </row>
    <row r="2175" spans="4:4" x14ac:dyDescent="0.25">
      <c r="D2175" s="1"/>
    </row>
    <row r="2176" spans="4:4" x14ac:dyDescent="0.25">
      <c r="D2176" s="1"/>
    </row>
    <row r="2177" spans="4:4" x14ac:dyDescent="0.25">
      <c r="D2177" s="1"/>
    </row>
    <row r="2178" spans="4:4" x14ac:dyDescent="0.25">
      <c r="D2178" s="1"/>
    </row>
    <row r="2179" spans="4:4" x14ac:dyDescent="0.25">
      <c r="D2179" s="1"/>
    </row>
    <row r="2180" spans="4:4" x14ac:dyDescent="0.25">
      <c r="D2180" s="1"/>
    </row>
    <row r="2181" spans="4:4" x14ac:dyDescent="0.25">
      <c r="D2181" s="1"/>
    </row>
    <row r="2182" spans="4:4" x14ac:dyDescent="0.25">
      <c r="D2182" s="1"/>
    </row>
    <row r="2183" spans="4:4" x14ac:dyDescent="0.25">
      <c r="D2183" s="1"/>
    </row>
    <row r="2184" spans="4:4" x14ac:dyDescent="0.25">
      <c r="D2184" s="1"/>
    </row>
    <row r="2185" spans="4:4" x14ac:dyDescent="0.25">
      <c r="D2185" s="1"/>
    </row>
    <row r="2186" spans="4:4" x14ac:dyDescent="0.25">
      <c r="D2186" s="1"/>
    </row>
    <row r="2187" spans="4:4" x14ac:dyDescent="0.25">
      <c r="D2187" s="1"/>
    </row>
    <row r="2188" spans="4:4" x14ac:dyDescent="0.25">
      <c r="D2188" s="1"/>
    </row>
    <row r="2189" spans="4:4" x14ac:dyDescent="0.25">
      <c r="D2189" s="1"/>
    </row>
    <row r="2190" spans="4:4" x14ac:dyDescent="0.25">
      <c r="D2190" s="1"/>
    </row>
    <row r="2191" spans="4:4" x14ac:dyDescent="0.25">
      <c r="D2191" s="1"/>
    </row>
    <row r="2192" spans="4:4" x14ac:dyDescent="0.25">
      <c r="D2192" s="1"/>
    </row>
    <row r="2193" spans="4:4" x14ac:dyDescent="0.25">
      <c r="D2193" s="1"/>
    </row>
    <row r="2194" spans="4:4" x14ac:dyDescent="0.25">
      <c r="D2194" s="1"/>
    </row>
    <row r="2195" spans="4:4" x14ac:dyDescent="0.25">
      <c r="D2195" s="1"/>
    </row>
    <row r="2196" spans="4:4" x14ac:dyDescent="0.25">
      <c r="D2196" s="1"/>
    </row>
    <row r="2197" spans="4:4" x14ac:dyDescent="0.25">
      <c r="D2197" s="1"/>
    </row>
    <row r="2198" spans="4:4" x14ac:dyDescent="0.25">
      <c r="D2198" s="1"/>
    </row>
    <row r="2199" spans="4:4" x14ac:dyDescent="0.25">
      <c r="D2199" s="1"/>
    </row>
    <row r="2200" spans="4:4" x14ac:dyDescent="0.25">
      <c r="D2200" s="1"/>
    </row>
    <row r="2201" spans="4:4" x14ac:dyDescent="0.25">
      <c r="D2201" s="1"/>
    </row>
    <row r="2202" spans="4:4" x14ac:dyDescent="0.25">
      <c r="D2202" s="1"/>
    </row>
    <row r="2203" spans="4:4" x14ac:dyDescent="0.25">
      <c r="D2203" s="1"/>
    </row>
    <row r="2204" spans="4:4" x14ac:dyDescent="0.25">
      <c r="D2204" s="1"/>
    </row>
    <row r="2205" spans="4:4" x14ac:dyDescent="0.25">
      <c r="D2205" s="1"/>
    </row>
    <row r="2206" spans="4:4" x14ac:dyDescent="0.25">
      <c r="D2206" s="1"/>
    </row>
    <row r="2207" spans="4:4" x14ac:dyDescent="0.25">
      <c r="D2207" s="1"/>
    </row>
    <row r="2208" spans="4:4" x14ac:dyDescent="0.25">
      <c r="D2208" s="1"/>
    </row>
    <row r="2209" spans="4:4" x14ac:dyDescent="0.25">
      <c r="D2209" s="1"/>
    </row>
    <row r="2210" spans="4:4" x14ac:dyDescent="0.25">
      <c r="D2210" s="1"/>
    </row>
    <row r="2211" spans="4:4" x14ac:dyDescent="0.25">
      <c r="D2211" s="1"/>
    </row>
    <row r="2212" spans="4:4" x14ac:dyDescent="0.25">
      <c r="D2212" s="1"/>
    </row>
    <row r="2213" spans="4:4" x14ac:dyDescent="0.25">
      <c r="D2213" s="1"/>
    </row>
    <row r="2214" spans="4:4" x14ac:dyDescent="0.25">
      <c r="D2214" s="1"/>
    </row>
    <row r="2215" spans="4:4" x14ac:dyDescent="0.25">
      <c r="D2215" s="1"/>
    </row>
    <row r="2216" spans="4:4" x14ac:dyDescent="0.25">
      <c r="D2216" s="1"/>
    </row>
    <row r="2217" spans="4:4" x14ac:dyDescent="0.25">
      <c r="D2217" s="1"/>
    </row>
    <row r="2218" spans="4:4" x14ac:dyDescent="0.25">
      <c r="D2218" s="1"/>
    </row>
    <row r="2219" spans="4:4" x14ac:dyDescent="0.25">
      <c r="D2219" s="1"/>
    </row>
    <row r="2220" spans="4:4" x14ac:dyDescent="0.25">
      <c r="D2220" s="1"/>
    </row>
    <row r="2221" spans="4:4" x14ac:dyDescent="0.25">
      <c r="D2221" s="1"/>
    </row>
    <row r="2222" spans="4:4" x14ac:dyDescent="0.25">
      <c r="D2222" s="1"/>
    </row>
    <row r="2223" spans="4:4" x14ac:dyDescent="0.25">
      <c r="D2223" s="1"/>
    </row>
    <row r="2224" spans="4:4" x14ac:dyDescent="0.25">
      <c r="D2224" s="1"/>
    </row>
    <row r="2225" spans="4:4" x14ac:dyDescent="0.25">
      <c r="D2225" s="1"/>
    </row>
    <row r="2226" spans="4:4" x14ac:dyDescent="0.25">
      <c r="D2226" s="1"/>
    </row>
    <row r="2227" spans="4:4" x14ac:dyDescent="0.25">
      <c r="D2227" s="1"/>
    </row>
    <row r="2228" spans="4:4" x14ac:dyDescent="0.25">
      <c r="D2228" s="1"/>
    </row>
    <row r="2229" spans="4:4" x14ac:dyDescent="0.25">
      <c r="D2229" s="1"/>
    </row>
    <row r="2230" spans="4:4" x14ac:dyDescent="0.25">
      <c r="D2230" s="1"/>
    </row>
    <row r="2231" spans="4:4" x14ac:dyDescent="0.25">
      <c r="D2231" s="1"/>
    </row>
    <row r="2232" spans="4:4" x14ac:dyDescent="0.25">
      <c r="D2232" s="1"/>
    </row>
    <row r="2233" spans="4:4" x14ac:dyDescent="0.25">
      <c r="D2233" s="1"/>
    </row>
    <row r="2234" spans="4:4" x14ac:dyDescent="0.25">
      <c r="D2234" s="1"/>
    </row>
    <row r="2235" spans="4:4" x14ac:dyDescent="0.25">
      <c r="D2235" s="1"/>
    </row>
    <row r="2236" spans="4:4" x14ac:dyDescent="0.25">
      <c r="D2236" s="1"/>
    </row>
    <row r="2237" spans="4:4" x14ac:dyDescent="0.25">
      <c r="D2237" s="1"/>
    </row>
    <row r="2238" spans="4:4" x14ac:dyDescent="0.25">
      <c r="D2238" s="1"/>
    </row>
    <row r="2239" spans="4:4" x14ac:dyDescent="0.25">
      <c r="D2239" s="1"/>
    </row>
    <row r="2240" spans="4:4" x14ac:dyDescent="0.25">
      <c r="D2240" s="1"/>
    </row>
    <row r="2241" spans="4:4" x14ac:dyDescent="0.25">
      <c r="D2241" s="1"/>
    </row>
    <row r="2242" spans="4:4" x14ac:dyDescent="0.25">
      <c r="D2242" s="1"/>
    </row>
    <row r="2243" spans="4:4" x14ac:dyDescent="0.25">
      <c r="D2243" s="1"/>
    </row>
    <row r="2244" spans="4:4" x14ac:dyDescent="0.25">
      <c r="D2244" s="1"/>
    </row>
    <row r="2245" spans="4:4" x14ac:dyDescent="0.25">
      <c r="D2245" s="1"/>
    </row>
    <row r="2246" spans="4:4" x14ac:dyDescent="0.25">
      <c r="D2246" s="1"/>
    </row>
    <row r="2247" spans="4:4" x14ac:dyDescent="0.25">
      <c r="D2247" s="1"/>
    </row>
    <row r="2248" spans="4:4" x14ac:dyDescent="0.25">
      <c r="D2248" s="1"/>
    </row>
    <row r="2249" spans="4:4" x14ac:dyDescent="0.25">
      <c r="D2249" s="1"/>
    </row>
    <row r="2250" spans="4:4" x14ac:dyDescent="0.25">
      <c r="D2250" s="1"/>
    </row>
    <row r="2251" spans="4:4" x14ac:dyDescent="0.25">
      <c r="D2251" s="1"/>
    </row>
    <row r="2252" spans="4:4" x14ac:dyDescent="0.25">
      <c r="D2252" s="1"/>
    </row>
    <row r="2253" spans="4:4" x14ac:dyDescent="0.25">
      <c r="D2253" s="1"/>
    </row>
    <row r="2254" spans="4:4" x14ac:dyDescent="0.25">
      <c r="D2254" s="1"/>
    </row>
    <row r="2255" spans="4:4" x14ac:dyDescent="0.25">
      <c r="D2255" s="1"/>
    </row>
    <row r="2256" spans="4:4" x14ac:dyDescent="0.25">
      <c r="D2256" s="1"/>
    </row>
    <row r="2257" spans="4:4" x14ac:dyDescent="0.25">
      <c r="D2257" s="1"/>
    </row>
    <row r="2258" spans="4:4" x14ac:dyDescent="0.25">
      <c r="D2258" s="1"/>
    </row>
    <row r="2259" spans="4:4" x14ac:dyDescent="0.25">
      <c r="D2259" s="1"/>
    </row>
    <row r="2260" spans="4:4" x14ac:dyDescent="0.25">
      <c r="D2260" s="1"/>
    </row>
    <row r="2261" spans="4:4" x14ac:dyDescent="0.25">
      <c r="D2261" s="1"/>
    </row>
    <row r="2262" spans="4:4" x14ac:dyDescent="0.25">
      <c r="D2262" s="1"/>
    </row>
    <row r="2263" spans="4:4" x14ac:dyDescent="0.25">
      <c r="D2263" s="1"/>
    </row>
    <row r="2264" spans="4:4" x14ac:dyDescent="0.25">
      <c r="D2264" s="1"/>
    </row>
    <row r="2265" spans="4:4" x14ac:dyDescent="0.25">
      <c r="D2265" s="1"/>
    </row>
    <row r="2266" spans="4:4" x14ac:dyDescent="0.25">
      <c r="D2266" s="1"/>
    </row>
    <row r="2267" spans="4:4" x14ac:dyDescent="0.25">
      <c r="D2267" s="1"/>
    </row>
    <row r="2268" spans="4:4" x14ac:dyDescent="0.25">
      <c r="D2268" s="1"/>
    </row>
    <row r="2269" spans="4:4" x14ac:dyDescent="0.25">
      <c r="D2269" s="1"/>
    </row>
    <row r="2270" spans="4:4" x14ac:dyDescent="0.25">
      <c r="D2270" s="1"/>
    </row>
    <row r="2271" spans="4:4" x14ac:dyDescent="0.25">
      <c r="D2271" s="1"/>
    </row>
    <row r="2272" spans="4:4" x14ac:dyDescent="0.25">
      <c r="D2272" s="1"/>
    </row>
    <row r="2273" spans="4:4" x14ac:dyDescent="0.25">
      <c r="D2273" s="1"/>
    </row>
    <row r="2274" spans="4:4" x14ac:dyDescent="0.25">
      <c r="D2274" s="1"/>
    </row>
    <row r="2275" spans="4:4" x14ac:dyDescent="0.25">
      <c r="D2275" s="1"/>
    </row>
    <row r="2276" spans="4:4" x14ac:dyDescent="0.25">
      <c r="D2276" s="1"/>
    </row>
    <row r="2277" spans="4:4" x14ac:dyDescent="0.25">
      <c r="D2277" s="1"/>
    </row>
    <row r="2278" spans="4:4" x14ac:dyDescent="0.25">
      <c r="D2278" s="1"/>
    </row>
    <row r="2279" spans="4:4" x14ac:dyDescent="0.25">
      <c r="D2279" s="1"/>
    </row>
    <row r="2280" spans="4:4" x14ac:dyDescent="0.25">
      <c r="D2280" s="1"/>
    </row>
    <row r="2281" spans="4:4" x14ac:dyDescent="0.25">
      <c r="D2281" s="1"/>
    </row>
    <row r="2282" spans="4:4" x14ac:dyDescent="0.25">
      <c r="D2282" s="1"/>
    </row>
    <row r="2283" spans="4:4" x14ac:dyDescent="0.25">
      <c r="D2283" s="1"/>
    </row>
    <row r="2284" spans="4:4" x14ac:dyDescent="0.25">
      <c r="D2284" s="1"/>
    </row>
    <row r="2285" spans="4:4" x14ac:dyDescent="0.25">
      <c r="D2285" s="1"/>
    </row>
    <row r="2286" spans="4:4" x14ac:dyDescent="0.25">
      <c r="D2286" s="1"/>
    </row>
    <row r="2287" spans="4:4" x14ac:dyDescent="0.25">
      <c r="D2287" s="1"/>
    </row>
    <row r="2288" spans="4:4" x14ac:dyDescent="0.25">
      <c r="D2288" s="1"/>
    </row>
    <row r="2289" spans="4:4" x14ac:dyDescent="0.25">
      <c r="D2289" s="1"/>
    </row>
    <row r="2290" spans="4:4" x14ac:dyDescent="0.25">
      <c r="D2290" s="1"/>
    </row>
    <row r="2291" spans="4:4" x14ac:dyDescent="0.25">
      <c r="D2291" s="1"/>
    </row>
    <row r="2292" spans="4:4" x14ac:dyDescent="0.25">
      <c r="D2292" s="1"/>
    </row>
    <row r="2293" spans="4:4" x14ac:dyDescent="0.25">
      <c r="D2293" s="1"/>
    </row>
    <row r="2294" spans="4:4" x14ac:dyDescent="0.25">
      <c r="D2294" s="1"/>
    </row>
    <row r="2295" spans="4:4" x14ac:dyDescent="0.25">
      <c r="D2295" s="1"/>
    </row>
    <row r="2296" spans="4:4" x14ac:dyDescent="0.25">
      <c r="D2296" s="1"/>
    </row>
    <row r="2297" spans="4:4" x14ac:dyDescent="0.25">
      <c r="D2297" s="1"/>
    </row>
    <row r="2298" spans="4:4" x14ac:dyDescent="0.25">
      <c r="D2298" s="1"/>
    </row>
    <row r="2299" spans="4:4" x14ac:dyDescent="0.25">
      <c r="D2299" s="1"/>
    </row>
    <row r="2300" spans="4:4" x14ac:dyDescent="0.25">
      <c r="D2300" s="1"/>
    </row>
    <row r="2301" spans="4:4" x14ac:dyDescent="0.25">
      <c r="D2301" s="1"/>
    </row>
    <row r="2302" spans="4:4" x14ac:dyDescent="0.25">
      <c r="D2302" s="1"/>
    </row>
    <row r="2303" spans="4:4" x14ac:dyDescent="0.25">
      <c r="D2303" s="1"/>
    </row>
    <row r="2304" spans="4:4" x14ac:dyDescent="0.25">
      <c r="D2304" s="1"/>
    </row>
    <row r="2305" spans="4:4" x14ac:dyDescent="0.25">
      <c r="D2305" s="1"/>
    </row>
    <row r="2306" spans="4:4" x14ac:dyDescent="0.25">
      <c r="D2306" s="1"/>
    </row>
    <row r="2307" spans="4:4" x14ac:dyDescent="0.25">
      <c r="D2307" s="1"/>
    </row>
    <row r="2308" spans="4:4" x14ac:dyDescent="0.25">
      <c r="D2308" s="1"/>
    </row>
    <row r="2309" spans="4:4" x14ac:dyDescent="0.25">
      <c r="D2309" s="1"/>
    </row>
    <row r="2310" spans="4:4" x14ac:dyDescent="0.25">
      <c r="D2310" s="1"/>
    </row>
    <row r="2311" spans="4:4" x14ac:dyDescent="0.25">
      <c r="D2311" s="1"/>
    </row>
    <row r="2312" spans="4:4" x14ac:dyDescent="0.25">
      <c r="D2312" s="1"/>
    </row>
    <row r="2313" spans="4:4" x14ac:dyDescent="0.25">
      <c r="D2313" s="1"/>
    </row>
    <row r="2314" spans="4:4" x14ac:dyDescent="0.25">
      <c r="D2314" s="1"/>
    </row>
    <row r="2315" spans="4:4" x14ac:dyDescent="0.25">
      <c r="D2315" s="1"/>
    </row>
    <row r="2316" spans="4:4" x14ac:dyDescent="0.25">
      <c r="D2316" s="1"/>
    </row>
    <row r="2317" spans="4:4" x14ac:dyDescent="0.25">
      <c r="D2317" s="1"/>
    </row>
    <row r="2318" spans="4:4" x14ac:dyDescent="0.25">
      <c r="D2318" s="1"/>
    </row>
    <row r="2319" spans="4:4" x14ac:dyDescent="0.25">
      <c r="D2319" s="1"/>
    </row>
    <row r="2320" spans="4:4" x14ac:dyDescent="0.25">
      <c r="D2320" s="1"/>
    </row>
    <row r="2321" spans="4:4" x14ac:dyDescent="0.25">
      <c r="D2321" s="1"/>
    </row>
    <row r="2322" spans="4:4" x14ac:dyDescent="0.25">
      <c r="D2322" s="1"/>
    </row>
    <row r="2323" spans="4:4" x14ac:dyDescent="0.25">
      <c r="D2323" s="1"/>
    </row>
    <row r="2324" spans="4:4" x14ac:dyDescent="0.25">
      <c r="D2324" s="1"/>
    </row>
    <row r="2325" spans="4:4" x14ac:dyDescent="0.25">
      <c r="D2325" s="1"/>
    </row>
    <row r="2326" spans="4:4" x14ac:dyDescent="0.25">
      <c r="D2326" s="1"/>
    </row>
    <row r="2327" spans="4:4" x14ac:dyDescent="0.25">
      <c r="D2327" s="1"/>
    </row>
    <row r="2328" spans="4:4" x14ac:dyDescent="0.25">
      <c r="D2328" s="1"/>
    </row>
    <row r="2329" spans="4:4" x14ac:dyDescent="0.25">
      <c r="D2329" s="1"/>
    </row>
    <row r="2330" spans="4:4" x14ac:dyDescent="0.25">
      <c r="D2330" s="1"/>
    </row>
    <row r="2331" spans="4:4" x14ac:dyDescent="0.25">
      <c r="D2331" s="1"/>
    </row>
    <row r="2332" spans="4:4" x14ac:dyDescent="0.25">
      <c r="D2332" s="1"/>
    </row>
    <row r="2333" spans="4:4" x14ac:dyDescent="0.25">
      <c r="D2333" s="1"/>
    </row>
    <row r="2334" spans="4:4" x14ac:dyDescent="0.25">
      <c r="D2334" s="1"/>
    </row>
    <row r="2335" spans="4:4" x14ac:dyDescent="0.25">
      <c r="D2335" s="1"/>
    </row>
    <row r="2336" spans="4:4" x14ac:dyDescent="0.25">
      <c r="D2336" s="1"/>
    </row>
    <row r="2337" spans="4:4" x14ac:dyDescent="0.25">
      <c r="D2337" s="1"/>
    </row>
    <row r="2338" spans="4:4" x14ac:dyDescent="0.25">
      <c r="D2338" s="1"/>
    </row>
    <row r="2339" spans="4:4" x14ac:dyDescent="0.25">
      <c r="D2339" s="1"/>
    </row>
    <row r="2340" spans="4:4" x14ac:dyDescent="0.25">
      <c r="D2340" s="1"/>
    </row>
    <row r="2341" spans="4:4" x14ac:dyDescent="0.25">
      <c r="D2341" s="1"/>
    </row>
    <row r="2342" spans="4:4" x14ac:dyDescent="0.25">
      <c r="D2342" s="1"/>
    </row>
    <row r="2343" spans="4:4" x14ac:dyDescent="0.25">
      <c r="D2343" s="1"/>
    </row>
    <row r="2344" spans="4:4" x14ac:dyDescent="0.25">
      <c r="D2344" s="1"/>
    </row>
    <row r="2345" spans="4:4" x14ac:dyDescent="0.25">
      <c r="D2345" s="1"/>
    </row>
    <row r="2346" spans="4:4" x14ac:dyDescent="0.25">
      <c r="D2346" s="1"/>
    </row>
    <row r="2347" spans="4:4" x14ac:dyDescent="0.25">
      <c r="D2347" s="1"/>
    </row>
    <row r="2348" spans="4:4" x14ac:dyDescent="0.25">
      <c r="D2348" s="1"/>
    </row>
    <row r="2349" spans="4:4" x14ac:dyDescent="0.25">
      <c r="D2349" s="1"/>
    </row>
    <row r="2350" spans="4:4" x14ac:dyDescent="0.25">
      <c r="D2350" s="1"/>
    </row>
    <row r="2351" spans="4:4" x14ac:dyDescent="0.25">
      <c r="D2351" s="1"/>
    </row>
    <row r="2352" spans="4:4" x14ac:dyDescent="0.25">
      <c r="D2352" s="1"/>
    </row>
    <row r="2353" spans="4:4" x14ac:dyDescent="0.25">
      <c r="D2353" s="1"/>
    </row>
    <row r="2354" spans="4:4" x14ac:dyDescent="0.25">
      <c r="D2354" s="1"/>
    </row>
    <row r="2355" spans="4:4" x14ac:dyDescent="0.25">
      <c r="D2355" s="1"/>
    </row>
    <row r="2356" spans="4:4" x14ac:dyDescent="0.25">
      <c r="D2356" s="1"/>
    </row>
    <row r="2357" spans="4:4" x14ac:dyDescent="0.25">
      <c r="D2357" s="1"/>
    </row>
    <row r="2358" spans="4:4" x14ac:dyDescent="0.25">
      <c r="D2358" s="1"/>
    </row>
    <row r="2359" spans="4:4" x14ac:dyDescent="0.25">
      <c r="D2359" s="1"/>
    </row>
    <row r="2360" spans="4:4" x14ac:dyDescent="0.25">
      <c r="D2360" s="1"/>
    </row>
    <row r="2361" spans="4:4" x14ac:dyDescent="0.25">
      <c r="D2361" s="1"/>
    </row>
    <row r="2362" spans="4:4" x14ac:dyDescent="0.25">
      <c r="D2362" s="1"/>
    </row>
    <row r="2363" spans="4:4" x14ac:dyDescent="0.25">
      <c r="D2363" s="1"/>
    </row>
    <row r="2364" spans="4:4" x14ac:dyDescent="0.25">
      <c r="D2364" s="1"/>
    </row>
    <row r="2365" spans="4:4" x14ac:dyDescent="0.25">
      <c r="D2365" s="1"/>
    </row>
    <row r="2366" spans="4:4" x14ac:dyDescent="0.25">
      <c r="D2366" s="1"/>
    </row>
    <row r="2367" spans="4:4" x14ac:dyDescent="0.25">
      <c r="D2367" s="1"/>
    </row>
    <row r="2368" spans="4:4" x14ac:dyDescent="0.25">
      <c r="D2368" s="1"/>
    </row>
    <row r="2369" spans="4:4" x14ac:dyDescent="0.25">
      <c r="D2369" s="1"/>
    </row>
    <row r="2370" spans="4:4" x14ac:dyDescent="0.25">
      <c r="D2370" s="1"/>
    </row>
    <row r="2371" spans="4:4" x14ac:dyDescent="0.25">
      <c r="D2371" s="1"/>
    </row>
    <row r="2372" spans="4:4" x14ac:dyDescent="0.25">
      <c r="D2372" s="1"/>
    </row>
    <row r="2373" spans="4:4" x14ac:dyDescent="0.25">
      <c r="D2373" s="1"/>
    </row>
    <row r="2374" spans="4:4" x14ac:dyDescent="0.25">
      <c r="D2374" s="1"/>
    </row>
    <row r="2375" spans="4:4" x14ac:dyDescent="0.25">
      <c r="D2375" s="1"/>
    </row>
    <row r="2376" spans="4:4" x14ac:dyDescent="0.25">
      <c r="D2376" s="1"/>
    </row>
    <row r="2377" spans="4:4" x14ac:dyDescent="0.25">
      <c r="D2377" s="1"/>
    </row>
    <row r="2378" spans="4:4" x14ac:dyDescent="0.25">
      <c r="D2378" s="1"/>
    </row>
    <row r="2379" spans="4:4" x14ac:dyDescent="0.25">
      <c r="D2379" s="1"/>
    </row>
    <row r="2380" spans="4:4" x14ac:dyDescent="0.25">
      <c r="D2380" s="1"/>
    </row>
    <row r="2381" spans="4:4" x14ac:dyDescent="0.25">
      <c r="D2381" s="1"/>
    </row>
    <row r="2382" spans="4:4" x14ac:dyDescent="0.25">
      <c r="D2382" s="1"/>
    </row>
    <row r="2383" spans="4:4" x14ac:dyDescent="0.25">
      <c r="D2383" s="1"/>
    </row>
    <row r="2384" spans="4:4" x14ac:dyDescent="0.25">
      <c r="D2384" s="1"/>
    </row>
    <row r="2385" spans="4:4" x14ac:dyDescent="0.25">
      <c r="D2385" s="1"/>
    </row>
    <row r="2386" spans="4:4" x14ac:dyDescent="0.25">
      <c r="D2386" s="1"/>
    </row>
    <row r="2387" spans="4:4" x14ac:dyDescent="0.25">
      <c r="D2387" s="1"/>
    </row>
    <row r="2388" spans="4:4" x14ac:dyDescent="0.25">
      <c r="D2388" s="1"/>
    </row>
    <row r="2389" spans="4:4" x14ac:dyDescent="0.25">
      <c r="D2389" s="1"/>
    </row>
    <row r="2390" spans="4:4" x14ac:dyDescent="0.25">
      <c r="D2390" s="1"/>
    </row>
    <row r="2391" spans="4:4" x14ac:dyDescent="0.25">
      <c r="D2391" s="1"/>
    </row>
    <row r="2392" spans="4:4" x14ac:dyDescent="0.25">
      <c r="D2392" s="1"/>
    </row>
    <row r="2393" spans="4:4" x14ac:dyDescent="0.25">
      <c r="D2393" s="1"/>
    </row>
    <row r="2394" spans="4:4" x14ac:dyDescent="0.25">
      <c r="D2394" s="1"/>
    </row>
    <row r="2395" spans="4:4" x14ac:dyDescent="0.25">
      <c r="D2395" s="1"/>
    </row>
    <row r="2396" spans="4:4" x14ac:dyDescent="0.25">
      <c r="D2396" s="1"/>
    </row>
    <row r="2397" spans="4:4" x14ac:dyDescent="0.25">
      <c r="D2397" s="1"/>
    </row>
    <row r="2398" spans="4:4" x14ac:dyDescent="0.25">
      <c r="D2398" s="1"/>
    </row>
    <row r="2399" spans="4:4" x14ac:dyDescent="0.25">
      <c r="D2399" s="1"/>
    </row>
    <row r="2400" spans="4:4" x14ac:dyDescent="0.25">
      <c r="D2400" s="1"/>
    </row>
    <row r="2401" spans="4:4" x14ac:dyDescent="0.25">
      <c r="D2401" s="1"/>
    </row>
    <row r="2402" spans="4:4" x14ac:dyDescent="0.25">
      <c r="D2402" s="1"/>
    </row>
    <row r="2403" spans="4:4" x14ac:dyDescent="0.25">
      <c r="D2403" s="1"/>
    </row>
    <row r="2404" spans="4:4" x14ac:dyDescent="0.25">
      <c r="D2404" s="1"/>
    </row>
    <row r="2405" spans="4:4" x14ac:dyDescent="0.25">
      <c r="D2405" s="1"/>
    </row>
    <row r="2406" spans="4:4" x14ac:dyDescent="0.25">
      <c r="D2406" s="1"/>
    </row>
    <row r="2407" spans="4:4" x14ac:dyDescent="0.25">
      <c r="D2407" s="1"/>
    </row>
    <row r="2408" spans="4:4" x14ac:dyDescent="0.25">
      <c r="D2408" s="1"/>
    </row>
    <row r="2409" spans="4:4" x14ac:dyDescent="0.25">
      <c r="D2409" s="1"/>
    </row>
    <row r="2410" spans="4:4" x14ac:dyDescent="0.25">
      <c r="D2410" s="1"/>
    </row>
    <row r="2411" spans="4:4" x14ac:dyDescent="0.25">
      <c r="D2411" s="1"/>
    </row>
    <row r="2412" spans="4:4" x14ac:dyDescent="0.25">
      <c r="D2412" s="1"/>
    </row>
    <row r="2413" spans="4:4" x14ac:dyDescent="0.25">
      <c r="D2413" s="1"/>
    </row>
    <row r="2414" spans="4:4" x14ac:dyDescent="0.25">
      <c r="D2414" s="1"/>
    </row>
    <row r="2415" spans="4:4" x14ac:dyDescent="0.25">
      <c r="D2415" s="1"/>
    </row>
    <row r="2416" spans="4:4" x14ac:dyDescent="0.25">
      <c r="D2416" s="1"/>
    </row>
    <row r="2417" spans="4:4" x14ac:dyDescent="0.25">
      <c r="D2417" s="1"/>
    </row>
    <row r="2418" spans="4:4" x14ac:dyDescent="0.25">
      <c r="D2418" s="1"/>
    </row>
    <row r="2419" spans="4:4" x14ac:dyDescent="0.25">
      <c r="D2419" s="1"/>
    </row>
    <row r="2420" spans="4:4" x14ac:dyDescent="0.25">
      <c r="D2420" s="1"/>
    </row>
    <row r="2421" spans="4:4" x14ac:dyDescent="0.25">
      <c r="D2421" s="1"/>
    </row>
    <row r="2422" spans="4:4" x14ac:dyDescent="0.25">
      <c r="D2422" s="1"/>
    </row>
    <row r="2423" spans="4:4" x14ac:dyDescent="0.25">
      <c r="D2423" s="1"/>
    </row>
    <row r="2424" spans="4:4" x14ac:dyDescent="0.25">
      <c r="D2424" s="1"/>
    </row>
    <row r="2425" spans="4:4" x14ac:dyDescent="0.25">
      <c r="D2425" s="1"/>
    </row>
    <row r="2426" spans="4:4" x14ac:dyDescent="0.25">
      <c r="D2426" s="1"/>
    </row>
    <row r="2427" spans="4:4" x14ac:dyDescent="0.25">
      <c r="D2427" s="1"/>
    </row>
    <row r="2428" spans="4:4" x14ac:dyDescent="0.25">
      <c r="D2428" s="1"/>
    </row>
    <row r="2429" spans="4:4" x14ac:dyDescent="0.25">
      <c r="D2429" s="1"/>
    </row>
    <row r="2430" spans="4:4" x14ac:dyDescent="0.25">
      <c r="D2430" s="1"/>
    </row>
    <row r="2431" spans="4:4" x14ac:dyDescent="0.25">
      <c r="D2431" s="1"/>
    </row>
    <row r="2432" spans="4:4" x14ac:dyDescent="0.25">
      <c r="D2432" s="1"/>
    </row>
    <row r="2433" spans="4:4" x14ac:dyDescent="0.25">
      <c r="D2433" s="1"/>
    </row>
    <row r="2434" spans="4:4" x14ac:dyDescent="0.25">
      <c r="D2434" s="1"/>
    </row>
    <row r="2435" spans="4:4" x14ac:dyDescent="0.25">
      <c r="D2435" s="1"/>
    </row>
    <row r="2436" spans="4:4" x14ac:dyDescent="0.25">
      <c r="D2436" s="1"/>
    </row>
    <row r="2437" spans="4:4" x14ac:dyDescent="0.25">
      <c r="D2437" s="1"/>
    </row>
    <row r="2438" spans="4:4" x14ac:dyDescent="0.25">
      <c r="D2438" s="1"/>
    </row>
    <row r="2439" spans="4:4" x14ac:dyDescent="0.25">
      <c r="D2439" s="1"/>
    </row>
    <row r="2440" spans="4:4" x14ac:dyDescent="0.25">
      <c r="D2440" s="1"/>
    </row>
    <row r="2441" spans="4:4" x14ac:dyDescent="0.25">
      <c r="D2441" s="1"/>
    </row>
    <row r="2442" spans="4:4" x14ac:dyDescent="0.25">
      <c r="D2442" s="1"/>
    </row>
    <row r="2443" spans="4:4" x14ac:dyDescent="0.25">
      <c r="D2443" s="1"/>
    </row>
    <row r="2444" spans="4:4" x14ac:dyDescent="0.25">
      <c r="D2444" s="1"/>
    </row>
    <row r="2445" spans="4:4" x14ac:dyDescent="0.25">
      <c r="D2445" s="1"/>
    </row>
    <row r="2446" spans="4:4" x14ac:dyDescent="0.25">
      <c r="D2446" s="1"/>
    </row>
    <row r="2447" spans="4:4" x14ac:dyDescent="0.25">
      <c r="D2447" s="1"/>
    </row>
    <row r="2448" spans="4:4" x14ac:dyDescent="0.25">
      <c r="D2448" s="1"/>
    </row>
    <row r="2449" spans="4:4" x14ac:dyDescent="0.25">
      <c r="D2449" s="1"/>
    </row>
    <row r="2450" spans="4:4" x14ac:dyDescent="0.25">
      <c r="D2450" s="1"/>
    </row>
    <row r="2451" spans="4:4" x14ac:dyDescent="0.25">
      <c r="D2451" s="1"/>
    </row>
    <row r="2452" spans="4:4" x14ac:dyDescent="0.25">
      <c r="D2452" s="1"/>
    </row>
    <row r="2453" spans="4:4" x14ac:dyDescent="0.25">
      <c r="D2453" s="1"/>
    </row>
    <row r="2454" spans="4:4" x14ac:dyDescent="0.25">
      <c r="D2454" s="1"/>
    </row>
    <row r="2455" spans="4:4" x14ac:dyDescent="0.25">
      <c r="D2455" s="1"/>
    </row>
    <row r="2456" spans="4:4" x14ac:dyDescent="0.25">
      <c r="D2456" s="1"/>
    </row>
    <row r="2457" spans="4:4" x14ac:dyDescent="0.25">
      <c r="D2457" s="1"/>
    </row>
    <row r="2458" spans="4:4" x14ac:dyDescent="0.25">
      <c r="D2458" s="1"/>
    </row>
    <row r="2459" spans="4:4" x14ac:dyDescent="0.25">
      <c r="D2459" s="1"/>
    </row>
    <row r="2460" spans="4:4" x14ac:dyDescent="0.25">
      <c r="D2460" s="1"/>
    </row>
    <row r="2461" spans="4:4" x14ac:dyDescent="0.25">
      <c r="D2461" s="1"/>
    </row>
    <row r="2462" spans="4:4" x14ac:dyDescent="0.25">
      <c r="D2462" s="1"/>
    </row>
    <row r="2463" spans="4:4" x14ac:dyDescent="0.25">
      <c r="D2463" s="1"/>
    </row>
    <row r="2464" spans="4:4" x14ac:dyDescent="0.25">
      <c r="D2464" s="1"/>
    </row>
    <row r="2465" spans="4:4" x14ac:dyDescent="0.25">
      <c r="D2465" s="1"/>
    </row>
    <row r="2466" spans="4:4" x14ac:dyDescent="0.25">
      <c r="D2466" s="1"/>
    </row>
    <row r="2467" spans="4:4" x14ac:dyDescent="0.25">
      <c r="D2467" s="1"/>
    </row>
    <row r="2468" spans="4:4" x14ac:dyDescent="0.25">
      <c r="D2468" s="1"/>
    </row>
    <row r="2469" spans="4:4" x14ac:dyDescent="0.25">
      <c r="D2469" s="1"/>
    </row>
    <row r="2470" spans="4:4" x14ac:dyDescent="0.25">
      <c r="D2470" s="1"/>
    </row>
    <row r="2471" spans="4:4" x14ac:dyDescent="0.25">
      <c r="D2471" s="1"/>
    </row>
    <row r="2472" spans="4:4" x14ac:dyDescent="0.25">
      <c r="D2472" s="1"/>
    </row>
    <row r="2473" spans="4:4" x14ac:dyDescent="0.25">
      <c r="D2473" s="1"/>
    </row>
    <row r="2474" spans="4:4" x14ac:dyDescent="0.25">
      <c r="D2474" s="1"/>
    </row>
    <row r="2475" spans="4:4" x14ac:dyDescent="0.25">
      <c r="D2475" s="1"/>
    </row>
    <row r="2476" spans="4:4" x14ac:dyDescent="0.25">
      <c r="D2476" s="1"/>
    </row>
    <row r="2477" spans="4:4" x14ac:dyDescent="0.25">
      <c r="D2477" s="1"/>
    </row>
    <row r="2478" spans="4:4" x14ac:dyDescent="0.25">
      <c r="D2478" s="1"/>
    </row>
    <row r="2479" spans="4:4" x14ac:dyDescent="0.25">
      <c r="D2479" s="1"/>
    </row>
    <row r="2480" spans="4:4" x14ac:dyDescent="0.25">
      <c r="D2480" s="1"/>
    </row>
    <row r="2481" spans="4:4" x14ac:dyDescent="0.25">
      <c r="D2481" s="1"/>
    </row>
    <row r="2482" spans="4:4" x14ac:dyDescent="0.25">
      <c r="D2482" s="1"/>
    </row>
    <row r="2483" spans="4:4" x14ac:dyDescent="0.25">
      <c r="D2483" s="1"/>
    </row>
    <row r="2484" spans="4:4" x14ac:dyDescent="0.25">
      <c r="D2484" s="1"/>
    </row>
    <row r="2485" spans="4:4" x14ac:dyDescent="0.25">
      <c r="D2485" s="1"/>
    </row>
    <row r="2486" spans="4:4" x14ac:dyDescent="0.25">
      <c r="D2486" s="1"/>
    </row>
    <row r="2487" spans="4:4" x14ac:dyDescent="0.25">
      <c r="D2487" s="1"/>
    </row>
    <row r="2488" spans="4:4" x14ac:dyDescent="0.25">
      <c r="D2488" s="1"/>
    </row>
    <row r="2489" spans="4:4" x14ac:dyDescent="0.25">
      <c r="D2489" s="1"/>
    </row>
    <row r="2490" spans="4:4" x14ac:dyDescent="0.25">
      <c r="D2490" s="1"/>
    </row>
    <row r="2491" spans="4:4" x14ac:dyDescent="0.25">
      <c r="D2491" s="1"/>
    </row>
    <row r="2492" spans="4:4" x14ac:dyDescent="0.25">
      <c r="D2492" s="1"/>
    </row>
    <row r="2493" spans="4:4" x14ac:dyDescent="0.25">
      <c r="D2493" s="1"/>
    </row>
    <row r="2494" spans="4:4" x14ac:dyDescent="0.25">
      <c r="D2494" s="1"/>
    </row>
    <row r="2495" spans="4:4" x14ac:dyDescent="0.25">
      <c r="D2495" s="1"/>
    </row>
    <row r="2496" spans="4:4" x14ac:dyDescent="0.25">
      <c r="D2496" s="1"/>
    </row>
    <row r="2497" spans="4:4" x14ac:dyDescent="0.25">
      <c r="D2497" s="1"/>
    </row>
    <row r="2498" spans="4:4" x14ac:dyDescent="0.25">
      <c r="D2498" s="1"/>
    </row>
    <row r="2499" spans="4:4" x14ac:dyDescent="0.25">
      <c r="D2499" s="1"/>
    </row>
    <row r="2500" spans="4:4" x14ac:dyDescent="0.25">
      <c r="D2500" s="1"/>
    </row>
    <row r="2501" spans="4:4" x14ac:dyDescent="0.25">
      <c r="D2501" s="1"/>
    </row>
    <row r="2502" spans="4:4" x14ac:dyDescent="0.25">
      <c r="D2502" s="1"/>
    </row>
    <row r="2503" spans="4:4" x14ac:dyDescent="0.25">
      <c r="D2503" s="1"/>
    </row>
    <row r="2504" spans="4:4" x14ac:dyDescent="0.25">
      <c r="D2504" s="1"/>
    </row>
    <row r="2505" spans="4:4" x14ac:dyDescent="0.25">
      <c r="D2505" s="1"/>
    </row>
    <row r="2506" spans="4:4" x14ac:dyDescent="0.25">
      <c r="D2506" s="1"/>
    </row>
    <row r="2507" spans="4:4" x14ac:dyDescent="0.25">
      <c r="D2507" s="1"/>
    </row>
    <row r="2508" spans="4:4" x14ac:dyDescent="0.25">
      <c r="D2508" s="1"/>
    </row>
    <row r="2509" spans="4:4" x14ac:dyDescent="0.25">
      <c r="D2509" s="1"/>
    </row>
    <row r="2510" spans="4:4" x14ac:dyDescent="0.25">
      <c r="D2510" s="1"/>
    </row>
    <row r="2511" spans="4:4" x14ac:dyDescent="0.25">
      <c r="D2511" s="1"/>
    </row>
    <row r="2512" spans="4:4" x14ac:dyDescent="0.25">
      <c r="D2512" s="1"/>
    </row>
    <row r="2513" spans="4:4" x14ac:dyDescent="0.25">
      <c r="D2513" s="1"/>
    </row>
    <row r="2514" spans="4:4" x14ac:dyDescent="0.25">
      <c r="D2514" s="1"/>
    </row>
    <row r="2515" spans="4:4" x14ac:dyDescent="0.25">
      <c r="D2515" s="1"/>
    </row>
    <row r="2516" spans="4:4" x14ac:dyDescent="0.25">
      <c r="D2516" s="1"/>
    </row>
    <row r="2517" spans="4:4" x14ac:dyDescent="0.25">
      <c r="D2517" s="1"/>
    </row>
    <row r="2518" spans="4:4" x14ac:dyDescent="0.25">
      <c r="D2518" s="1"/>
    </row>
    <row r="2519" spans="4:4" x14ac:dyDescent="0.25">
      <c r="D2519" s="1"/>
    </row>
    <row r="2520" spans="4:4" x14ac:dyDescent="0.25">
      <c r="D2520" s="1"/>
    </row>
    <row r="2521" spans="4:4" x14ac:dyDescent="0.25">
      <c r="D2521" s="1"/>
    </row>
    <row r="2522" spans="4:4" x14ac:dyDescent="0.25">
      <c r="D2522" s="1"/>
    </row>
    <row r="2523" spans="4:4" x14ac:dyDescent="0.25">
      <c r="D2523" s="1"/>
    </row>
    <row r="2524" spans="4:4" x14ac:dyDescent="0.25">
      <c r="D2524" s="1"/>
    </row>
    <row r="2525" spans="4:4" x14ac:dyDescent="0.25">
      <c r="D2525" s="1"/>
    </row>
    <row r="2526" spans="4:4" x14ac:dyDescent="0.25">
      <c r="D2526" s="1"/>
    </row>
    <row r="2527" spans="4:4" x14ac:dyDescent="0.25">
      <c r="D2527" s="1"/>
    </row>
    <row r="2528" spans="4:4" x14ac:dyDescent="0.25">
      <c r="D2528" s="1"/>
    </row>
    <row r="2529" spans="4:4" x14ac:dyDescent="0.25">
      <c r="D2529" s="1"/>
    </row>
    <row r="2530" spans="4:4" x14ac:dyDescent="0.25">
      <c r="D2530" s="1"/>
    </row>
    <row r="2531" spans="4:4" x14ac:dyDescent="0.25">
      <c r="D2531" s="1"/>
    </row>
    <row r="2532" spans="4:4" x14ac:dyDescent="0.25">
      <c r="D2532" s="1"/>
    </row>
    <row r="2533" spans="4:4" x14ac:dyDescent="0.25">
      <c r="D2533" s="1"/>
    </row>
    <row r="2534" spans="4:4" x14ac:dyDescent="0.25">
      <c r="D2534" s="1"/>
    </row>
    <row r="2535" spans="4:4" x14ac:dyDescent="0.25">
      <c r="D2535" s="1"/>
    </row>
    <row r="2536" spans="4:4" x14ac:dyDescent="0.25">
      <c r="D2536" s="1"/>
    </row>
    <row r="2537" spans="4:4" x14ac:dyDescent="0.25">
      <c r="D2537" s="1"/>
    </row>
    <row r="2538" spans="4:4" x14ac:dyDescent="0.25">
      <c r="D2538" s="1"/>
    </row>
    <row r="2539" spans="4:4" x14ac:dyDescent="0.25">
      <c r="D2539" s="1"/>
    </row>
    <row r="2540" spans="4:4" x14ac:dyDescent="0.25">
      <c r="D2540" s="1"/>
    </row>
    <row r="2541" spans="4:4" x14ac:dyDescent="0.25">
      <c r="D2541" s="1"/>
    </row>
    <row r="2542" spans="4:4" x14ac:dyDescent="0.25">
      <c r="D2542" s="1"/>
    </row>
    <row r="2543" spans="4:4" x14ac:dyDescent="0.25">
      <c r="D2543" s="1"/>
    </row>
    <row r="2544" spans="4:4" x14ac:dyDescent="0.25">
      <c r="D2544" s="1"/>
    </row>
    <row r="2545" spans="4:4" x14ac:dyDescent="0.25">
      <c r="D2545" s="1"/>
    </row>
    <row r="2546" spans="4:4" x14ac:dyDescent="0.25">
      <c r="D2546" s="1"/>
    </row>
    <row r="2547" spans="4:4" x14ac:dyDescent="0.25">
      <c r="D2547" s="1"/>
    </row>
    <row r="2548" spans="4:4" x14ac:dyDescent="0.25">
      <c r="D2548" s="1"/>
    </row>
    <row r="2549" spans="4:4" x14ac:dyDescent="0.25">
      <c r="D2549" s="1"/>
    </row>
    <row r="2550" spans="4:4" x14ac:dyDescent="0.25">
      <c r="D2550" s="1"/>
    </row>
    <row r="2551" spans="4:4" x14ac:dyDescent="0.25">
      <c r="D2551" s="1"/>
    </row>
    <row r="2552" spans="4:4" x14ac:dyDescent="0.25">
      <c r="D2552" s="1"/>
    </row>
    <row r="2553" spans="4:4" x14ac:dyDescent="0.25">
      <c r="D2553" s="1"/>
    </row>
    <row r="2554" spans="4:4" x14ac:dyDescent="0.25">
      <c r="D2554" s="1"/>
    </row>
    <row r="2555" spans="4:4" x14ac:dyDescent="0.25">
      <c r="D2555" s="1"/>
    </row>
    <row r="2556" spans="4:4" x14ac:dyDescent="0.25">
      <c r="D2556" s="1"/>
    </row>
    <row r="2557" spans="4:4" x14ac:dyDescent="0.25">
      <c r="D2557" s="1"/>
    </row>
    <row r="2558" spans="4:4" x14ac:dyDescent="0.25">
      <c r="D2558" s="1"/>
    </row>
    <row r="2559" spans="4:4" x14ac:dyDescent="0.25">
      <c r="D2559" s="1"/>
    </row>
    <row r="2560" spans="4:4" x14ac:dyDescent="0.25">
      <c r="D2560" s="1"/>
    </row>
    <row r="2561" spans="4:4" x14ac:dyDescent="0.25">
      <c r="D2561" s="1"/>
    </row>
    <row r="2562" spans="4:4" x14ac:dyDescent="0.25">
      <c r="D2562" s="1"/>
    </row>
    <row r="2563" spans="4:4" x14ac:dyDescent="0.25">
      <c r="D2563" s="1"/>
    </row>
    <row r="2564" spans="4:4" x14ac:dyDescent="0.25">
      <c r="D2564" s="1"/>
    </row>
    <row r="2565" spans="4:4" x14ac:dyDescent="0.25">
      <c r="D2565" s="1"/>
    </row>
    <row r="2566" spans="4:4" x14ac:dyDescent="0.25">
      <c r="D2566" s="1"/>
    </row>
    <row r="2567" spans="4:4" x14ac:dyDescent="0.25">
      <c r="D2567" s="1"/>
    </row>
    <row r="2568" spans="4:4" x14ac:dyDescent="0.25">
      <c r="D2568" s="1"/>
    </row>
    <row r="2569" spans="4:4" x14ac:dyDescent="0.25">
      <c r="D2569" s="1"/>
    </row>
    <row r="2570" spans="4:4" x14ac:dyDescent="0.25">
      <c r="D2570" s="1"/>
    </row>
    <row r="2571" spans="4:4" x14ac:dyDescent="0.25">
      <c r="D2571" s="1"/>
    </row>
    <row r="2572" spans="4:4" x14ac:dyDescent="0.25">
      <c r="D2572" s="1"/>
    </row>
    <row r="2573" spans="4:4" x14ac:dyDescent="0.25">
      <c r="D2573" s="1"/>
    </row>
    <row r="2574" spans="4:4" x14ac:dyDescent="0.25">
      <c r="D2574" s="1"/>
    </row>
    <row r="2575" spans="4:4" x14ac:dyDescent="0.25">
      <c r="D2575" s="1"/>
    </row>
    <row r="2576" spans="4:4" x14ac:dyDescent="0.25">
      <c r="D2576" s="1"/>
    </row>
    <row r="2577" spans="4:4" x14ac:dyDescent="0.25">
      <c r="D2577" s="1"/>
    </row>
    <row r="2578" spans="4:4" x14ac:dyDescent="0.25">
      <c r="D2578" s="1"/>
    </row>
    <row r="2579" spans="4:4" x14ac:dyDescent="0.25">
      <c r="D2579" s="1"/>
    </row>
    <row r="2580" spans="4:4" x14ac:dyDescent="0.25">
      <c r="D2580" s="1"/>
    </row>
    <row r="2581" spans="4:4" x14ac:dyDescent="0.25">
      <c r="D2581" s="1"/>
    </row>
    <row r="2582" spans="4:4" x14ac:dyDescent="0.25">
      <c r="D2582" s="1"/>
    </row>
    <row r="2583" spans="4:4" x14ac:dyDescent="0.25">
      <c r="D2583" s="1"/>
    </row>
    <row r="2584" spans="4:4" x14ac:dyDescent="0.25">
      <c r="D2584" s="1"/>
    </row>
    <row r="2585" spans="4:4" x14ac:dyDescent="0.25">
      <c r="D2585" s="1"/>
    </row>
    <row r="2586" spans="4:4" x14ac:dyDescent="0.25">
      <c r="D2586" s="1"/>
    </row>
    <row r="2587" spans="4:4" x14ac:dyDescent="0.25">
      <c r="D2587" s="1"/>
    </row>
    <row r="2588" spans="4:4" x14ac:dyDescent="0.25">
      <c r="D2588" s="1"/>
    </row>
    <row r="2589" spans="4:4" x14ac:dyDescent="0.25">
      <c r="D2589" s="1"/>
    </row>
    <row r="2590" spans="4:4" x14ac:dyDescent="0.25">
      <c r="D2590" s="1"/>
    </row>
    <row r="2591" spans="4:4" x14ac:dyDescent="0.25">
      <c r="D2591" s="1"/>
    </row>
    <row r="2592" spans="4:4" x14ac:dyDescent="0.25">
      <c r="D2592" s="1"/>
    </row>
    <row r="2593" spans="4:4" x14ac:dyDescent="0.25">
      <c r="D2593" s="1"/>
    </row>
    <row r="2594" spans="4:4" x14ac:dyDescent="0.25">
      <c r="D2594" s="1"/>
    </row>
    <row r="2595" spans="4:4" x14ac:dyDescent="0.25">
      <c r="D2595" s="1"/>
    </row>
    <row r="2596" spans="4:4" x14ac:dyDescent="0.25">
      <c r="D2596" s="1"/>
    </row>
    <row r="2597" spans="4:4" x14ac:dyDescent="0.25">
      <c r="D2597" s="1"/>
    </row>
    <row r="2598" spans="4:4" x14ac:dyDescent="0.25">
      <c r="D2598" s="1"/>
    </row>
    <row r="2599" spans="4:4" x14ac:dyDescent="0.25">
      <c r="D2599" s="1"/>
    </row>
    <row r="2600" spans="4:4" x14ac:dyDescent="0.25">
      <c r="D2600" s="1"/>
    </row>
    <row r="2601" spans="4:4" x14ac:dyDescent="0.25">
      <c r="D2601" s="1"/>
    </row>
    <row r="2602" spans="4:4" x14ac:dyDescent="0.25">
      <c r="D2602" s="1"/>
    </row>
    <row r="2603" spans="4:4" x14ac:dyDescent="0.25">
      <c r="D2603" s="1"/>
    </row>
    <row r="2604" spans="4:4" x14ac:dyDescent="0.25">
      <c r="D2604" s="1"/>
    </row>
    <row r="2605" spans="4:4" x14ac:dyDescent="0.25">
      <c r="D2605" s="1"/>
    </row>
    <row r="2606" spans="4:4" x14ac:dyDescent="0.25">
      <c r="D2606" s="1"/>
    </row>
    <row r="2607" spans="4:4" x14ac:dyDescent="0.25">
      <c r="D2607" s="1"/>
    </row>
    <row r="2608" spans="4:4" x14ac:dyDescent="0.25">
      <c r="D2608" s="1"/>
    </row>
    <row r="2609" spans="4:4" x14ac:dyDescent="0.25">
      <c r="D2609" s="1"/>
    </row>
    <row r="2610" spans="4:4" x14ac:dyDescent="0.25">
      <c r="D2610" s="1"/>
    </row>
    <row r="2611" spans="4:4" x14ac:dyDescent="0.25">
      <c r="D2611" s="1"/>
    </row>
    <row r="2612" spans="4:4" x14ac:dyDescent="0.25">
      <c r="D2612" s="1"/>
    </row>
    <row r="2613" spans="4:4" x14ac:dyDescent="0.25">
      <c r="D2613" s="1"/>
    </row>
    <row r="2614" spans="4:4" x14ac:dyDescent="0.25">
      <c r="D2614" s="1"/>
    </row>
    <row r="2615" spans="4:4" x14ac:dyDescent="0.25">
      <c r="D2615" s="1"/>
    </row>
    <row r="2616" spans="4:4" x14ac:dyDescent="0.25">
      <c r="D2616" s="1"/>
    </row>
    <row r="2617" spans="4:4" x14ac:dyDescent="0.25">
      <c r="D2617" s="1"/>
    </row>
    <row r="2618" spans="4:4" x14ac:dyDescent="0.25">
      <c r="D2618" s="1"/>
    </row>
    <row r="2619" spans="4:4" x14ac:dyDescent="0.25">
      <c r="D2619" s="1"/>
    </row>
    <row r="2620" spans="4:4" x14ac:dyDescent="0.25">
      <c r="D2620" s="1"/>
    </row>
    <row r="2621" spans="4:4" x14ac:dyDescent="0.25">
      <c r="D2621" s="1"/>
    </row>
    <row r="2622" spans="4:4" x14ac:dyDescent="0.25">
      <c r="D2622" s="1"/>
    </row>
    <row r="2623" spans="4:4" x14ac:dyDescent="0.25">
      <c r="D2623" s="1"/>
    </row>
    <row r="2624" spans="4:4" x14ac:dyDescent="0.25">
      <c r="D2624" s="1"/>
    </row>
    <row r="2625" spans="4:4" x14ac:dyDescent="0.25">
      <c r="D2625" s="1"/>
    </row>
    <row r="2626" spans="4:4" x14ac:dyDescent="0.25">
      <c r="D2626" s="1"/>
    </row>
    <row r="2627" spans="4:4" x14ac:dyDescent="0.25">
      <c r="D2627" s="1"/>
    </row>
    <row r="2628" spans="4:4" x14ac:dyDescent="0.25">
      <c r="D2628" s="1"/>
    </row>
    <row r="2629" spans="4:4" x14ac:dyDescent="0.25">
      <c r="D2629" s="1"/>
    </row>
    <row r="2630" spans="4:4" x14ac:dyDescent="0.25">
      <c r="D2630" s="1"/>
    </row>
    <row r="2631" spans="4:4" x14ac:dyDescent="0.25">
      <c r="D2631" s="1"/>
    </row>
    <row r="2632" spans="4:4" x14ac:dyDescent="0.25">
      <c r="D2632" s="1"/>
    </row>
    <row r="2633" spans="4:4" x14ac:dyDescent="0.25">
      <c r="D2633" s="1"/>
    </row>
    <row r="2634" spans="4:4" x14ac:dyDescent="0.25">
      <c r="D2634" s="1"/>
    </row>
    <row r="2635" spans="4:4" x14ac:dyDescent="0.25">
      <c r="D2635" s="1"/>
    </row>
    <row r="2636" spans="4:4" x14ac:dyDescent="0.25">
      <c r="D2636" s="1"/>
    </row>
    <row r="2637" spans="4:4" x14ac:dyDescent="0.25">
      <c r="D2637" s="1"/>
    </row>
    <row r="2638" spans="4:4" x14ac:dyDescent="0.25">
      <c r="D2638" s="1"/>
    </row>
    <row r="2639" spans="4:4" x14ac:dyDescent="0.25">
      <c r="D2639" s="1"/>
    </row>
    <row r="2640" spans="4:4" x14ac:dyDescent="0.25">
      <c r="D2640" s="1"/>
    </row>
    <row r="2641" spans="4:4" x14ac:dyDescent="0.25">
      <c r="D2641" s="1"/>
    </row>
    <row r="2642" spans="4:4" x14ac:dyDescent="0.25">
      <c r="D2642" s="1"/>
    </row>
    <row r="2643" spans="4:4" x14ac:dyDescent="0.25">
      <c r="D2643" s="1"/>
    </row>
    <row r="2644" spans="4:4" x14ac:dyDescent="0.25">
      <c r="D2644" s="1"/>
    </row>
    <row r="2645" spans="4:4" x14ac:dyDescent="0.25">
      <c r="D2645" s="1"/>
    </row>
    <row r="2646" spans="4:4" x14ac:dyDescent="0.25">
      <c r="D2646" s="1"/>
    </row>
    <row r="2647" spans="4:4" x14ac:dyDescent="0.25">
      <c r="D2647" s="1"/>
    </row>
    <row r="2648" spans="4:4" x14ac:dyDescent="0.25">
      <c r="D2648" s="1"/>
    </row>
    <row r="2649" spans="4:4" x14ac:dyDescent="0.25">
      <c r="D2649" s="1"/>
    </row>
    <row r="2650" spans="4:4" x14ac:dyDescent="0.25">
      <c r="D2650" s="1"/>
    </row>
    <row r="2651" spans="4:4" x14ac:dyDescent="0.25">
      <c r="D2651" s="1"/>
    </row>
    <row r="2652" spans="4:4" x14ac:dyDescent="0.25">
      <c r="D2652" s="1"/>
    </row>
    <row r="2653" spans="4:4" x14ac:dyDescent="0.25">
      <c r="D2653" s="1"/>
    </row>
    <row r="2654" spans="4:4" x14ac:dyDescent="0.25">
      <c r="D2654" s="1"/>
    </row>
    <row r="2655" spans="4:4" x14ac:dyDescent="0.25">
      <c r="D2655" s="1"/>
    </row>
    <row r="2656" spans="4:4" x14ac:dyDescent="0.25">
      <c r="D2656" s="1"/>
    </row>
    <row r="2657" spans="4:4" x14ac:dyDescent="0.25">
      <c r="D2657" s="1"/>
    </row>
    <row r="2658" spans="4:4" x14ac:dyDescent="0.25">
      <c r="D2658" s="1"/>
    </row>
    <row r="2659" spans="4:4" x14ac:dyDescent="0.25">
      <c r="D2659" s="1"/>
    </row>
    <row r="2660" spans="4:4" x14ac:dyDescent="0.25">
      <c r="D2660" s="1"/>
    </row>
    <row r="2661" spans="4:4" x14ac:dyDescent="0.25">
      <c r="D2661" s="1"/>
    </row>
    <row r="2662" spans="4:4" x14ac:dyDescent="0.25">
      <c r="D2662" s="1"/>
    </row>
    <row r="2663" spans="4:4" x14ac:dyDescent="0.25">
      <c r="D2663" s="1"/>
    </row>
    <row r="2664" spans="4:4" x14ac:dyDescent="0.25">
      <c r="D2664" s="1"/>
    </row>
    <row r="2665" spans="4:4" x14ac:dyDescent="0.25">
      <c r="D2665" s="1"/>
    </row>
    <row r="2666" spans="4:4" x14ac:dyDescent="0.25">
      <c r="D2666" s="1"/>
    </row>
    <row r="2667" spans="4:4" x14ac:dyDescent="0.25">
      <c r="D2667" s="1"/>
    </row>
    <row r="2668" spans="4:4" x14ac:dyDescent="0.25">
      <c r="D2668" s="1"/>
    </row>
    <row r="2669" spans="4:4" x14ac:dyDescent="0.25">
      <c r="D2669" s="1"/>
    </row>
    <row r="2670" spans="4:4" x14ac:dyDescent="0.25">
      <c r="D2670" s="1"/>
    </row>
    <row r="2671" spans="4:4" x14ac:dyDescent="0.25">
      <c r="D2671" s="1"/>
    </row>
    <row r="2672" spans="4:4" x14ac:dyDescent="0.25">
      <c r="D2672" s="1"/>
    </row>
    <row r="2673" spans="4:4" x14ac:dyDescent="0.25">
      <c r="D2673" s="1"/>
    </row>
    <row r="2674" spans="4:4" x14ac:dyDescent="0.25">
      <c r="D2674" s="1"/>
    </row>
    <row r="2675" spans="4:4" x14ac:dyDescent="0.25">
      <c r="D2675" s="1"/>
    </row>
    <row r="2676" spans="4:4" x14ac:dyDescent="0.25">
      <c r="D2676" s="1"/>
    </row>
    <row r="2677" spans="4:4" x14ac:dyDescent="0.25">
      <c r="D2677" s="1"/>
    </row>
    <row r="2678" spans="4:4" x14ac:dyDescent="0.25">
      <c r="D2678" s="1"/>
    </row>
    <row r="2679" spans="4:4" x14ac:dyDescent="0.25">
      <c r="D2679" s="1"/>
    </row>
    <row r="2680" spans="4:4" x14ac:dyDescent="0.25">
      <c r="D2680" s="1"/>
    </row>
    <row r="2681" spans="4:4" x14ac:dyDescent="0.25">
      <c r="D2681" s="1"/>
    </row>
    <row r="2682" spans="4:4" x14ac:dyDescent="0.25">
      <c r="D2682" s="1"/>
    </row>
    <row r="2683" spans="4:4" x14ac:dyDescent="0.25">
      <c r="D2683" s="1"/>
    </row>
    <row r="2684" spans="4:4" x14ac:dyDescent="0.25">
      <c r="D2684" s="1"/>
    </row>
    <row r="2685" spans="4:4" x14ac:dyDescent="0.25">
      <c r="D2685" s="1"/>
    </row>
    <row r="2686" spans="4:4" x14ac:dyDescent="0.25">
      <c r="D2686" s="1"/>
    </row>
    <row r="2687" spans="4:4" x14ac:dyDescent="0.25">
      <c r="D2687" s="1"/>
    </row>
    <row r="2688" spans="4:4" x14ac:dyDescent="0.25">
      <c r="D2688" s="1"/>
    </row>
    <row r="2689" spans="4:4" x14ac:dyDescent="0.25">
      <c r="D2689" s="1"/>
    </row>
    <row r="2690" spans="4:4" x14ac:dyDescent="0.25">
      <c r="D2690" s="1"/>
    </row>
    <row r="2691" spans="4:4" x14ac:dyDescent="0.25">
      <c r="D2691" s="1"/>
    </row>
    <row r="2692" spans="4:4" x14ac:dyDescent="0.25">
      <c r="D2692" s="1"/>
    </row>
    <row r="2693" spans="4:4" x14ac:dyDescent="0.25">
      <c r="D2693" s="1"/>
    </row>
    <row r="2694" spans="4:4" x14ac:dyDescent="0.25">
      <c r="D2694" s="1"/>
    </row>
    <row r="2695" spans="4:4" x14ac:dyDescent="0.25">
      <c r="D2695" s="1"/>
    </row>
    <row r="2696" spans="4:4" x14ac:dyDescent="0.25">
      <c r="D2696" s="1"/>
    </row>
    <row r="2697" spans="4:4" x14ac:dyDescent="0.25">
      <c r="D2697" s="1"/>
    </row>
    <row r="2698" spans="4:4" x14ac:dyDescent="0.25">
      <c r="D2698" s="1"/>
    </row>
    <row r="2699" spans="4:4" x14ac:dyDescent="0.25">
      <c r="D2699" s="1"/>
    </row>
    <row r="2700" spans="4:4" x14ac:dyDescent="0.25">
      <c r="D2700" s="1"/>
    </row>
    <row r="2701" spans="4:4" x14ac:dyDescent="0.25">
      <c r="D2701" s="1"/>
    </row>
    <row r="2702" spans="4:4" x14ac:dyDescent="0.25">
      <c r="D2702" s="1"/>
    </row>
    <row r="2703" spans="4:4" x14ac:dyDescent="0.25">
      <c r="D2703" s="1"/>
    </row>
    <row r="2704" spans="4:4" x14ac:dyDescent="0.25">
      <c r="D2704" s="1"/>
    </row>
    <row r="2705" spans="4:4" x14ac:dyDescent="0.25">
      <c r="D2705" s="1"/>
    </row>
    <row r="2706" spans="4:4" x14ac:dyDescent="0.25">
      <c r="D2706" s="1"/>
    </row>
    <row r="2707" spans="4:4" x14ac:dyDescent="0.25">
      <c r="D2707" s="1"/>
    </row>
    <row r="2708" spans="4:4" x14ac:dyDescent="0.25">
      <c r="D2708" s="1"/>
    </row>
    <row r="2709" spans="4:4" x14ac:dyDescent="0.25">
      <c r="D2709" s="1"/>
    </row>
    <row r="2710" spans="4:4" x14ac:dyDescent="0.25">
      <c r="D2710" s="1"/>
    </row>
    <row r="2711" spans="4:4" x14ac:dyDescent="0.25">
      <c r="D2711" s="1"/>
    </row>
    <row r="2712" spans="4:4" x14ac:dyDescent="0.25">
      <c r="D2712" s="1"/>
    </row>
    <row r="2713" spans="4:4" x14ac:dyDescent="0.25">
      <c r="D2713" s="1"/>
    </row>
    <row r="2714" spans="4:4" x14ac:dyDescent="0.25">
      <c r="D2714" s="1"/>
    </row>
    <row r="2715" spans="4:4" x14ac:dyDescent="0.25">
      <c r="D2715" s="1"/>
    </row>
    <row r="2716" spans="4:4" x14ac:dyDescent="0.25">
      <c r="D2716" s="1"/>
    </row>
    <row r="2717" spans="4:4" x14ac:dyDescent="0.25">
      <c r="D2717" s="1"/>
    </row>
    <row r="2718" spans="4:4" x14ac:dyDescent="0.25">
      <c r="D2718" s="1"/>
    </row>
    <row r="2719" spans="4:4" x14ac:dyDescent="0.25">
      <c r="D2719" s="1"/>
    </row>
    <row r="2720" spans="4:4" x14ac:dyDescent="0.25">
      <c r="D2720" s="1"/>
    </row>
    <row r="2721" spans="4:4" x14ac:dyDescent="0.25">
      <c r="D2721" s="1"/>
    </row>
    <row r="2722" spans="4:4" x14ac:dyDescent="0.25">
      <c r="D2722" s="1"/>
    </row>
    <row r="2723" spans="4:4" x14ac:dyDescent="0.25">
      <c r="D2723" s="1"/>
    </row>
    <row r="2724" spans="4:4" x14ac:dyDescent="0.25">
      <c r="D2724" s="1"/>
    </row>
    <row r="2725" spans="4:4" x14ac:dyDescent="0.25">
      <c r="D2725" s="1"/>
    </row>
    <row r="2726" spans="4:4" x14ac:dyDescent="0.25">
      <c r="D2726" s="1"/>
    </row>
    <row r="2727" spans="4:4" x14ac:dyDescent="0.25">
      <c r="D2727" s="1"/>
    </row>
    <row r="2728" spans="4:4" x14ac:dyDescent="0.25">
      <c r="D2728" s="1"/>
    </row>
    <row r="2729" spans="4:4" x14ac:dyDescent="0.25">
      <c r="D2729" s="1"/>
    </row>
    <row r="2730" spans="4:4" x14ac:dyDescent="0.25">
      <c r="D2730" s="1"/>
    </row>
    <row r="2731" spans="4:4" x14ac:dyDescent="0.25">
      <c r="D2731" s="1"/>
    </row>
    <row r="2732" spans="4:4" x14ac:dyDescent="0.25">
      <c r="D2732" s="1"/>
    </row>
    <row r="2733" spans="4:4" x14ac:dyDescent="0.25">
      <c r="D2733" s="1"/>
    </row>
    <row r="2734" spans="4:4" x14ac:dyDescent="0.25">
      <c r="D2734" s="1"/>
    </row>
    <row r="2735" spans="4:4" x14ac:dyDescent="0.25">
      <c r="D2735" s="1"/>
    </row>
    <row r="2736" spans="4:4" x14ac:dyDescent="0.25">
      <c r="D2736" s="1"/>
    </row>
    <row r="2737" spans="4:4" x14ac:dyDescent="0.25">
      <c r="D2737" s="1"/>
    </row>
    <row r="2738" spans="4:4" x14ac:dyDescent="0.25">
      <c r="D2738" s="1"/>
    </row>
    <row r="2739" spans="4:4" x14ac:dyDescent="0.25">
      <c r="D2739" s="1"/>
    </row>
    <row r="2740" spans="4:4" x14ac:dyDescent="0.25">
      <c r="D2740" s="1"/>
    </row>
    <row r="2741" spans="4:4" x14ac:dyDescent="0.25">
      <c r="D2741" s="1"/>
    </row>
    <row r="2742" spans="4:4" x14ac:dyDescent="0.25">
      <c r="D2742" s="1"/>
    </row>
    <row r="2743" spans="4:4" x14ac:dyDescent="0.25">
      <c r="D2743" s="1"/>
    </row>
    <row r="2744" spans="4:4" x14ac:dyDescent="0.25">
      <c r="D2744" s="1"/>
    </row>
    <row r="2745" spans="4:4" x14ac:dyDescent="0.25">
      <c r="D2745" s="1"/>
    </row>
    <row r="2746" spans="4:4" x14ac:dyDescent="0.25">
      <c r="D2746" s="1"/>
    </row>
    <row r="2747" spans="4:4" x14ac:dyDescent="0.25">
      <c r="D2747" s="1"/>
    </row>
    <row r="2748" spans="4:4" x14ac:dyDescent="0.25">
      <c r="D2748" s="1"/>
    </row>
    <row r="2749" spans="4:4" x14ac:dyDescent="0.25">
      <c r="D2749" s="1"/>
    </row>
    <row r="2750" spans="4:4" x14ac:dyDescent="0.25">
      <c r="D2750" s="1"/>
    </row>
    <row r="2751" spans="4:4" x14ac:dyDescent="0.25">
      <c r="D2751" s="1"/>
    </row>
    <row r="2752" spans="4:4" x14ac:dyDescent="0.25">
      <c r="D2752" s="1"/>
    </row>
    <row r="2753" spans="4:4" x14ac:dyDescent="0.25">
      <c r="D2753" s="1"/>
    </row>
    <row r="2754" spans="4:4" x14ac:dyDescent="0.25">
      <c r="D2754" s="1"/>
    </row>
    <row r="2755" spans="4:4" x14ac:dyDescent="0.25">
      <c r="D2755" s="1"/>
    </row>
    <row r="2756" spans="4:4" x14ac:dyDescent="0.25">
      <c r="D2756" s="1"/>
    </row>
    <row r="2757" spans="4:4" x14ac:dyDescent="0.25">
      <c r="D2757" s="1"/>
    </row>
    <row r="2758" spans="4:4" x14ac:dyDescent="0.25">
      <c r="D2758" s="1"/>
    </row>
    <row r="2759" spans="4:4" x14ac:dyDescent="0.25">
      <c r="D2759" s="1"/>
    </row>
    <row r="2760" spans="4:4" x14ac:dyDescent="0.25">
      <c r="D2760" s="1"/>
    </row>
    <row r="2761" spans="4:4" x14ac:dyDescent="0.25">
      <c r="D2761" s="1"/>
    </row>
    <row r="2762" spans="4:4" x14ac:dyDescent="0.25">
      <c r="D2762" s="1"/>
    </row>
    <row r="2763" spans="4:4" x14ac:dyDescent="0.25">
      <c r="D2763" s="1"/>
    </row>
    <row r="2764" spans="4:4" x14ac:dyDescent="0.25">
      <c r="D2764" s="1"/>
    </row>
    <row r="2765" spans="4:4" x14ac:dyDescent="0.25">
      <c r="D2765" s="1"/>
    </row>
    <row r="2766" spans="4:4" x14ac:dyDescent="0.25">
      <c r="D2766" s="1"/>
    </row>
    <row r="2767" spans="4:4" x14ac:dyDescent="0.25">
      <c r="D2767" s="1"/>
    </row>
    <row r="2768" spans="4:4" x14ac:dyDescent="0.25">
      <c r="D2768" s="1"/>
    </row>
    <row r="2769" spans="4:4" x14ac:dyDescent="0.25">
      <c r="D2769" s="1"/>
    </row>
    <row r="2770" spans="4:4" x14ac:dyDescent="0.25">
      <c r="D2770" s="1"/>
    </row>
    <row r="2771" spans="4:4" x14ac:dyDescent="0.25">
      <c r="D2771" s="1"/>
    </row>
    <row r="2772" spans="4:4" x14ac:dyDescent="0.25">
      <c r="D2772" s="1"/>
    </row>
    <row r="2773" spans="4:4" x14ac:dyDescent="0.25">
      <c r="D2773" s="1"/>
    </row>
    <row r="2774" spans="4:4" x14ac:dyDescent="0.25">
      <c r="D2774" s="1"/>
    </row>
    <row r="2775" spans="4:4" x14ac:dyDescent="0.25">
      <c r="D2775" s="1"/>
    </row>
    <row r="2776" spans="4:4" x14ac:dyDescent="0.25">
      <c r="D2776" s="1"/>
    </row>
    <row r="2777" spans="4:4" x14ac:dyDescent="0.25">
      <c r="D2777" s="1"/>
    </row>
    <row r="2778" spans="4:4" x14ac:dyDescent="0.25">
      <c r="D2778" s="1"/>
    </row>
    <row r="2779" spans="4:4" x14ac:dyDescent="0.25">
      <c r="D2779" s="1"/>
    </row>
    <row r="2780" spans="4:4" x14ac:dyDescent="0.25">
      <c r="D2780" s="1"/>
    </row>
    <row r="2781" spans="4:4" x14ac:dyDescent="0.25">
      <c r="D2781" s="1"/>
    </row>
    <row r="2782" spans="4:4" x14ac:dyDescent="0.25">
      <c r="D2782" s="1"/>
    </row>
    <row r="2783" spans="4:4" x14ac:dyDescent="0.25">
      <c r="D2783" s="1"/>
    </row>
    <row r="2784" spans="4:4" x14ac:dyDescent="0.25">
      <c r="D2784" s="1"/>
    </row>
    <row r="2785" spans="4:4" x14ac:dyDescent="0.25">
      <c r="D2785" s="1"/>
    </row>
    <row r="2786" spans="4:4" x14ac:dyDescent="0.25">
      <c r="D2786" s="1"/>
    </row>
    <row r="2787" spans="4:4" x14ac:dyDescent="0.25">
      <c r="D2787" s="1"/>
    </row>
    <row r="2788" spans="4:4" x14ac:dyDescent="0.25">
      <c r="D2788" s="1"/>
    </row>
    <row r="2789" spans="4:4" x14ac:dyDescent="0.25">
      <c r="D2789" s="1"/>
    </row>
    <row r="2790" spans="4:4" x14ac:dyDescent="0.25">
      <c r="D2790" s="1"/>
    </row>
    <row r="2791" spans="4:4" x14ac:dyDescent="0.25">
      <c r="D2791" s="1"/>
    </row>
    <row r="2792" spans="4:4" x14ac:dyDescent="0.25">
      <c r="D2792" s="1"/>
    </row>
    <row r="2793" spans="4:4" x14ac:dyDescent="0.25">
      <c r="D2793" s="1"/>
    </row>
    <row r="2794" spans="4:4" x14ac:dyDescent="0.25">
      <c r="D2794" s="1"/>
    </row>
    <row r="2795" spans="4:4" x14ac:dyDescent="0.25">
      <c r="D2795" s="1"/>
    </row>
    <row r="2796" spans="4:4" x14ac:dyDescent="0.25">
      <c r="D2796" s="1"/>
    </row>
    <row r="2797" spans="4:4" x14ac:dyDescent="0.25">
      <c r="D2797" s="1"/>
    </row>
    <row r="2798" spans="4:4" x14ac:dyDescent="0.25">
      <c r="D2798" s="1"/>
    </row>
    <row r="2799" spans="4:4" x14ac:dyDescent="0.25">
      <c r="D2799" s="1"/>
    </row>
    <row r="2800" spans="4:4" x14ac:dyDescent="0.25">
      <c r="D2800" s="1"/>
    </row>
    <row r="2801" spans="4:4" x14ac:dyDescent="0.25">
      <c r="D2801" s="1"/>
    </row>
    <row r="2802" spans="4:4" x14ac:dyDescent="0.25">
      <c r="D2802" s="1"/>
    </row>
    <row r="2803" spans="4:4" x14ac:dyDescent="0.25">
      <c r="D2803" s="1"/>
    </row>
    <row r="2804" spans="4:4" x14ac:dyDescent="0.25">
      <c r="D2804" s="1"/>
    </row>
    <row r="2805" spans="4:4" x14ac:dyDescent="0.25">
      <c r="D2805" s="1"/>
    </row>
    <row r="2806" spans="4:4" x14ac:dyDescent="0.25">
      <c r="D2806" s="1"/>
    </row>
    <row r="2807" spans="4:4" x14ac:dyDescent="0.25">
      <c r="D2807" s="1"/>
    </row>
    <row r="2808" spans="4:4" x14ac:dyDescent="0.25">
      <c r="D2808" s="1"/>
    </row>
    <row r="2809" spans="4:4" x14ac:dyDescent="0.25">
      <c r="D2809" s="1"/>
    </row>
    <row r="2810" spans="4:4" x14ac:dyDescent="0.25">
      <c r="D2810" s="1"/>
    </row>
    <row r="2811" spans="4:4" x14ac:dyDescent="0.25">
      <c r="D2811" s="1"/>
    </row>
    <row r="2812" spans="4:4" x14ac:dyDescent="0.25">
      <c r="D2812" s="1"/>
    </row>
    <row r="2813" spans="4:4" x14ac:dyDescent="0.25">
      <c r="D2813" s="1"/>
    </row>
    <row r="2814" spans="4:4" x14ac:dyDescent="0.25">
      <c r="D2814" s="1"/>
    </row>
    <row r="2815" spans="4:4" x14ac:dyDescent="0.25">
      <c r="D2815" s="1"/>
    </row>
    <row r="2816" spans="4:4" x14ac:dyDescent="0.25">
      <c r="D2816" s="1"/>
    </row>
    <row r="2817" spans="4:4" x14ac:dyDescent="0.25">
      <c r="D2817" s="1"/>
    </row>
    <row r="2818" spans="4:4" x14ac:dyDescent="0.25">
      <c r="D2818" s="1"/>
    </row>
    <row r="2819" spans="4:4" x14ac:dyDescent="0.25">
      <c r="D2819" s="1"/>
    </row>
    <row r="2820" spans="4:4" x14ac:dyDescent="0.25">
      <c r="D2820" s="1"/>
    </row>
    <row r="2821" spans="4:4" x14ac:dyDescent="0.25">
      <c r="D2821" s="1"/>
    </row>
    <row r="2822" spans="4:4" x14ac:dyDescent="0.25">
      <c r="D2822" s="1"/>
    </row>
    <row r="2823" spans="4:4" x14ac:dyDescent="0.25">
      <c r="D2823" s="1"/>
    </row>
    <row r="2824" spans="4:4" x14ac:dyDescent="0.25">
      <c r="D2824" s="1"/>
    </row>
    <row r="2825" spans="4:4" x14ac:dyDescent="0.25">
      <c r="D2825" s="1"/>
    </row>
    <row r="2826" spans="4:4" x14ac:dyDescent="0.25">
      <c r="D2826" s="1"/>
    </row>
    <row r="2827" spans="4:4" x14ac:dyDescent="0.25">
      <c r="D2827" s="1"/>
    </row>
    <row r="2828" spans="4:4" x14ac:dyDescent="0.25">
      <c r="D2828" s="1"/>
    </row>
    <row r="2829" spans="4:4" x14ac:dyDescent="0.25">
      <c r="D2829" s="1"/>
    </row>
    <row r="2830" spans="4:4" x14ac:dyDescent="0.25">
      <c r="D2830" s="1"/>
    </row>
    <row r="2831" spans="4:4" x14ac:dyDescent="0.25">
      <c r="D2831" s="1"/>
    </row>
    <row r="2832" spans="4:4" x14ac:dyDescent="0.25">
      <c r="D2832" s="1"/>
    </row>
    <row r="2833" spans="4:4" x14ac:dyDescent="0.25">
      <c r="D2833" s="1"/>
    </row>
    <row r="2834" spans="4:4" x14ac:dyDescent="0.25">
      <c r="D2834" s="1"/>
    </row>
    <row r="2835" spans="4:4" x14ac:dyDescent="0.25">
      <c r="D2835" s="1"/>
    </row>
    <row r="2836" spans="4:4" x14ac:dyDescent="0.25">
      <c r="D2836" s="1"/>
    </row>
    <row r="2837" spans="4:4" x14ac:dyDescent="0.25">
      <c r="D2837" s="1"/>
    </row>
    <row r="2838" spans="4:4" x14ac:dyDescent="0.25">
      <c r="D2838" s="1"/>
    </row>
    <row r="2839" spans="4:4" x14ac:dyDescent="0.25">
      <c r="D2839" s="1"/>
    </row>
    <row r="2840" spans="4:4" x14ac:dyDescent="0.25">
      <c r="D2840" s="1"/>
    </row>
    <row r="2841" spans="4:4" x14ac:dyDescent="0.25">
      <c r="D2841" s="1"/>
    </row>
    <row r="2842" spans="4:4" x14ac:dyDescent="0.25">
      <c r="D2842" s="1"/>
    </row>
    <row r="2843" spans="4:4" x14ac:dyDescent="0.25">
      <c r="D2843" s="1"/>
    </row>
    <row r="2844" spans="4:4" x14ac:dyDescent="0.25">
      <c r="D2844" s="1"/>
    </row>
    <row r="2845" spans="4:4" x14ac:dyDescent="0.25">
      <c r="D2845" s="1"/>
    </row>
    <row r="2846" spans="4:4" x14ac:dyDescent="0.25">
      <c r="D2846" s="1"/>
    </row>
    <row r="2847" spans="4:4" x14ac:dyDescent="0.25">
      <c r="D2847" s="1"/>
    </row>
    <row r="2848" spans="4:4" x14ac:dyDescent="0.25">
      <c r="D2848" s="1"/>
    </row>
    <row r="2849" spans="4:4" x14ac:dyDescent="0.25">
      <c r="D2849" s="1"/>
    </row>
    <row r="2850" spans="4:4" x14ac:dyDescent="0.25">
      <c r="D2850" s="1"/>
    </row>
    <row r="2851" spans="4:4" x14ac:dyDescent="0.25">
      <c r="D2851" s="1"/>
    </row>
    <row r="2852" spans="4:4" x14ac:dyDescent="0.25">
      <c r="D2852" s="1"/>
    </row>
    <row r="2853" spans="4:4" x14ac:dyDescent="0.25">
      <c r="D2853" s="1"/>
    </row>
    <row r="2854" spans="4:4" x14ac:dyDescent="0.25">
      <c r="D2854" s="1"/>
    </row>
    <row r="2855" spans="4:4" x14ac:dyDescent="0.25">
      <c r="D2855" s="1"/>
    </row>
    <row r="2856" spans="4:4" x14ac:dyDescent="0.25">
      <c r="D2856" s="1"/>
    </row>
    <row r="2857" spans="4:4" x14ac:dyDescent="0.25">
      <c r="D2857" s="1"/>
    </row>
    <row r="2858" spans="4:4" x14ac:dyDescent="0.25">
      <c r="D2858" s="1"/>
    </row>
    <row r="2859" spans="4:4" x14ac:dyDescent="0.25">
      <c r="D2859" s="1"/>
    </row>
    <row r="2860" spans="4:4" x14ac:dyDescent="0.25">
      <c r="D2860" s="1"/>
    </row>
    <row r="2861" spans="4:4" x14ac:dyDescent="0.25">
      <c r="D2861" s="1"/>
    </row>
    <row r="2862" spans="4:4" x14ac:dyDescent="0.25">
      <c r="D2862" s="1"/>
    </row>
    <row r="2863" spans="4:4" x14ac:dyDescent="0.25">
      <c r="D2863" s="1"/>
    </row>
    <row r="2864" spans="4:4" x14ac:dyDescent="0.25">
      <c r="D2864" s="1"/>
    </row>
    <row r="2865" spans="4:4" x14ac:dyDescent="0.25">
      <c r="D2865" s="1"/>
    </row>
    <row r="2866" spans="4:4" x14ac:dyDescent="0.25">
      <c r="D2866" s="1"/>
    </row>
    <row r="2867" spans="4:4" x14ac:dyDescent="0.25">
      <c r="D2867" s="1"/>
    </row>
    <row r="2868" spans="4:4" x14ac:dyDescent="0.25">
      <c r="D2868" s="1"/>
    </row>
    <row r="2869" spans="4:4" x14ac:dyDescent="0.25">
      <c r="D2869" s="1"/>
    </row>
    <row r="2870" spans="4:4" x14ac:dyDescent="0.25">
      <c r="D2870" s="1"/>
    </row>
    <row r="2871" spans="4:4" x14ac:dyDescent="0.25">
      <c r="D2871" s="1"/>
    </row>
    <row r="2872" spans="4:4" x14ac:dyDescent="0.25">
      <c r="D2872" s="1"/>
    </row>
    <row r="2873" spans="4:4" x14ac:dyDescent="0.25">
      <c r="D2873" s="1"/>
    </row>
    <row r="2874" spans="4:4" x14ac:dyDescent="0.25">
      <c r="D2874" s="1"/>
    </row>
    <row r="2875" spans="4:4" x14ac:dyDescent="0.25">
      <c r="D2875" s="1"/>
    </row>
    <row r="2876" spans="4:4" x14ac:dyDescent="0.25">
      <c r="D2876" s="1"/>
    </row>
    <row r="2877" spans="4:4" x14ac:dyDescent="0.25">
      <c r="D2877" s="1"/>
    </row>
    <row r="2878" spans="4:4" x14ac:dyDescent="0.25">
      <c r="D2878" s="1"/>
    </row>
    <row r="2879" spans="4:4" x14ac:dyDescent="0.25">
      <c r="D2879" s="1"/>
    </row>
    <row r="2880" spans="4:4" x14ac:dyDescent="0.25">
      <c r="D2880" s="1"/>
    </row>
    <row r="2881" spans="4:4" x14ac:dyDescent="0.25">
      <c r="D2881" s="1"/>
    </row>
    <row r="2882" spans="4:4" x14ac:dyDescent="0.25">
      <c r="D2882" s="1"/>
    </row>
    <row r="2883" spans="4:4" x14ac:dyDescent="0.25">
      <c r="D2883" s="1"/>
    </row>
    <row r="2884" spans="4:4" x14ac:dyDescent="0.25">
      <c r="D2884" s="1"/>
    </row>
    <row r="2885" spans="4:4" x14ac:dyDescent="0.25">
      <c r="D2885" s="1"/>
    </row>
    <row r="2886" spans="4:4" x14ac:dyDescent="0.25">
      <c r="D2886" s="1"/>
    </row>
    <row r="2887" spans="4:4" x14ac:dyDescent="0.25">
      <c r="D2887" s="1"/>
    </row>
    <row r="2888" spans="4:4" x14ac:dyDescent="0.25">
      <c r="D2888" s="1"/>
    </row>
    <row r="2889" spans="4:4" x14ac:dyDescent="0.25">
      <c r="D2889" s="1"/>
    </row>
    <row r="2890" spans="4:4" x14ac:dyDescent="0.25">
      <c r="D2890" s="1"/>
    </row>
    <row r="2891" spans="4:4" x14ac:dyDescent="0.25">
      <c r="D2891" s="1"/>
    </row>
    <row r="2892" spans="4:4" x14ac:dyDescent="0.25">
      <c r="D2892" s="1"/>
    </row>
    <row r="2893" spans="4:4" x14ac:dyDescent="0.25">
      <c r="D2893" s="1"/>
    </row>
    <row r="2894" spans="4:4" x14ac:dyDescent="0.25">
      <c r="D2894" s="1"/>
    </row>
    <row r="2895" spans="4:4" x14ac:dyDescent="0.25">
      <c r="D2895" s="1"/>
    </row>
    <row r="2896" spans="4:4" x14ac:dyDescent="0.25">
      <c r="D2896" s="1"/>
    </row>
    <row r="2897" spans="4:4" x14ac:dyDescent="0.25">
      <c r="D2897" s="1"/>
    </row>
    <row r="2898" spans="4:4" x14ac:dyDescent="0.25">
      <c r="D2898" s="1"/>
    </row>
    <row r="2899" spans="4:4" x14ac:dyDescent="0.25">
      <c r="D2899" s="1"/>
    </row>
    <row r="2900" spans="4:4" x14ac:dyDescent="0.25">
      <c r="D2900" s="1"/>
    </row>
    <row r="2901" spans="4:4" x14ac:dyDescent="0.25">
      <c r="D2901" s="1"/>
    </row>
    <row r="2902" spans="4:4" x14ac:dyDescent="0.25">
      <c r="D2902" s="1"/>
    </row>
    <row r="2903" spans="4:4" x14ac:dyDescent="0.25">
      <c r="D2903" s="1"/>
    </row>
    <row r="2904" spans="4:4" x14ac:dyDescent="0.25">
      <c r="D2904" s="1"/>
    </row>
    <row r="2905" spans="4:4" x14ac:dyDescent="0.25">
      <c r="D2905" s="1"/>
    </row>
    <row r="2906" spans="4:4" x14ac:dyDescent="0.25">
      <c r="D2906" s="1"/>
    </row>
    <row r="2907" spans="4:4" x14ac:dyDescent="0.25">
      <c r="D2907" s="1"/>
    </row>
    <row r="2908" spans="4:4" x14ac:dyDescent="0.25">
      <c r="D2908" s="1"/>
    </row>
    <row r="2909" spans="4:4" x14ac:dyDescent="0.25">
      <c r="D2909" s="1"/>
    </row>
    <row r="2910" spans="4:4" x14ac:dyDescent="0.25">
      <c r="D2910" s="1"/>
    </row>
    <row r="2911" spans="4:4" x14ac:dyDescent="0.25">
      <c r="D2911" s="1"/>
    </row>
    <row r="2912" spans="4:4" x14ac:dyDescent="0.25">
      <c r="D2912" s="1"/>
    </row>
    <row r="2913" spans="4:4" x14ac:dyDescent="0.25">
      <c r="D2913" s="1"/>
    </row>
    <row r="2914" spans="4:4" x14ac:dyDescent="0.25">
      <c r="D2914" s="1"/>
    </row>
    <row r="2915" spans="4:4" x14ac:dyDescent="0.25">
      <c r="D2915" s="1"/>
    </row>
    <row r="2916" spans="4:4" x14ac:dyDescent="0.25">
      <c r="D2916" s="1"/>
    </row>
    <row r="2917" spans="4:4" x14ac:dyDescent="0.25">
      <c r="D2917" s="1"/>
    </row>
    <row r="2918" spans="4:4" x14ac:dyDescent="0.25">
      <c r="D2918" s="1"/>
    </row>
    <row r="2919" spans="4:4" x14ac:dyDescent="0.25">
      <c r="D2919" s="1"/>
    </row>
    <row r="2920" spans="4:4" x14ac:dyDescent="0.25">
      <c r="D2920" s="1"/>
    </row>
    <row r="2921" spans="4:4" x14ac:dyDescent="0.25">
      <c r="D2921" s="1"/>
    </row>
    <row r="2922" spans="4:4" x14ac:dyDescent="0.25">
      <c r="D2922" s="1"/>
    </row>
    <row r="2923" spans="4:4" x14ac:dyDescent="0.25">
      <c r="D2923" s="1"/>
    </row>
    <row r="2924" spans="4:4" x14ac:dyDescent="0.25">
      <c r="D2924" s="1"/>
    </row>
    <row r="2925" spans="4:4" x14ac:dyDescent="0.25">
      <c r="D2925" s="1"/>
    </row>
    <row r="2926" spans="4:4" x14ac:dyDescent="0.25">
      <c r="D2926" s="1"/>
    </row>
    <row r="2927" spans="4:4" x14ac:dyDescent="0.25">
      <c r="D2927" s="1"/>
    </row>
    <row r="2928" spans="4:4" x14ac:dyDescent="0.25">
      <c r="D2928" s="1"/>
    </row>
    <row r="2929" spans="4:4" x14ac:dyDescent="0.25">
      <c r="D2929" s="1"/>
    </row>
    <row r="2930" spans="4:4" x14ac:dyDescent="0.25">
      <c r="D2930" s="1"/>
    </row>
    <row r="2931" spans="4:4" x14ac:dyDescent="0.25">
      <c r="D2931" s="1"/>
    </row>
    <row r="2932" spans="4:4" x14ac:dyDescent="0.25">
      <c r="D2932" s="1"/>
    </row>
    <row r="2933" spans="4:4" x14ac:dyDescent="0.25">
      <c r="D2933" s="1"/>
    </row>
    <row r="2934" spans="4:4" x14ac:dyDescent="0.25">
      <c r="D2934" s="1"/>
    </row>
    <row r="2935" spans="4:4" x14ac:dyDescent="0.25">
      <c r="D2935" s="1"/>
    </row>
    <row r="2936" spans="4:4" x14ac:dyDescent="0.25">
      <c r="D2936" s="1"/>
    </row>
    <row r="2937" spans="4:4" x14ac:dyDescent="0.25">
      <c r="D2937" s="1"/>
    </row>
    <row r="2938" spans="4:4" x14ac:dyDescent="0.25">
      <c r="D2938" s="1"/>
    </row>
    <row r="2939" spans="4:4" x14ac:dyDescent="0.25">
      <c r="D2939" s="1"/>
    </row>
    <row r="2940" spans="4:4" x14ac:dyDescent="0.25">
      <c r="D2940" s="1"/>
    </row>
    <row r="2941" spans="4:4" x14ac:dyDescent="0.25">
      <c r="D2941" s="1"/>
    </row>
    <row r="2942" spans="4:4" x14ac:dyDescent="0.25">
      <c r="D2942" s="1"/>
    </row>
    <row r="2943" spans="4:4" x14ac:dyDescent="0.25">
      <c r="D2943" s="1"/>
    </row>
    <row r="2944" spans="4:4" x14ac:dyDescent="0.25">
      <c r="D2944" s="1"/>
    </row>
    <row r="2945" spans="4:4" x14ac:dyDescent="0.25">
      <c r="D2945" s="1"/>
    </row>
    <row r="2946" spans="4:4" x14ac:dyDescent="0.25">
      <c r="D2946" s="1"/>
    </row>
    <row r="2947" spans="4:4" x14ac:dyDescent="0.25">
      <c r="D2947" s="1"/>
    </row>
    <row r="2948" spans="4:4" x14ac:dyDescent="0.25">
      <c r="D2948" s="1"/>
    </row>
    <row r="2949" spans="4:4" x14ac:dyDescent="0.25">
      <c r="D2949" s="1"/>
    </row>
    <row r="2950" spans="4:4" x14ac:dyDescent="0.25">
      <c r="D2950" s="1"/>
    </row>
    <row r="2951" spans="4:4" x14ac:dyDescent="0.25">
      <c r="D2951" s="1"/>
    </row>
    <row r="2952" spans="4:4" x14ac:dyDescent="0.25">
      <c r="D2952" s="1"/>
    </row>
    <row r="2953" spans="4:4" x14ac:dyDescent="0.25">
      <c r="D2953" s="1"/>
    </row>
    <row r="2954" spans="4:4" x14ac:dyDescent="0.25">
      <c r="D2954" s="1"/>
    </row>
    <row r="2955" spans="4:4" x14ac:dyDescent="0.25">
      <c r="D2955" s="1"/>
    </row>
    <row r="2956" spans="4:4" x14ac:dyDescent="0.25">
      <c r="D2956" s="1"/>
    </row>
    <row r="2957" spans="4:4" x14ac:dyDescent="0.25">
      <c r="D2957" s="1"/>
    </row>
    <row r="2958" spans="4:4" x14ac:dyDescent="0.25">
      <c r="D2958" s="1"/>
    </row>
    <row r="2959" spans="4:4" x14ac:dyDescent="0.25">
      <c r="D2959" s="1"/>
    </row>
    <row r="2960" spans="4:4" x14ac:dyDescent="0.25">
      <c r="D2960" s="1"/>
    </row>
    <row r="2961" spans="4:4" x14ac:dyDescent="0.25">
      <c r="D2961" s="1"/>
    </row>
    <row r="2962" spans="4:4" x14ac:dyDescent="0.25">
      <c r="D2962" s="1"/>
    </row>
    <row r="2963" spans="4:4" x14ac:dyDescent="0.25">
      <c r="D2963" s="1"/>
    </row>
    <row r="2964" spans="4:4" x14ac:dyDescent="0.25">
      <c r="D2964" s="1"/>
    </row>
    <row r="2965" spans="4:4" x14ac:dyDescent="0.25">
      <c r="D2965" s="1"/>
    </row>
    <row r="2966" spans="4:4" x14ac:dyDescent="0.25">
      <c r="D2966" s="1"/>
    </row>
    <row r="2967" spans="4:4" x14ac:dyDescent="0.25">
      <c r="D2967" s="1"/>
    </row>
    <row r="2968" spans="4:4" x14ac:dyDescent="0.25">
      <c r="D2968" s="1"/>
    </row>
    <row r="2969" spans="4:4" x14ac:dyDescent="0.25">
      <c r="D2969" s="1"/>
    </row>
    <row r="2970" spans="4:4" x14ac:dyDescent="0.25">
      <c r="D2970" s="1"/>
    </row>
    <row r="2971" spans="4:4" x14ac:dyDescent="0.25">
      <c r="D2971" s="1"/>
    </row>
    <row r="2972" spans="4:4" x14ac:dyDescent="0.25">
      <c r="D2972" s="1"/>
    </row>
    <row r="2973" spans="4:4" x14ac:dyDescent="0.25">
      <c r="D2973" s="1"/>
    </row>
    <row r="2974" spans="4:4" x14ac:dyDescent="0.25">
      <c r="D2974" s="1"/>
    </row>
    <row r="2975" spans="4:4" x14ac:dyDescent="0.25">
      <c r="D2975" s="1"/>
    </row>
    <row r="2976" spans="4:4" x14ac:dyDescent="0.25">
      <c r="D2976" s="1"/>
    </row>
    <row r="2977" spans="4:4" x14ac:dyDescent="0.25">
      <c r="D2977" s="1"/>
    </row>
    <row r="2978" spans="4:4" x14ac:dyDescent="0.25">
      <c r="D2978" s="1"/>
    </row>
    <row r="2979" spans="4:4" x14ac:dyDescent="0.25">
      <c r="D2979" s="1"/>
    </row>
    <row r="2980" spans="4:4" x14ac:dyDescent="0.25">
      <c r="D2980" s="1"/>
    </row>
    <row r="2981" spans="4:4" x14ac:dyDescent="0.25">
      <c r="D2981" s="1"/>
    </row>
    <row r="2982" spans="4:4" x14ac:dyDescent="0.25">
      <c r="D2982" s="1"/>
    </row>
    <row r="2983" spans="4:4" x14ac:dyDescent="0.25">
      <c r="D2983" s="1"/>
    </row>
    <row r="2984" spans="4:4" x14ac:dyDescent="0.25">
      <c r="D2984" s="1"/>
    </row>
    <row r="2985" spans="4:4" x14ac:dyDescent="0.25">
      <c r="D2985" s="1"/>
    </row>
    <row r="2986" spans="4:4" x14ac:dyDescent="0.25">
      <c r="D2986" s="1"/>
    </row>
    <row r="2987" spans="4:4" x14ac:dyDescent="0.25">
      <c r="D2987" s="1"/>
    </row>
    <row r="2988" spans="4:4" x14ac:dyDescent="0.25">
      <c r="D2988" s="1"/>
    </row>
    <row r="2989" spans="4:4" x14ac:dyDescent="0.25">
      <c r="D2989" s="1"/>
    </row>
    <row r="2990" spans="4:4" x14ac:dyDescent="0.25">
      <c r="D2990" s="1"/>
    </row>
    <row r="2991" spans="4:4" x14ac:dyDescent="0.25">
      <c r="D2991" s="1"/>
    </row>
    <row r="2992" spans="4:4" x14ac:dyDescent="0.25">
      <c r="D2992" s="1"/>
    </row>
    <row r="2993" spans="4:4" x14ac:dyDescent="0.25">
      <c r="D2993" s="1"/>
    </row>
    <row r="2994" spans="4:4" x14ac:dyDescent="0.25">
      <c r="D2994" s="1"/>
    </row>
    <row r="2995" spans="4:4" x14ac:dyDescent="0.25">
      <c r="D2995" s="1"/>
    </row>
    <row r="2996" spans="4:4" x14ac:dyDescent="0.25">
      <c r="D2996" s="1"/>
    </row>
    <row r="2997" spans="4:4" x14ac:dyDescent="0.25">
      <c r="D2997" s="1"/>
    </row>
    <row r="2998" spans="4:4" x14ac:dyDescent="0.25">
      <c r="D2998" s="1"/>
    </row>
    <row r="2999" spans="4:4" x14ac:dyDescent="0.25">
      <c r="D2999" s="1"/>
    </row>
    <row r="3000" spans="4:4" x14ac:dyDescent="0.25">
      <c r="D3000" s="1"/>
    </row>
    <row r="3001" spans="4:4" x14ac:dyDescent="0.25">
      <c r="D3001" s="1"/>
    </row>
    <row r="3002" spans="4:4" x14ac:dyDescent="0.25">
      <c r="D3002" s="1"/>
    </row>
    <row r="3003" spans="4:4" x14ac:dyDescent="0.25">
      <c r="D3003" s="1"/>
    </row>
    <row r="3004" spans="4:4" x14ac:dyDescent="0.25">
      <c r="D3004" s="1"/>
    </row>
    <row r="3005" spans="4:4" x14ac:dyDescent="0.25">
      <c r="D3005" s="1"/>
    </row>
    <row r="3006" spans="4:4" x14ac:dyDescent="0.25">
      <c r="D3006" s="1"/>
    </row>
    <row r="3007" spans="4:4" x14ac:dyDescent="0.25">
      <c r="D3007" s="1"/>
    </row>
    <row r="3008" spans="4:4" x14ac:dyDescent="0.25">
      <c r="D3008" s="1"/>
    </row>
    <row r="3009" spans="4:4" x14ac:dyDescent="0.25">
      <c r="D3009" s="1"/>
    </row>
    <row r="3010" spans="4:4" x14ac:dyDescent="0.25">
      <c r="D3010" s="1"/>
    </row>
    <row r="3011" spans="4:4" x14ac:dyDescent="0.25">
      <c r="D3011" s="1"/>
    </row>
    <row r="3012" spans="4:4" x14ac:dyDescent="0.25">
      <c r="D3012" s="1"/>
    </row>
    <row r="3013" spans="4:4" x14ac:dyDescent="0.25">
      <c r="D3013" s="1"/>
    </row>
    <row r="3014" spans="4:4" x14ac:dyDescent="0.25">
      <c r="D3014" s="1"/>
    </row>
    <row r="3015" spans="4:4" x14ac:dyDescent="0.25">
      <c r="D3015" s="1"/>
    </row>
    <row r="3016" spans="4:4" x14ac:dyDescent="0.25">
      <c r="D3016" s="1"/>
    </row>
    <row r="3017" spans="4:4" x14ac:dyDescent="0.25">
      <c r="D3017" s="1"/>
    </row>
    <row r="3018" spans="4:4" x14ac:dyDescent="0.25">
      <c r="D3018" s="1"/>
    </row>
    <row r="3019" spans="4:4" x14ac:dyDescent="0.25">
      <c r="D3019" s="1"/>
    </row>
    <row r="3020" spans="4:4" x14ac:dyDescent="0.25">
      <c r="D3020" s="1"/>
    </row>
    <row r="3021" spans="4:4" x14ac:dyDescent="0.25">
      <c r="D3021" s="1"/>
    </row>
    <row r="3022" spans="4:4" x14ac:dyDescent="0.25">
      <c r="D3022" s="1"/>
    </row>
    <row r="3023" spans="4:4" x14ac:dyDescent="0.25">
      <c r="D3023" s="1"/>
    </row>
    <row r="3024" spans="4:4" x14ac:dyDescent="0.25">
      <c r="D3024" s="1"/>
    </row>
    <row r="3025" spans="4:4" x14ac:dyDescent="0.25">
      <c r="D3025" s="1"/>
    </row>
    <row r="3026" spans="4:4" x14ac:dyDescent="0.25">
      <c r="D3026" s="1"/>
    </row>
    <row r="3027" spans="4:4" x14ac:dyDescent="0.25">
      <c r="D3027" s="1"/>
    </row>
    <row r="3028" spans="4:4" x14ac:dyDescent="0.25">
      <c r="D3028" s="1"/>
    </row>
    <row r="3029" spans="4:4" x14ac:dyDescent="0.25">
      <c r="D3029" s="1"/>
    </row>
    <row r="3030" spans="4:4" x14ac:dyDescent="0.25">
      <c r="D3030" s="1"/>
    </row>
    <row r="3031" spans="4:4" x14ac:dyDescent="0.25">
      <c r="D3031" s="1"/>
    </row>
    <row r="3032" spans="4:4" x14ac:dyDescent="0.25">
      <c r="D3032" s="1"/>
    </row>
    <row r="3033" spans="4:4" x14ac:dyDescent="0.25">
      <c r="D3033" s="1"/>
    </row>
    <row r="3034" spans="4:4" x14ac:dyDescent="0.25">
      <c r="D3034" s="1"/>
    </row>
    <row r="3035" spans="4:4" x14ac:dyDescent="0.25">
      <c r="D3035" s="1"/>
    </row>
    <row r="3036" spans="4:4" x14ac:dyDescent="0.25">
      <c r="D3036" s="1"/>
    </row>
    <row r="3037" spans="4:4" x14ac:dyDescent="0.25">
      <c r="D3037" s="1"/>
    </row>
    <row r="3038" spans="4:4" x14ac:dyDescent="0.25">
      <c r="D3038" s="1"/>
    </row>
    <row r="3039" spans="4:4" x14ac:dyDescent="0.25">
      <c r="D3039" s="1"/>
    </row>
    <row r="3040" spans="4:4" x14ac:dyDescent="0.25">
      <c r="D3040" s="1"/>
    </row>
    <row r="3041" spans="4:4" x14ac:dyDescent="0.25">
      <c r="D3041" s="1"/>
    </row>
    <row r="3042" spans="4:4" x14ac:dyDescent="0.25">
      <c r="D3042" s="1"/>
    </row>
    <row r="3043" spans="4:4" x14ac:dyDescent="0.25">
      <c r="D3043" s="1"/>
    </row>
    <row r="3044" spans="4:4" x14ac:dyDescent="0.25">
      <c r="D3044" s="1"/>
    </row>
    <row r="3045" spans="4:4" x14ac:dyDescent="0.25">
      <c r="D3045" s="1"/>
    </row>
    <row r="3046" spans="4:4" x14ac:dyDescent="0.25">
      <c r="D3046" s="1"/>
    </row>
    <row r="3047" spans="4:4" x14ac:dyDescent="0.25">
      <c r="D3047" s="1"/>
    </row>
    <row r="3048" spans="4:4" x14ac:dyDescent="0.25">
      <c r="D3048" s="1"/>
    </row>
    <row r="3049" spans="4:4" x14ac:dyDescent="0.25">
      <c r="D3049" s="1"/>
    </row>
    <row r="3050" spans="4:4" x14ac:dyDescent="0.25">
      <c r="D3050" s="1"/>
    </row>
    <row r="3051" spans="4:4" x14ac:dyDescent="0.25">
      <c r="D3051" s="1"/>
    </row>
    <row r="3052" spans="4:4" x14ac:dyDescent="0.25">
      <c r="D3052" s="1"/>
    </row>
    <row r="3053" spans="4:4" x14ac:dyDescent="0.25">
      <c r="D3053" s="1"/>
    </row>
    <row r="3054" spans="4:4" x14ac:dyDescent="0.25">
      <c r="D3054" s="1"/>
    </row>
    <row r="3055" spans="4:4" x14ac:dyDescent="0.25">
      <c r="D3055" s="1"/>
    </row>
    <row r="3056" spans="4:4" x14ac:dyDescent="0.25">
      <c r="D3056" s="1"/>
    </row>
    <row r="3057" spans="4:4" x14ac:dyDescent="0.25">
      <c r="D3057" s="1"/>
    </row>
    <row r="3058" spans="4:4" x14ac:dyDescent="0.25">
      <c r="D3058" s="1"/>
    </row>
    <row r="3059" spans="4:4" x14ac:dyDescent="0.25">
      <c r="D3059" s="1"/>
    </row>
    <row r="3060" spans="4:4" x14ac:dyDescent="0.25">
      <c r="D3060" s="1"/>
    </row>
    <row r="3061" spans="4:4" x14ac:dyDescent="0.25">
      <c r="D3061" s="1"/>
    </row>
    <row r="3062" spans="4:4" x14ac:dyDescent="0.25">
      <c r="D3062" s="1"/>
    </row>
    <row r="3063" spans="4:4" x14ac:dyDescent="0.25">
      <c r="D3063" s="1"/>
    </row>
    <row r="3064" spans="4:4" x14ac:dyDescent="0.25">
      <c r="D3064" s="1"/>
    </row>
    <row r="3065" spans="4:4" x14ac:dyDescent="0.25">
      <c r="D3065" s="1"/>
    </row>
    <row r="3066" spans="4:4" x14ac:dyDescent="0.25">
      <c r="D3066" s="1"/>
    </row>
    <row r="3067" spans="4:4" x14ac:dyDescent="0.25">
      <c r="D3067" s="1"/>
    </row>
    <row r="3068" spans="4:4" x14ac:dyDescent="0.25">
      <c r="D3068" s="1"/>
    </row>
    <row r="3069" spans="4:4" x14ac:dyDescent="0.25">
      <c r="D3069" s="1"/>
    </row>
    <row r="3070" spans="4:4" x14ac:dyDescent="0.25">
      <c r="D3070" s="1"/>
    </row>
    <row r="3071" spans="4:4" x14ac:dyDescent="0.25">
      <c r="D3071" s="1"/>
    </row>
    <row r="3072" spans="4:4" x14ac:dyDescent="0.25">
      <c r="D3072" s="1"/>
    </row>
    <row r="3073" spans="4:4" x14ac:dyDescent="0.25">
      <c r="D3073" s="1"/>
    </row>
    <row r="3074" spans="4:4" x14ac:dyDescent="0.25">
      <c r="D3074" s="1"/>
    </row>
    <row r="3075" spans="4:4" x14ac:dyDescent="0.25">
      <c r="D3075" s="1"/>
    </row>
    <row r="3076" spans="4:4" x14ac:dyDescent="0.25">
      <c r="D3076" s="1"/>
    </row>
    <row r="3077" spans="4:4" x14ac:dyDescent="0.25">
      <c r="D3077" s="1"/>
    </row>
    <row r="3078" spans="4:4" x14ac:dyDescent="0.25">
      <c r="D3078" s="1"/>
    </row>
    <row r="3079" spans="4:4" x14ac:dyDescent="0.25">
      <c r="D3079" s="1"/>
    </row>
    <row r="3080" spans="4:4" x14ac:dyDescent="0.25">
      <c r="D3080" s="1"/>
    </row>
    <row r="3081" spans="4:4" x14ac:dyDescent="0.25">
      <c r="D3081" s="1"/>
    </row>
    <row r="3082" spans="4:4" x14ac:dyDescent="0.25">
      <c r="D3082" s="1"/>
    </row>
    <row r="3083" spans="4:4" x14ac:dyDescent="0.25">
      <c r="D3083" s="1"/>
    </row>
    <row r="3084" spans="4:4" x14ac:dyDescent="0.25">
      <c r="D3084" s="1"/>
    </row>
    <row r="3085" spans="4:4" x14ac:dyDescent="0.25">
      <c r="D3085" s="1"/>
    </row>
    <row r="3086" spans="4:4" x14ac:dyDescent="0.25">
      <c r="D3086" s="1"/>
    </row>
    <row r="3087" spans="4:4" x14ac:dyDescent="0.25">
      <c r="D3087" s="1"/>
    </row>
    <row r="3088" spans="4:4" x14ac:dyDescent="0.25">
      <c r="D3088" s="1"/>
    </row>
    <row r="3089" spans="4:4" x14ac:dyDescent="0.25">
      <c r="D3089" s="1"/>
    </row>
    <row r="3090" spans="4:4" x14ac:dyDescent="0.25">
      <c r="D3090" s="1"/>
    </row>
    <row r="3091" spans="4:4" x14ac:dyDescent="0.25">
      <c r="D3091" s="1"/>
    </row>
    <row r="3092" spans="4:4" x14ac:dyDescent="0.25">
      <c r="D3092" s="1"/>
    </row>
    <row r="3093" spans="4:4" x14ac:dyDescent="0.25">
      <c r="D3093" s="1"/>
    </row>
    <row r="3094" spans="4:4" x14ac:dyDescent="0.25">
      <c r="D3094" s="1"/>
    </row>
    <row r="3095" spans="4:4" x14ac:dyDescent="0.25">
      <c r="D3095" s="1"/>
    </row>
    <row r="3096" spans="4:4" x14ac:dyDescent="0.25">
      <c r="D3096" s="1"/>
    </row>
    <row r="3097" spans="4:4" x14ac:dyDescent="0.25">
      <c r="D3097" s="1"/>
    </row>
    <row r="3098" spans="4:4" x14ac:dyDescent="0.25">
      <c r="D3098" s="1"/>
    </row>
    <row r="3099" spans="4:4" x14ac:dyDescent="0.25">
      <c r="D3099" s="1"/>
    </row>
    <row r="3100" spans="4:4" x14ac:dyDescent="0.25">
      <c r="D3100" s="1"/>
    </row>
    <row r="3101" spans="4:4" x14ac:dyDescent="0.25">
      <c r="D3101" s="1"/>
    </row>
    <row r="3102" spans="4:4" x14ac:dyDescent="0.25">
      <c r="D3102" s="1"/>
    </row>
    <row r="3103" spans="4:4" x14ac:dyDescent="0.25">
      <c r="D3103" s="1"/>
    </row>
    <row r="3104" spans="4:4" x14ac:dyDescent="0.25">
      <c r="D3104" s="1"/>
    </row>
    <row r="3105" spans="4:4" x14ac:dyDescent="0.25">
      <c r="D3105" s="1"/>
    </row>
    <row r="3106" spans="4:4" x14ac:dyDescent="0.25">
      <c r="D3106" s="1"/>
    </row>
    <row r="3107" spans="4:4" x14ac:dyDescent="0.25">
      <c r="D3107" s="1"/>
    </row>
    <row r="3108" spans="4:4" x14ac:dyDescent="0.25">
      <c r="D3108" s="1"/>
    </row>
    <row r="3109" spans="4:4" x14ac:dyDescent="0.25">
      <c r="D3109" s="1"/>
    </row>
    <row r="3110" spans="4:4" x14ac:dyDescent="0.25">
      <c r="D3110" s="1"/>
    </row>
    <row r="3111" spans="4:4" x14ac:dyDescent="0.25">
      <c r="D3111" s="1"/>
    </row>
    <row r="3112" spans="4:4" x14ac:dyDescent="0.25">
      <c r="D3112" s="1"/>
    </row>
    <row r="3113" spans="4:4" x14ac:dyDescent="0.25">
      <c r="D3113" s="1"/>
    </row>
    <row r="3114" spans="4:4" x14ac:dyDescent="0.25">
      <c r="D3114" s="1"/>
    </row>
    <row r="3115" spans="4:4" x14ac:dyDescent="0.25">
      <c r="D3115" s="1"/>
    </row>
    <row r="3116" spans="4:4" x14ac:dyDescent="0.25">
      <c r="D3116" s="1"/>
    </row>
    <row r="3117" spans="4:4" x14ac:dyDescent="0.25">
      <c r="D3117" s="1"/>
    </row>
    <row r="3118" spans="4:4" x14ac:dyDescent="0.25">
      <c r="D3118" s="1"/>
    </row>
    <row r="3119" spans="4:4" x14ac:dyDescent="0.25">
      <c r="D3119" s="1"/>
    </row>
    <row r="3120" spans="4:4" x14ac:dyDescent="0.25">
      <c r="D3120" s="1"/>
    </row>
    <row r="3121" spans="4:4" x14ac:dyDescent="0.25">
      <c r="D3121" s="1"/>
    </row>
    <row r="3122" spans="4:4" x14ac:dyDescent="0.25">
      <c r="D3122" s="1"/>
    </row>
    <row r="3123" spans="4:4" x14ac:dyDescent="0.25">
      <c r="D3123" s="1"/>
    </row>
    <row r="3124" spans="4:4" x14ac:dyDescent="0.25">
      <c r="D3124" s="1"/>
    </row>
    <row r="3125" spans="4:4" x14ac:dyDescent="0.25">
      <c r="D3125" s="1"/>
    </row>
    <row r="3126" spans="4:4" x14ac:dyDescent="0.25">
      <c r="D3126" s="1"/>
    </row>
    <row r="3127" spans="4:4" x14ac:dyDescent="0.25">
      <c r="D3127" s="1"/>
    </row>
    <row r="3128" spans="4:4" x14ac:dyDescent="0.25">
      <c r="D3128" s="1"/>
    </row>
    <row r="3129" spans="4:4" x14ac:dyDescent="0.25">
      <c r="D3129" s="1"/>
    </row>
    <row r="3130" spans="4:4" x14ac:dyDescent="0.25">
      <c r="D3130" s="1"/>
    </row>
    <row r="3131" spans="4:4" x14ac:dyDescent="0.25">
      <c r="D3131" s="1"/>
    </row>
    <row r="3132" spans="4:4" x14ac:dyDescent="0.25">
      <c r="D3132" s="1"/>
    </row>
    <row r="3133" spans="4:4" x14ac:dyDescent="0.25">
      <c r="D3133" s="1"/>
    </row>
    <row r="3134" spans="4:4" x14ac:dyDescent="0.25">
      <c r="D3134" s="1"/>
    </row>
    <row r="3135" spans="4:4" x14ac:dyDescent="0.25">
      <c r="D3135" s="1"/>
    </row>
    <row r="3136" spans="4:4" x14ac:dyDescent="0.25">
      <c r="D3136" s="1"/>
    </row>
    <row r="3137" spans="4:4" x14ac:dyDescent="0.25">
      <c r="D3137" s="1"/>
    </row>
    <row r="3138" spans="4:4" x14ac:dyDescent="0.25">
      <c r="D3138" s="1"/>
    </row>
    <row r="3139" spans="4:4" x14ac:dyDescent="0.25">
      <c r="D3139" s="1"/>
    </row>
    <row r="3140" spans="4:4" x14ac:dyDescent="0.25">
      <c r="D3140" s="1"/>
    </row>
    <row r="3141" spans="4:4" x14ac:dyDescent="0.25">
      <c r="D3141" s="1"/>
    </row>
    <row r="3142" spans="4:4" x14ac:dyDescent="0.25">
      <c r="D3142" s="1"/>
    </row>
    <row r="3143" spans="4:4" x14ac:dyDescent="0.25">
      <c r="D3143" s="1"/>
    </row>
    <row r="3144" spans="4:4" x14ac:dyDescent="0.25">
      <c r="D3144" s="1"/>
    </row>
    <row r="3145" spans="4:4" x14ac:dyDescent="0.25">
      <c r="D3145" s="1"/>
    </row>
    <row r="3146" spans="4:4" x14ac:dyDescent="0.25">
      <c r="D3146" s="1"/>
    </row>
    <row r="3147" spans="4:4" x14ac:dyDescent="0.25">
      <c r="D3147" s="1"/>
    </row>
    <row r="3148" spans="4:4" x14ac:dyDescent="0.25">
      <c r="D3148" s="1"/>
    </row>
    <row r="3149" spans="4:4" x14ac:dyDescent="0.25">
      <c r="D3149" s="1"/>
    </row>
    <row r="3150" spans="4:4" x14ac:dyDescent="0.25">
      <c r="D3150" s="1"/>
    </row>
    <row r="3151" spans="4:4" x14ac:dyDescent="0.25">
      <c r="D3151" s="1"/>
    </row>
    <row r="3152" spans="4:4" x14ac:dyDescent="0.25">
      <c r="D3152" s="1"/>
    </row>
    <row r="3153" spans="4:4" x14ac:dyDescent="0.25">
      <c r="D3153" s="1"/>
    </row>
    <row r="3154" spans="4:4" x14ac:dyDescent="0.25">
      <c r="D3154" s="1"/>
    </row>
    <row r="3155" spans="4:4" x14ac:dyDescent="0.25">
      <c r="D3155" s="1"/>
    </row>
    <row r="3156" spans="4:4" x14ac:dyDescent="0.25">
      <c r="D3156" s="1"/>
    </row>
    <row r="3157" spans="4:4" x14ac:dyDescent="0.25">
      <c r="D3157" s="1"/>
    </row>
    <row r="3158" spans="4:4" x14ac:dyDescent="0.25">
      <c r="D3158" s="1"/>
    </row>
    <row r="3159" spans="4:4" x14ac:dyDescent="0.25">
      <c r="D3159" s="1"/>
    </row>
    <row r="3160" spans="4:4" x14ac:dyDescent="0.25">
      <c r="D3160" s="1"/>
    </row>
    <row r="3161" spans="4:4" x14ac:dyDescent="0.25">
      <c r="D3161" s="1"/>
    </row>
    <row r="3162" spans="4:4" x14ac:dyDescent="0.25">
      <c r="D3162" s="1"/>
    </row>
    <row r="3163" spans="4:4" x14ac:dyDescent="0.25">
      <c r="D3163" s="1"/>
    </row>
    <row r="3164" spans="4:4" x14ac:dyDescent="0.25">
      <c r="D3164" s="1"/>
    </row>
    <row r="3165" spans="4:4" x14ac:dyDescent="0.25">
      <c r="D3165" s="1"/>
    </row>
    <row r="3166" spans="4:4" x14ac:dyDescent="0.25">
      <c r="D3166" s="1"/>
    </row>
    <row r="3167" spans="4:4" x14ac:dyDescent="0.25">
      <c r="D3167" s="1"/>
    </row>
    <row r="3168" spans="4:4" x14ac:dyDescent="0.25">
      <c r="D3168" s="1"/>
    </row>
    <row r="3169" spans="4:4" x14ac:dyDescent="0.25">
      <c r="D3169" s="1"/>
    </row>
    <row r="3170" spans="4:4" x14ac:dyDescent="0.25">
      <c r="D3170" s="1"/>
    </row>
    <row r="3171" spans="4:4" x14ac:dyDescent="0.25">
      <c r="D3171" s="1"/>
    </row>
    <row r="3172" spans="4:4" x14ac:dyDescent="0.25">
      <c r="D3172" s="1"/>
    </row>
    <row r="3173" spans="4:4" x14ac:dyDescent="0.25">
      <c r="D3173" s="1"/>
    </row>
    <row r="3174" spans="4:4" x14ac:dyDescent="0.25">
      <c r="D3174" s="1"/>
    </row>
    <row r="3175" spans="4:4" x14ac:dyDescent="0.25">
      <c r="D3175" s="1"/>
    </row>
    <row r="3176" spans="4:4" x14ac:dyDescent="0.25">
      <c r="D3176" s="1"/>
    </row>
    <row r="3177" spans="4:4" x14ac:dyDescent="0.25">
      <c r="D3177" s="1"/>
    </row>
    <row r="3178" spans="4:4" x14ac:dyDescent="0.25">
      <c r="D3178" s="1"/>
    </row>
    <row r="3179" spans="4:4" x14ac:dyDescent="0.25">
      <c r="D3179" s="1"/>
    </row>
    <row r="3180" spans="4:4" x14ac:dyDescent="0.25">
      <c r="D3180" s="1"/>
    </row>
    <row r="3181" spans="4:4" x14ac:dyDescent="0.25">
      <c r="D3181" s="1"/>
    </row>
    <row r="3182" spans="4:4" x14ac:dyDescent="0.25">
      <c r="D3182" s="1"/>
    </row>
    <row r="3183" spans="4:4" x14ac:dyDescent="0.25">
      <c r="D3183" s="1"/>
    </row>
    <row r="3184" spans="4:4" x14ac:dyDescent="0.25">
      <c r="D3184" s="1"/>
    </row>
    <row r="3185" spans="4:4" x14ac:dyDescent="0.25">
      <c r="D3185" s="1"/>
    </row>
    <row r="3186" spans="4:4" x14ac:dyDescent="0.25">
      <c r="D3186" s="1"/>
    </row>
    <row r="3187" spans="4:4" x14ac:dyDescent="0.25">
      <c r="D3187" s="1"/>
    </row>
    <row r="3188" spans="4:4" x14ac:dyDescent="0.25">
      <c r="D3188" s="1"/>
    </row>
    <row r="3189" spans="4:4" x14ac:dyDescent="0.25">
      <c r="D3189" s="1"/>
    </row>
    <row r="3190" spans="4:4" x14ac:dyDescent="0.25">
      <c r="D3190" s="1"/>
    </row>
    <row r="3191" spans="4:4" x14ac:dyDescent="0.25">
      <c r="D3191" s="1"/>
    </row>
    <row r="3192" spans="4:4" x14ac:dyDescent="0.25">
      <c r="D3192" s="1"/>
    </row>
    <row r="3193" spans="4:4" x14ac:dyDescent="0.25">
      <c r="D3193" s="1"/>
    </row>
    <row r="3194" spans="4:4" x14ac:dyDescent="0.25">
      <c r="D3194" s="1"/>
    </row>
    <row r="3195" spans="4:4" x14ac:dyDescent="0.25">
      <c r="D3195" s="1"/>
    </row>
    <row r="3196" spans="4:4" x14ac:dyDescent="0.25">
      <c r="D3196" s="1"/>
    </row>
    <row r="3197" spans="4:4" x14ac:dyDescent="0.25">
      <c r="D3197" s="1"/>
    </row>
    <row r="3198" spans="4:4" x14ac:dyDescent="0.25">
      <c r="D3198" s="1"/>
    </row>
    <row r="3199" spans="4:4" x14ac:dyDescent="0.25">
      <c r="D3199" s="1"/>
    </row>
    <row r="3200" spans="4:4" x14ac:dyDescent="0.25">
      <c r="D3200" s="1"/>
    </row>
    <row r="3201" spans="4:4" x14ac:dyDescent="0.25">
      <c r="D3201" s="1"/>
    </row>
    <row r="3202" spans="4:4" x14ac:dyDescent="0.25">
      <c r="D3202" s="1"/>
    </row>
    <row r="3203" spans="4:4" x14ac:dyDescent="0.25">
      <c r="D3203" s="1"/>
    </row>
    <row r="3204" spans="4:4" x14ac:dyDescent="0.25">
      <c r="D3204" s="1"/>
    </row>
    <row r="3205" spans="4:4" x14ac:dyDescent="0.25">
      <c r="D3205" s="1"/>
    </row>
    <row r="3206" spans="4:4" x14ac:dyDescent="0.25">
      <c r="D3206" s="1"/>
    </row>
    <row r="3207" spans="4:4" x14ac:dyDescent="0.25">
      <c r="D3207" s="1"/>
    </row>
    <row r="3208" spans="4:4" x14ac:dyDescent="0.25">
      <c r="D3208" s="1"/>
    </row>
    <row r="3209" spans="4:4" x14ac:dyDescent="0.25">
      <c r="D3209" s="1"/>
    </row>
    <row r="3210" spans="4:4" x14ac:dyDescent="0.25">
      <c r="D3210" s="1"/>
    </row>
    <row r="3211" spans="4:4" x14ac:dyDescent="0.25">
      <c r="D3211" s="1"/>
    </row>
    <row r="3212" spans="4:4" x14ac:dyDescent="0.25">
      <c r="D3212" s="1"/>
    </row>
    <row r="3213" spans="4:4" x14ac:dyDescent="0.25">
      <c r="D3213" s="1"/>
    </row>
    <row r="3214" spans="4:4" x14ac:dyDescent="0.25">
      <c r="D3214" s="1"/>
    </row>
    <row r="3215" spans="4:4" x14ac:dyDescent="0.25">
      <c r="D3215" s="1"/>
    </row>
    <row r="3216" spans="4:4" x14ac:dyDescent="0.25">
      <c r="D3216" s="1"/>
    </row>
    <row r="3217" spans="4:4" x14ac:dyDescent="0.25">
      <c r="D3217" s="1"/>
    </row>
    <row r="3218" spans="4:4" x14ac:dyDescent="0.25">
      <c r="D3218" s="1"/>
    </row>
    <row r="3219" spans="4:4" x14ac:dyDescent="0.25">
      <c r="D3219" s="1"/>
    </row>
    <row r="3220" spans="4:4" x14ac:dyDescent="0.25">
      <c r="D3220" s="1"/>
    </row>
    <row r="3221" spans="4:4" x14ac:dyDescent="0.25">
      <c r="D3221" s="1"/>
    </row>
    <row r="3222" spans="4:4" x14ac:dyDescent="0.25">
      <c r="D3222" s="1"/>
    </row>
    <row r="3223" spans="4:4" x14ac:dyDescent="0.25">
      <c r="D3223" s="1"/>
    </row>
    <row r="3224" spans="4:4" x14ac:dyDescent="0.25">
      <c r="D3224" s="1"/>
    </row>
    <row r="3225" spans="4:4" x14ac:dyDescent="0.25">
      <c r="D3225" s="1"/>
    </row>
    <row r="3226" spans="4:4" x14ac:dyDescent="0.25">
      <c r="D3226" s="1"/>
    </row>
    <row r="3227" spans="4:4" x14ac:dyDescent="0.25">
      <c r="D3227" s="1"/>
    </row>
    <row r="3228" spans="4:4" x14ac:dyDescent="0.25">
      <c r="D3228" s="1"/>
    </row>
    <row r="3229" spans="4:4" x14ac:dyDescent="0.25">
      <c r="D3229" s="1"/>
    </row>
    <row r="3230" spans="4:4" x14ac:dyDescent="0.25">
      <c r="D3230" s="1"/>
    </row>
    <row r="3231" spans="4:4" x14ac:dyDescent="0.25">
      <c r="D3231" s="1"/>
    </row>
    <row r="3232" spans="4:4" x14ac:dyDescent="0.25">
      <c r="D3232" s="1"/>
    </row>
    <row r="3233" spans="4:4" x14ac:dyDescent="0.25">
      <c r="D3233" s="1"/>
    </row>
  </sheetData>
  <pageMargins left="0.7" right="0.7" top="0.75" bottom="0.75" header="0.3" footer="0.3"/>
  <drawing r:id="rId3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33"/>
  <sheetViews>
    <sheetView workbookViewId="0">
      <selection activeCell="W10" sqref="W10"/>
    </sheetView>
  </sheetViews>
  <sheetFormatPr defaultRowHeight="15" x14ac:dyDescent="0.25"/>
  <cols>
    <col min="4" max="4" width="9.7109375" customWidth="1"/>
    <col min="5" max="5" width="7.42578125" customWidth="1"/>
    <col min="6" max="6" width="11.28515625" bestFit="1" customWidth="1"/>
    <col min="8" max="8" width="15.85546875" bestFit="1" customWidth="1"/>
    <col min="12" max="12" width="14.140625" customWidth="1"/>
    <col min="13" max="13" width="16.28515625" bestFit="1" customWidth="1"/>
    <col min="14" max="15" width="8" customWidth="1"/>
    <col min="16" max="16" width="10.85546875" customWidth="1"/>
    <col min="17" max="17" width="9.5703125" customWidth="1"/>
    <col min="18" max="18" width="11.28515625" bestFit="1" customWidth="1"/>
    <col min="22" max="22" width="14.140625" customWidth="1"/>
    <col min="23" max="23" width="16.28515625" customWidth="1"/>
    <col min="24" max="24" width="18.7109375" customWidth="1"/>
    <col min="25" max="25" width="12.7109375" customWidth="1"/>
    <col min="26" max="26" width="11.28515625" customWidth="1"/>
    <col min="27" max="27" width="11.28515625" bestFit="1" customWidth="1"/>
    <col min="36" max="36" width="10.5703125" bestFit="1" customWidth="1"/>
    <col min="37" max="38" width="11.5703125" bestFit="1" customWidth="1"/>
  </cols>
  <sheetData>
    <row r="1" spans="1:38" x14ac:dyDescent="0.25">
      <c r="D1" t="s">
        <v>38</v>
      </c>
    </row>
    <row r="4" spans="1:38" x14ac:dyDescent="0.25">
      <c r="A4" s="11" t="s">
        <v>26</v>
      </c>
      <c r="B4" s="11" t="s">
        <v>0</v>
      </c>
      <c r="C4" s="11" t="s">
        <v>1</v>
      </c>
      <c r="F4" s="11" t="s">
        <v>26</v>
      </c>
      <c r="G4" s="11" t="s">
        <v>0</v>
      </c>
      <c r="H4" s="11" t="s">
        <v>13</v>
      </c>
      <c r="L4" s="2" t="s">
        <v>11</v>
      </c>
      <c r="M4" s="2" t="s">
        <v>10</v>
      </c>
      <c r="V4" s="2" t="s">
        <v>11</v>
      </c>
      <c r="W4" s="2" t="s">
        <v>10</v>
      </c>
    </row>
    <row r="5" spans="1:38" x14ac:dyDescent="0.25">
      <c r="A5" s="10">
        <v>38353</v>
      </c>
      <c r="B5">
        <v>1751</v>
      </c>
      <c r="C5" t="s">
        <v>2</v>
      </c>
      <c r="F5" s="10">
        <v>38353</v>
      </c>
      <c r="G5">
        <v>1377</v>
      </c>
      <c r="H5" s="11" t="s">
        <v>16</v>
      </c>
      <c r="L5" s="2" t="s">
        <v>7</v>
      </c>
      <c r="M5" t="s">
        <v>3</v>
      </c>
      <c r="N5" t="s">
        <v>5</v>
      </c>
      <c r="O5" t="s">
        <v>2</v>
      </c>
      <c r="P5" t="s">
        <v>4</v>
      </c>
      <c r="Q5" t="s">
        <v>6</v>
      </c>
      <c r="R5" t="s">
        <v>9</v>
      </c>
      <c r="V5" s="2" t="s">
        <v>7</v>
      </c>
      <c r="W5" t="s">
        <v>14</v>
      </c>
      <c r="X5" t="s">
        <v>16</v>
      </c>
      <c r="Y5" t="s">
        <v>15</v>
      </c>
      <c r="Z5" t="s">
        <v>9</v>
      </c>
      <c r="AE5" t="s">
        <v>39</v>
      </c>
      <c r="AF5" t="s">
        <v>41</v>
      </c>
      <c r="AG5" t="s">
        <v>43</v>
      </c>
      <c r="AH5" t="s">
        <v>40</v>
      </c>
      <c r="AI5" t="s">
        <v>42</v>
      </c>
    </row>
    <row r="6" spans="1:38" x14ac:dyDescent="0.25">
      <c r="A6" s="10">
        <v>38353</v>
      </c>
      <c r="B6" s="11">
        <v>226</v>
      </c>
      <c r="C6" s="11" t="s">
        <v>3</v>
      </c>
      <c r="D6" s="1"/>
      <c r="F6" s="10">
        <v>38353</v>
      </c>
      <c r="G6" s="11">
        <v>44</v>
      </c>
      <c r="H6" s="11" t="s">
        <v>14</v>
      </c>
      <c r="L6" s="3">
        <v>38353</v>
      </c>
      <c r="M6" s="5">
        <v>226</v>
      </c>
      <c r="N6" s="5"/>
      <c r="O6" s="5">
        <v>1751</v>
      </c>
      <c r="P6" s="5"/>
      <c r="Q6" s="5"/>
      <c r="R6" s="5">
        <v>1977</v>
      </c>
      <c r="V6" s="3">
        <v>38353</v>
      </c>
      <c r="W6" s="5">
        <v>44</v>
      </c>
      <c r="X6" s="5">
        <v>1377</v>
      </c>
      <c r="Y6" s="5">
        <v>556</v>
      </c>
      <c r="Z6" s="5">
        <v>1977</v>
      </c>
      <c r="AD6" s="3">
        <v>39965</v>
      </c>
      <c r="AE6">
        <f>VLOOKUP(AD6,V:AA,2,0)</f>
        <v>4272</v>
      </c>
      <c r="AF6">
        <f>VLOOKUP(AD6,L:R,3,0)</f>
        <v>10383</v>
      </c>
      <c r="AG6">
        <f>AF6/AE6</f>
        <v>2.4304775280898876</v>
      </c>
      <c r="AH6">
        <f>VLOOKUP(AD6,V:AA,5,0)</f>
        <v>185672</v>
      </c>
      <c r="AI6">
        <f>VLOOKUP(AD6,L:R,7,0)</f>
        <v>185672</v>
      </c>
      <c r="AJ6" s="15">
        <f>'&gt;80 LTV'!AI6</f>
        <v>16449</v>
      </c>
      <c r="AK6" s="16">
        <f>'&lt;80 LTV'!AF6</f>
        <v>169223</v>
      </c>
      <c r="AL6" s="15">
        <f>AJ6+AK6</f>
        <v>185672</v>
      </c>
    </row>
    <row r="7" spans="1:38" x14ac:dyDescent="0.25">
      <c r="A7" s="10">
        <v>38384</v>
      </c>
      <c r="B7" s="11">
        <v>237</v>
      </c>
      <c r="C7" s="11" t="s">
        <v>3</v>
      </c>
      <c r="D7" s="1"/>
      <c r="F7" s="10">
        <v>38353</v>
      </c>
      <c r="G7" s="11">
        <v>556</v>
      </c>
      <c r="H7" s="11" t="s">
        <v>15</v>
      </c>
      <c r="L7" s="3">
        <v>38384</v>
      </c>
      <c r="M7" s="5">
        <v>237</v>
      </c>
      <c r="N7" s="5"/>
      <c r="O7" s="5">
        <v>1713</v>
      </c>
      <c r="P7" s="5"/>
      <c r="Q7" s="5"/>
      <c r="R7" s="5">
        <v>1950</v>
      </c>
      <c r="V7" s="3">
        <v>38384</v>
      </c>
      <c r="W7" s="5">
        <v>49</v>
      </c>
      <c r="X7" s="5">
        <v>1349</v>
      </c>
      <c r="Y7" s="5">
        <v>552</v>
      </c>
      <c r="Z7" s="5">
        <v>1950</v>
      </c>
      <c r="AD7" s="3">
        <v>39995</v>
      </c>
      <c r="AE7">
        <f t="shared" ref="AE7:AE70" si="0">VLOOKUP(AD7,V:AA,2,0)</f>
        <v>9557</v>
      </c>
      <c r="AF7">
        <f t="shared" ref="AF7:AF70" si="1">VLOOKUP(AD7,L:R,3,0)</f>
        <v>16311</v>
      </c>
      <c r="AG7">
        <f t="shared" ref="AG7:AG70" si="2">AF7/AE7</f>
        <v>1.7067071256670503</v>
      </c>
      <c r="AH7">
        <f t="shared" ref="AH7:AH70" si="3">VLOOKUP(AD7,V:AA,5,0)</f>
        <v>189412</v>
      </c>
      <c r="AI7">
        <f t="shared" ref="AI7:AI70" si="4">VLOOKUP(AD7,L:R,7,0)</f>
        <v>189412</v>
      </c>
      <c r="AJ7" s="15">
        <f>'&gt;80 LTV'!AI7</f>
        <v>21488</v>
      </c>
      <c r="AK7" s="16">
        <f>'&lt;80 LTV'!AF7</f>
        <v>167924</v>
      </c>
      <c r="AL7" s="15">
        <f t="shared" ref="AL7:AL70" si="5">AJ7+AK7</f>
        <v>189412</v>
      </c>
    </row>
    <row r="8" spans="1:38" x14ac:dyDescent="0.25">
      <c r="A8" s="10">
        <v>38384</v>
      </c>
      <c r="B8" s="11">
        <v>1713</v>
      </c>
      <c r="C8" s="11" t="s">
        <v>2</v>
      </c>
      <c r="D8" s="1"/>
      <c r="F8" s="10">
        <v>38384</v>
      </c>
      <c r="G8" s="11">
        <v>49</v>
      </c>
      <c r="H8" s="11" t="s">
        <v>14</v>
      </c>
      <c r="L8" s="3">
        <v>38412</v>
      </c>
      <c r="M8" s="5">
        <v>165</v>
      </c>
      <c r="N8" s="5"/>
      <c r="O8" s="5">
        <v>1379</v>
      </c>
      <c r="P8" s="5"/>
      <c r="Q8" s="5"/>
      <c r="R8" s="5">
        <v>1544</v>
      </c>
      <c r="V8" s="3">
        <v>38412</v>
      </c>
      <c r="W8" s="5">
        <v>30</v>
      </c>
      <c r="X8" s="5">
        <v>1057</v>
      </c>
      <c r="Y8" s="5">
        <v>457</v>
      </c>
      <c r="Z8" s="5">
        <v>1544</v>
      </c>
      <c r="AD8" s="3">
        <v>40026</v>
      </c>
      <c r="AE8">
        <f t="shared" si="0"/>
        <v>15810</v>
      </c>
      <c r="AF8">
        <f t="shared" si="1"/>
        <v>25480</v>
      </c>
      <c r="AG8">
        <f t="shared" si="2"/>
        <v>1.6116382036685641</v>
      </c>
      <c r="AH8">
        <f t="shared" si="3"/>
        <v>186673</v>
      </c>
      <c r="AI8">
        <f t="shared" si="4"/>
        <v>186673</v>
      </c>
      <c r="AJ8" s="15">
        <f>'&gt;80 LTV'!AI8</f>
        <v>28635</v>
      </c>
      <c r="AK8" s="16">
        <f>'&lt;80 LTV'!AF8</f>
        <v>158038</v>
      </c>
      <c r="AL8" s="15">
        <f t="shared" si="5"/>
        <v>186673</v>
      </c>
    </row>
    <row r="9" spans="1:38" x14ac:dyDescent="0.25">
      <c r="A9" s="10">
        <v>38412</v>
      </c>
      <c r="B9" s="11">
        <v>1379</v>
      </c>
      <c r="C9" s="11" t="s">
        <v>2</v>
      </c>
      <c r="D9" s="1"/>
      <c r="F9" s="10">
        <v>38384</v>
      </c>
      <c r="G9" s="11">
        <v>1349</v>
      </c>
      <c r="H9" s="11" t="s">
        <v>16</v>
      </c>
      <c r="L9" s="3">
        <v>38443</v>
      </c>
      <c r="M9" s="5">
        <v>248</v>
      </c>
      <c r="N9" s="5"/>
      <c r="O9" s="5">
        <v>1407</v>
      </c>
      <c r="P9" s="5"/>
      <c r="Q9" s="5"/>
      <c r="R9" s="5">
        <v>1655</v>
      </c>
      <c r="V9" s="3">
        <v>38443</v>
      </c>
      <c r="W9" s="5">
        <v>35</v>
      </c>
      <c r="X9" s="5">
        <v>1032</v>
      </c>
      <c r="Y9" s="5">
        <v>588</v>
      </c>
      <c r="Z9" s="5">
        <v>1655</v>
      </c>
      <c r="AD9" s="3">
        <v>40057</v>
      </c>
      <c r="AE9">
        <f t="shared" si="0"/>
        <v>14494</v>
      </c>
      <c r="AF9">
        <f t="shared" si="1"/>
        <v>22620</v>
      </c>
      <c r="AG9">
        <f t="shared" si="2"/>
        <v>1.5606457844625363</v>
      </c>
      <c r="AH9">
        <f t="shared" si="3"/>
        <v>151563</v>
      </c>
      <c r="AI9">
        <f t="shared" si="4"/>
        <v>151563</v>
      </c>
      <c r="AJ9" s="15">
        <f>'&gt;80 LTV'!AI9</f>
        <v>26615</v>
      </c>
      <c r="AK9" s="16">
        <f>'&lt;80 LTV'!AF9</f>
        <v>124948</v>
      </c>
      <c r="AL9" s="15">
        <f t="shared" si="5"/>
        <v>151563</v>
      </c>
    </row>
    <row r="10" spans="1:38" x14ac:dyDescent="0.25">
      <c r="A10" s="10">
        <v>38412</v>
      </c>
      <c r="B10" s="11">
        <v>165</v>
      </c>
      <c r="C10" s="11" t="s">
        <v>3</v>
      </c>
      <c r="D10" s="1"/>
      <c r="F10" s="10">
        <v>38384</v>
      </c>
      <c r="G10" s="11">
        <v>552</v>
      </c>
      <c r="H10" s="11" t="s">
        <v>15</v>
      </c>
      <c r="L10" s="3">
        <v>38473</v>
      </c>
      <c r="M10" s="5">
        <v>357</v>
      </c>
      <c r="N10" s="5"/>
      <c r="O10" s="5">
        <v>1954</v>
      </c>
      <c r="P10" s="5"/>
      <c r="Q10" s="5"/>
      <c r="R10" s="5">
        <v>2311</v>
      </c>
      <c r="V10" s="3">
        <v>38473</v>
      </c>
      <c r="W10" s="5">
        <v>28</v>
      </c>
      <c r="X10" s="5">
        <v>1386</v>
      </c>
      <c r="Y10" s="5">
        <v>897</v>
      </c>
      <c r="Z10" s="5">
        <v>2311</v>
      </c>
      <c r="AD10" s="3">
        <v>40087</v>
      </c>
      <c r="AE10">
        <f t="shared" si="0"/>
        <v>9396</v>
      </c>
      <c r="AF10">
        <f t="shared" si="1"/>
        <v>16406</v>
      </c>
      <c r="AG10">
        <f t="shared" si="2"/>
        <v>1.7460621541081311</v>
      </c>
      <c r="AH10">
        <f t="shared" si="3"/>
        <v>103953</v>
      </c>
      <c r="AI10">
        <f t="shared" si="4"/>
        <v>103953</v>
      </c>
      <c r="AJ10" s="15">
        <f>'&gt;80 LTV'!AI10</f>
        <v>18752</v>
      </c>
      <c r="AK10" s="16">
        <f>'&lt;80 LTV'!AF10</f>
        <v>85201</v>
      </c>
      <c r="AL10" s="15">
        <f t="shared" si="5"/>
        <v>103953</v>
      </c>
    </row>
    <row r="11" spans="1:38" x14ac:dyDescent="0.25">
      <c r="A11" s="10">
        <v>38443</v>
      </c>
      <c r="B11" s="11">
        <v>248</v>
      </c>
      <c r="C11" s="11" t="s">
        <v>3</v>
      </c>
      <c r="D11" s="1"/>
      <c r="F11" s="10">
        <v>38412</v>
      </c>
      <c r="G11" s="11">
        <v>457</v>
      </c>
      <c r="H11" s="11" t="s">
        <v>15</v>
      </c>
      <c r="L11" s="3">
        <v>38504</v>
      </c>
      <c r="M11" s="5">
        <v>256</v>
      </c>
      <c r="N11" s="5"/>
      <c r="O11" s="5">
        <v>2080</v>
      </c>
      <c r="P11" s="5"/>
      <c r="Q11" s="5"/>
      <c r="R11" s="5">
        <v>2336</v>
      </c>
      <c r="V11" s="3">
        <v>38504</v>
      </c>
      <c r="W11" s="5">
        <v>16</v>
      </c>
      <c r="X11" s="5">
        <v>1574</v>
      </c>
      <c r="Y11" s="5">
        <v>746</v>
      </c>
      <c r="Z11" s="5">
        <v>2336</v>
      </c>
      <c r="AD11" s="3">
        <v>40118</v>
      </c>
      <c r="AE11">
        <f t="shared" si="0"/>
        <v>7014</v>
      </c>
      <c r="AF11">
        <f t="shared" si="1"/>
        <v>13051</v>
      </c>
      <c r="AG11">
        <f t="shared" si="2"/>
        <v>1.8607071571143428</v>
      </c>
      <c r="AH11">
        <f t="shared" si="3"/>
        <v>92855</v>
      </c>
      <c r="AI11">
        <f t="shared" si="4"/>
        <v>92855</v>
      </c>
      <c r="AJ11" s="15">
        <f>'&gt;80 LTV'!AI11</f>
        <v>15438</v>
      </c>
      <c r="AK11" s="16">
        <f>'&lt;80 LTV'!AF11</f>
        <v>77417</v>
      </c>
      <c r="AL11" s="15">
        <f t="shared" si="5"/>
        <v>92855</v>
      </c>
    </row>
    <row r="12" spans="1:38" x14ac:dyDescent="0.25">
      <c r="A12" s="10">
        <v>38443</v>
      </c>
      <c r="B12" s="11">
        <v>1407</v>
      </c>
      <c r="C12" s="11" t="s">
        <v>2</v>
      </c>
      <c r="D12" s="1"/>
      <c r="F12" s="10">
        <v>38412</v>
      </c>
      <c r="G12" s="11">
        <v>30</v>
      </c>
      <c r="H12" s="11" t="s">
        <v>14</v>
      </c>
      <c r="L12" s="3">
        <v>38534</v>
      </c>
      <c r="M12" s="5">
        <v>314</v>
      </c>
      <c r="N12" s="5"/>
      <c r="O12" s="5">
        <v>2676</v>
      </c>
      <c r="P12" s="5"/>
      <c r="Q12" s="5"/>
      <c r="R12" s="5">
        <v>2990</v>
      </c>
      <c r="V12" s="3">
        <v>38534</v>
      </c>
      <c r="W12" s="5">
        <v>39</v>
      </c>
      <c r="X12" s="5">
        <v>2085</v>
      </c>
      <c r="Y12" s="5">
        <v>866</v>
      </c>
      <c r="Z12" s="5">
        <v>2990</v>
      </c>
      <c r="AD12" s="3">
        <v>40148</v>
      </c>
      <c r="AE12">
        <f t="shared" si="0"/>
        <v>9189</v>
      </c>
      <c r="AF12">
        <f t="shared" si="1"/>
        <v>18179</v>
      </c>
      <c r="AG12">
        <f t="shared" si="2"/>
        <v>1.978343671781478</v>
      </c>
      <c r="AH12">
        <f t="shared" si="3"/>
        <v>107465</v>
      </c>
      <c r="AI12">
        <f t="shared" si="4"/>
        <v>107465</v>
      </c>
      <c r="AJ12" s="15">
        <f>'&gt;80 LTV'!AI12</f>
        <v>18116</v>
      </c>
      <c r="AK12" s="16">
        <f>'&lt;80 LTV'!AF12</f>
        <v>89349</v>
      </c>
      <c r="AL12" s="15">
        <f t="shared" si="5"/>
        <v>107465</v>
      </c>
    </row>
    <row r="13" spans="1:38" x14ac:dyDescent="0.25">
      <c r="A13" s="10">
        <v>38473</v>
      </c>
      <c r="B13" s="11">
        <v>357</v>
      </c>
      <c r="C13" s="11" t="s">
        <v>3</v>
      </c>
      <c r="D13" s="1"/>
      <c r="F13" s="10">
        <v>38412</v>
      </c>
      <c r="G13" s="11">
        <v>1057</v>
      </c>
      <c r="H13" s="11" t="s">
        <v>16</v>
      </c>
      <c r="L13" s="3">
        <v>38565</v>
      </c>
      <c r="M13" s="5">
        <v>373</v>
      </c>
      <c r="N13" s="5"/>
      <c r="O13" s="5">
        <v>3213</v>
      </c>
      <c r="P13" s="5"/>
      <c r="Q13" s="5"/>
      <c r="R13" s="5">
        <v>3586</v>
      </c>
      <c r="V13" s="3">
        <v>38565</v>
      </c>
      <c r="W13" s="5">
        <v>57</v>
      </c>
      <c r="X13" s="5">
        <v>2462</v>
      </c>
      <c r="Y13" s="5">
        <v>1067</v>
      </c>
      <c r="Z13" s="5">
        <v>3586</v>
      </c>
      <c r="AD13" s="3">
        <v>40179</v>
      </c>
      <c r="AE13">
        <f t="shared" si="0"/>
        <v>11722</v>
      </c>
      <c r="AF13">
        <f t="shared" si="1"/>
        <v>23590</v>
      </c>
      <c r="AG13">
        <f t="shared" si="2"/>
        <v>2.0124552124210884</v>
      </c>
      <c r="AH13">
        <f t="shared" si="3"/>
        <v>111542</v>
      </c>
      <c r="AI13">
        <f t="shared" si="4"/>
        <v>111542</v>
      </c>
      <c r="AJ13" s="15">
        <f>'&gt;80 LTV'!AI13</f>
        <v>20516</v>
      </c>
      <c r="AK13" s="16">
        <f>'&lt;80 LTV'!AF13</f>
        <v>91026</v>
      </c>
      <c r="AL13" s="15">
        <f t="shared" si="5"/>
        <v>111542</v>
      </c>
    </row>
    <row r="14" spans="1:38" x14ac:dyDescent="0.25">
      <c r="A14" s="10">
        <v>38473</v>
      </c>
      <c r="B14" s="11">
        <v>1954</v>
      </c>
      <c r="C14" s="11" t="s">
        <v>2</v>
      </c>
      <c r="D14" s="1"/>
      <c r="F14" s="10">
        <v>38443</v>
      </c>
      <c r="G14" s="11">
        <v>35</v>
      </c>
      <c r="H14" s="11" t="s">
        <v>14</v>
      </c>
      <c r="L14" s="3">
        <v>38596</v>
      </c>
      <c r="M14" s="5">
        <v>618</v>
      </c>
      <c r="N14" s="5"/>
      <c r="O14" s="5">
        <v>4049</v>
      </c>
      <c r="P14" s="5"/>
      <c r="Q14" s="5"/>
      <c r="R14" s="5">
        <v>4667</v>
      </c>
      <c r="V14" s="3">
        <v>38596</v>
      </c>
      <c r="W14" s="5">
        <v>49</v>
      </c>
      <c r="X14" s="5">
        <v>2834</v>
      </c>
      <c r="Y14" s="5">
        <v>1784</v>
      </c>
      <c r="Z14" s="5">
        <v>4667</v>
      </c>
      <c r="AD14" s="3">
        <v>40210</v>
      </c>
      <c r="AE14">
        <f t="shared" si="0"/>
        <v>13737</v>
      </c>
      <c r="AF14">
        <f t="shared" si="1"/>
        <v>26564</v>
      </c>
      <c r="AG14">
        <f t="shared" si="2"/>
        <v>1.9337555507024824</v>
      </c>
      <c r="AH14">
        <f t="shared" si="3"/>
        <v>111108</v>
      </c>
      <c r="AI14">
        <f t="shared" si="4"/>
        <v>111108</v>
      </c>
      <c r="AJ14" s="15">
        <f>'&gt;80 LTV'!AI14</f>
        <v>20379</v>
      </c>
      <c r="AK14" s="16">
        <f>'&lt;80 LTV'!AF14</f>
        <v>90729</v>
      </c>
      <c r="AL14" s="15">
        <f t="shared" si="5"/>
        <v>111108</v>
      </c>
    </row>
    <row r="15" spans="1:38" x14ac:dyDescent="0.25">
      <c r="A15" s="10">
        <v>38504</v>
      </c>
      <c r="B15" s="11">
        <v>256</v>
      </c>
      <c r="C15" s="11" t="s">
        <v>3</v>
      </c>
      <c r="D15" s="1"/>
      <c r="F15" s="10">
        <v>38443</v>
      </c>
      <c r="G15" s="11">
        <v>1032</v>
      </c>
      <c r="H15" s="11" t="s">
        <v>16</v>
      </c>
      <c r="L15" s="3">
        <v>38626</v>
      </c>
      <c r="M15" s="5">
        <v>996</v>
      </c>
      <c r="N15" s="5"/>
      <c r="O15" s="5">
        <v>7482</v>
      </c>
      <c r="P15" s="5"/>
      <c r="Q15" s="5"/>
      <c r="R15" s="5">
        <v>8478</v>
      </c>
      <c r="V15" s="3">
        <v>38626</v>
      </c>
      <c r="W15" s="5">
        <v>112</v>
      </c>
      <c r="X15" s="5">
        <v>4949</v>
      </c>
      <c r="Y15" s="5">
        <v>3417</v>
      </c>
      <c r="Z15" s="5">
        <v>8478</v>
      </c>
      <c r="AD15" s="3">
        <v>40238</v>
      </c>
      <c r="AE15">
        <f t="shared" si="0"/>
        <v>12676</v>
      </c>
      <c r="AF15">
        <f t="shared" si="1"/>
        <v>24648</v>
      </c>
      <c r="AG15">
        <f t="shared" si="2"/>
        <v>1.9444619753865573</v>
      </c>
      <c r="AH15">
        <f t="shared" si="3"/>
        <v>93512</v>
      </c>
      <c r="AI15">
        <f t="shared" si="4"/>
        <v>93512</v>
      </c>
      <c r="AJ15" s="15">
        <f>'&gt;80 LTV'!AI15</f>
        <v>17708</v>
      </c>
      <c r="AK15" s="16">
        <f>'&lt;80 LTV'!AF15</f>
        <v>75804</v>
      </c>
      <c r="AL15" s="15">
        <f t="shared" si="5"/>
        <v>93512</v>
      </c>
    </row>
    <row r="16" spans="1:38" x14ac:dyDescent="0.25">
      <c r="A16" s="10">
        <v>38504</v>
      </c>
      <c r="B16" s="11">
        <v>2080</v>
      </c>
      <c r="C16" s="11" t="s">
        <v>2</v>
      </c>
      <c r="D16" s="1"/>
      <c r="F16" s="10">
        <v>38443</v>
      </c>
      <c r="G16" s="11">
        <v>588</v>
      </c>
      <c r="H16" s="11" t="s">
        <v>15</v>
      </c>
      <c r="L16" s="3">
        <v>38657</v>
      </c>
      <c r="M16" s="5">
        <v>2199</v>
      </c>
      <c r="N16" s="5"/>
      <c r="O16" s="5">
        <v>15992</v>
      </c>
      <c r="P16" s="5"/>
      <c r="Q16" s="5"/>
      <c r="R16" s="5">
        <v>18191</v>
      </c>
      <c r="V16" s="3">
        <v>38657</v>
      </c>
      <c r="W16" s="5">
        <v>243</v>
      </c>
      <c r="X16" s="5">
        <v>9243</v>
      </c>
      <c r="Y16" s="5">
        <v>8705</v>
      </c>
      <c r="Z16" s="5">
        <v>18191</v>
      </c>
      <c r="AD16" s="3">
        <v>40269</v>
      </c>
      <c r="AE16">
        <f t="shared" si="0"/>
        <v>9563</v>
      </c>
      <c r="AF16">
        <f t="shared" si="1"/>
        <v>17440</v>
      </c>
      <c r="AG16">
        <f t="shared" si="2"/>
        <v>1.8236954930461153</v>
      </c>
      <c r="AH16">
        <f t="shared" si="3"/>
        <v>77852</v>
      </c>
      <c r="AI16">
        <f t="shared" si="4"/>
        <v>77852</v>
      </c>
      <c r="AJ16" s="15">
        <f>'&gt;80 LTV'!AI16</f>
        <v>14556</v>
      </c>
      <c r="AK16" s="16">
        <f>'&lt;80 LTV'!AF16</f>
        <v>63296</v>
      </c>
      <c r="AL16" s="15">
        <f t="shared" si="5"/>
        <v>77852</v>
      </c>
    </row>
    <row r="17" spans="1:38" x14ac:dyDescent="0.25">
      <c r="A17" s="10">
        <v>38534</v>
      </c>
      <c r="B17" s="11">
        <v>2676</v>
      </c>
      <c r="C17" s="11" t="s">
        <v>2</v>
      </c>
      <c r="D17" s="1"/>
      <c r="F17" s="10">
        <v>38473</v>
      </c>
      <c r="G17" s="11">
        <v>28</v>
      </c>
      <c r="H17" s="11" t="s">
        <v>14</v>
      </c>
      <c r="L17" s="3">
        <v>38687</v>
      </c>
      <c r="M17" s="5">
        <v>9660</v>
      </c>
      <c r="N17" s="5"/>
      <c r="O17" s="5">
        <v>58394</v>
      </c>
      <c r="P17" s="5"/>
      <c r="Q17" s="5"/>
      <c r="R17" s="5">
        <v>68054</v>
      </c>
      <c r="V17" s="3">
        <v>38687</v>
      </c>
      <c r="W17" s="5">
        <v>989</v>
      </c>
      <c r="X17" s="5">
        <v>31357</v>
      </c>
      <c r="Y17" s="5">
        <v>35708</v>
      </c>
      <c r="Z17" s="5">
        <v>68054</v>
      </c>
      <c r="AD17" s="3">
        <v>40299</v>
      </c>
      <c r="AE17">
        <f t="shared" si="0"/>
        <v>11244</v>
      </c>
      <c r="AF17">
        <f t="shared" si="1"/>
        <v>21045</v>
      </c>
      <c r="AG17">
        <f t="shared" si="2"/>
        <v>1.8716648879402349</v>
      </c>
      <c r="AH17">
        <f t="shared" si="3"/>
        <v>84250</v>
      </c>
      <c r="AI17">
        <f t="shared" si="4"/>
        <v>84250</v>
      </c>
      <c r="AJ17" s="15">
        <f>'&gt;80 LTV'!AI17</f>
        <v>17676</v>
      </c>
      <c r="AK17" s="16">
        <f>'&lt;80 LTV'!AF17</f>
        <v>66574</v>
      </c>
      <c r="AL17" s="15">
        <f t="shared" si="5"/>
        <v>84250</v>
      </c>
    </row>
    <row r="18" spans="1:38" x14ac:dyDescent="0.25">
      <c r="A18" s="10">
        <v>38534</v>
      </c>
      <c r="B18" s="11">
        <v>314</v>
      </c>
      <c r="C18" s="11" t="s">
        <v>3</v>
      </c>
      <c r="D18" s="1"/>
      <c r="F18" s="10">
        <v>38473</v>
      </c>
      <c r="G18" s="11">
        <v>897</v>
      </c>
      <c r="H18" s="11" t="s">
        <v>15</v>
      </c>
      <c r="L18" s="3">
        <v>38718</v>
      </c>
      <c r="M18" s="5">
        <v>14686</v>
      </c>
      <c r="N18" s="5"/>
      <c r="O18" s="5">
        <v>96347</v>
      </c>
      <c r="P18" s="5"/>
      <c r="Q18" s="5"/>
      <c r="R18" s="5">
        <v>111033</v>
      </c>
      <c r="V18" s="3">
        <v>38718</v>
      </c>
      <c r="W18" s="5">
        <v>1688</v>
      </c>
      <c r="X18" s="5">
        <v>53714</v>
      </c>
      <c r="Y18" s="5">
        <v>55631</v>
      </c>
      <c r="Z18" s="5">
        <v>111033</v>
      </c>
      <c r="AD18" s="3">
        <v>40330</v>
      </c>
      <c r="AE18">
        <f t="shared" si="0"/>
        <v>10360</v>
      </c>
      <c r="AF18">
        <f t="shared" si="1"/>
        <v>19445</v>
      </c>
      <c r="AG18">
        <f t="shared" si="2"/>
        <v>1.876930501930502</v>
      </c>
      <c r="AH18">
        <f t="shared" si="3"/>
        <v>83743</v>
      </c>
      <c r="AI18">
        <f t="shared" si="4"/>
        <v>83743</v>
      </c>
      <c r="AJ18" s="15">
        <f>'&gt;80 LTV'!AI18</f>
        <v>17842</v>
      </c>
      <c r="AK18" s="16">
        <f>'&lt;80 LTV'!AF18</f>
        <v>65901</v>
      </c>
      <c r="AL18" s="15">
        <f t="shared" si="5"/>
        <v>83743</v>
      </c>
    </row>
    <row r="19" spans="1:38" x14ac:dyDescent="0.25">
      <c r="A19" s="10">
        <v>38565</v>
      </c>
      <c r="B19" s="11">
        <v>373</v>
      </c>
      <c r="C19" s="11" t="s">
        <v>3</v>
      </c>
      <c r="D19" s="1"/>
      <c r="F19" s="10">
        <v>38473</v>
      </c>
      <c r="G19" s="11">
        <v>1386</v>
      </c>
      <c r="H19" s="11" t="s">
        <v>16</v>
      </c>
      <c r="L19" s="3">
        <v>38749</v>
      </c>
      <c r="M19" s="5">
        <v>13545</v>
      </c>
      <c r="N19" s="5"/>
      <c r="O19" s="5">
        <v>93070</v>
      </c>
      <c r="P19" s="5"/>
      <c r="Q19" s="5"/>
      <c r="R19" s="5">
        <v>106615</v>
      </c>
      <c r="V19" s="3">
        <v>38749</v>
      </c>
      <c r="W19" s="5">
        <v>1651</v>
      </c>
      <c r="X19" s="5">
        <v>53483</v>
      </c>
      <c r="Y19" s="5">
        <v>51481</v>
      </c>
      <c r="Z19" s="5">
        <v>106615</v>
      </c>
      <c r="AD19" s="3">
        <v>40360</v>
      </c>
      <c r="AE19">
        <f t="shared" si="0"/>
        <v>7944</v>
      </c>
      <c r="AF19">
        <f t="shared" si="1"/>
        <v>15205</v>
      </c>
      <c r="AG19">
        <f t="shared" si="2"/>
        <v>1.9140231621349446</v>
      </c>
      <c r="AH19">
        <f t="shared" si="3"/>
        <v>78605</v>
      </c>
      <c r="AI19">
        <f t="shared" si="4"/>
        <v>78605</v>
      </c>
      <c r="AJ19" s="15">
        <f>'&gt;80 LTV'!AI19</f>
        <v>15981</v>
      </c>
      <c r="AK19" s="16">
        <f>'&lt;80 LTV'!AF19</f>
        <v>62624</v>
      </c>
      <c r="AL19" s="15">
        <f t="shared" si="5"/>
        <v>78605</v>
      </c>
    </row>
    <row r="20" spans="1:38" x14ac:dyDescent="0.25">
      <c r="A20" s="10">
        <v>38565</v>
      </c>
      <c r="B20" s="11">
        <v>3213</v>
      </c>
      <c r="C20" s="11" t="s">
        <v>2</v>
      </c>
      <c r="D20" s="1"/>
      <c r="F20" s="10">
        <v>38504</v>
      </c>
      <c r="G20" s="11">
        <v>16</v>
      </c>
      <c r="H20" s="11" t="s">
        <v>14</v>
      </c>
      <c r="L20" s="3">
        <v>38777</v>
      </c>
      <c r="M20" s="5">
        <v>12672</v>
      </c>
      <c r="N20" s="5"/>
      <c r="O20" s="5">
        <v>77021</v>
      </c>
      <c r="P20" s="5"/>
      <c r="Q20" s="5"/>
      <c r="R20" s="5">
        <v>89693</v>
      </c>
      <c r="V20" s="3">
        <v>38777</v>
      </c>
      <c r="W20" s="5">
        <v>1455</v>
      </c>
      <c r="X20" s="5">
        <v>41293</v>
      </c>
      <c r="Y20" s="5">
        <v>46945</v>
      </c>
      <c r="Z20" s="5">
        <v>89693</v>
      </c>
      <c r="AD20" s="3">
        <v>40391</v>
      </c>
      <c r="AE20">
        <f t="shared" si="0"/>
        <v>10171</v>
      </c>
      <c r="AF20">
        <f t="shared" si="1"/>
        <v>21345</v>
      </c>
      <c r="AG20">
        <f t="shared" si="2"/>
        <v>2.0986137056336642</v>
      </c>
      <c r="AH20">
        <f t="shared" si="3"/>
        <v>92849</v>
      </c>
      <c r="AI20">
        <f t="shared" si="4"/>
        <v>92849</v>
      </c>
      <c r="AJ20" s="15">
        <f>'&gt;80 LTV'!AI20</f>
        <v>19168</v>
      </c>
      <c r="AK20" s="16">
        <f>'&lt;80 LTV'!AF20</f>
        <v>73681</v>
      </c>
      <c r="AL20" s="15">
        <f t="shared" si="5"/>
        <v>92849</v>
      </c>
    </row>
    <row r="21" spans="1:38" x14ac:dyDescent="0.25">
      <c r="A21" s="10">
        <v>38596</v>
      </c>
      <c r="B21" s="11">
        <v>4049</v>
      </c>
      <c r="C21" s="11" t="s">
        <v>2</v>
      </c>
      <c r="D21" s="1"/>
      <c r="F21" s="10">
        <v>38504</v>
      </c>
      <c r="G21" s="11">
        <v>1574</v>
      </c>
      <c r="H21" s="11" t="s">
        <v>16</v>
      </c>
      <c r="L21" s="3">
        <v>38808</v>
      </c>
      <c r="M21" s="5">
        <v>13588</v>
      </c>
      <c r="N21" s="5"/>
      <c r="O21" s="5">
        <v>86488</v>
      </c>
      <c r="P21" s="5"/>
      <c r="Q21" s="5"/>
      <c r="R21" s="5">
        <v>100076</v>
      </c>
      <c r="V21" s="3">
        <v>38808</v>
      </c>
      <c r="W21" s="5">
        <v>1447</v>
      </c>
      <c r="X21" s="5">
        <v>46473</v>
      </c>
      <c r="Y21" s="5">
        <v>52156</v>
      </c>
      <c r="Z21" s="5">
        <v>100076</v>
      </c>
      <c r="AD21" s="3">
        <v>40422</v>
      </c>
      <c r="AE21">
        <f t="shared" si="0"/>
        <v>12608</v>
      </c>
      <c r="AF21">
        <f t="shared" si="1"/>
        <v>28168</v>
      </c>
      <c r="AG21">
        <f t="shared" si="2"/>
        <v>2.2341370558375635</v>
      </c>
      <c r="AH21">
        <f t="shared" si="3"/>
        <v>90818</v>
      </c>
      <c r="AI21">
        <f t="shared" si="4"/>
        <v>90818</v>
      </c>
      <c r="AJ21" s="15">
        <f>'&gt;80 LTV'!AI21</f>
        <v>18971</v>
      </c>
      <c r="AK21" s="16">
        <f>'&lt;80 LTV'!AF21</f>
        <v>71847</v>
      </c>
      <c r="AL21" s="15">
        <f t="shared" si="5"/>
        <v>90818</v>
      </c>
    </row>
    <row r="22" spans="1:38" x14ac:dyDescent="0.25">
      <c r="A22" s="10">
        <v>38596</v>
      </c>
      <c r="B22" s="11">
        <v>618</v>
      </c>
      <c r="C22" s="11" t="s">
        <v>3</v>
      </c>
      <c r="D22" s="1"/>
      <c r="F22" s="10">
        <v>38504</v>
      </c>
      <c r="G22" s="11">
        <v>746</v>
      </c>
      <c r="H22" s="11" t="s">
        <v>15</v>
      </c>
      <c r="L22" s="3">
        <v>38838</v>
      </c>
      <c r="M22" s="5">
        <v>13902</v>
      </c>
      <c r="N22" s="5"/>
      <c r="O22" s="5">
        <v>99743</v>
      </c>
      <c r="P22" s="5"/>
      <c r="Q22" s="5"/>
      <c r="R22" s="5">
        <v>113645</v>
      </c>
      <c r="V22" s="3">
        <v>38838</v>
      </c>
      <c r="W22" s="5">
        <v>1400</v>
      </c>
      <c r="X22" s="5">
        <v>57551</v>
      </c>
      <c r="Y22" s="5">
        <v>54694</v>
      </c>
      <c r="Z22" s="5">
        <v>113645</v>
      </c>
      <c r="AD22" s="3">
        <v>40452</v>
      </c>
      <c r="AE22">
        <f t="shared" si="0"/>
        <v>14205</v>
      </c>
      <c r="AF22">
        <f t="shared" si="1"/>
        <v>33340</v>
      </c>
      <c r="AG22">
        <f t="shared" si="2"/>
        <v>2.3470608940513902</v>
      </c>
      <c r="AH22">
        <f t="shared" si="3"/>
        <v>104891</v>
      </c>
      <c r="AI22">
        <f t="shared" si="4"/>
        <v>104891</v>
      </c>
      <c r="AJ22" s="15">
        <f>'&gt;80 LTV'!AI22</f>
        <v>21287</v>
      </c>
      <c r="AK22" s="16">
        <f>'&lt;80 LTV'!AF22</f>
        <v>83604</v>
      </c>
      <c r="AL22" s="15">
        <f t="shared" si="5"/>
        <v>104891</v>
      </c>
    </row>
    <row r="23" spans="1:38" x14ac:dyDescent="0.25">
      <c r="A23" s="10">
        <v>38626</v>
      </c>
      <c r="B23" s="11">
        <v>7482</v>
      </c>
      <c r="C23" s="11" t="s">
        <v>2</v>
      </c>
      <c r="D23" s="1"/>
      <c r="F23" s="10">
        <v>38534</v>
      </c>
      <c r="G23" s="11">
        <v>866</v>
      </c>
      <c r="H23" s="11" t="s">
        <v>15</v>
      </c>
      <c r="L23" s="3">
        <v>38869</v>
      </c>
      <c r="M23" s="5">
        <v>12297</v>
      </c>
      <c r="N23" s="5"/>
      <c r="O23" s="5">
        <v>94688</v>
      </c>
      <c r="P23" s="5"/>
      <c r="Q23" s="5"/>
      <c r="R23" s="5">
        <v>106985</v>
      </c>
      <c r="V23" s="3">
        <v>38869</v>
      </c>
      <c r="W23" s="5">
        <v>1389</v>
      </c>
      <c r="X23" s="5">
        <v>58541</v>
      </c>
      <c r="Y23" s="5">
        <v>47055</v>
      </c>
      <c r="Z23" s="5">
        <v>106985</v>
      </c>
      <c r="AD23" s="3">
        <v>40483</v>
      </c>
      <c r="AE23">
        <f t="shared" si="0"/>
        <v>15045</v>
      </c>
      <c r="AF23">
        <f t="shared" si="1"/>
        <v>38106</v>
      </c>
      <c r="AG23">
        <f t="shared" si="2"/>
        <v>2.532801595214357</v>
      </c>
      <c r="AH23">
        <f t="shared" si="3"/>
        <v>106426</v>
      </c>
      <c r="AI23">
        <f t="shared" si="4"/>
        <v>106426</v>
      </c>
      <c r="AJ23" s="15">
        <f>'&gt;80 LTV'!AI23</f>
        <v>22277</v>
      </c>
      <c r="AK23" s="16">
        <f>'&lt;80 LTV'!AF23</f>
        <v>84149</v>
      </c>
      <c r="AL23" s="15">
        <f t="shared" si="5"/>
        <v>106426</v>
      </c>
    </row>
    <row r="24" spans="1:38" x14ac:dyDescent="0.25">
      <c r="A24" s="10">
        <v>38626</v>
      </c>
      <c r="B24" s="11">
        <v>996</v>
      </c>
      <c r="C24" s="11" t="s">
        <v>3</v>
      </c>
      <c r="D24" s="1"/>
      <c r="F24" s="10">
        <v>38534</v>
      </c>
      <c r="G24" s="11">
        <v>2085</v>
      </c>
      <c r="H24" s="11" t="s">
        <v>16</v>
      </c>
      <c r="L24" s="3">
        <v>38899</v>
      </c>
      <c r="M24" s="5">
        <v>11912</v>
      </c>
      <c r="N24" s="5"/>
      <c r="O24" s="5">
        <v>102712</v>
      </c>
      <c r="P24" s="5"/>
      <c r="Q24" s="5"/>
      <c r="R24" s="5">
        <v>114624</v>
      </c>
      <c r="V24" s="3">
        <v>38899</v>
      </c>
      <c r="W24" s="5">
        <v>1405</v>
      </c>
      <c r="X24" s="5">
        <v>67928</v>
      </c>
      <c r="Y24" s="5">
        <v>45291</v>
      </c>
      <c r="Z24" s="5">
        <v>114624</v>
      </c>
      <c r="AD24" s="3">
        <v>40513</v>
      </c>
      <c r="AE24">
        <f t="shared" si="0"/>
        <v>17054</v>
      </c>
      <c r="AF24">
        <f t="shared" si="1"/>
        <v>43237</v>
      </c>
      <c r="AG24">
        <f t="shared" si="2"/>
        <v>2.5352996364489271</v>
      </c>
      <c r="AH24">
        <f t="shared" si="3"/>
        <v>117090</v>
      </c>
      <c r="AI24">
        <f t="shared" si="4"/>
        <v>117090</v>
      </c>
      <c r="AJ24" s="15">
        <f>'&gt;80 LTV'!AI24</f>
        <v>24918</v>
      </c>
      <c r="AK24" s="16">
        <f>'&lt;80 LTV'!AF24</f>
        <v>92172</v>
      </c>
      <c r="AL24" s="15">
        <f t="shared" si="5"/>
        <v>117090</v>
      </c>
    </row>
    <row r="25" spans="1:38" x14ac:dyDescent="0.25">
      <c r="A25" s="10">
        <v>38657</v>
      </c>
      <c r="B25" s="11">
        <v>15992</v>
      </c>
      <c r="C25" s="11" t="s">
        <v>2</v>
      </c>
      <c r="D25" s="1"/>
      <c r="F25" s="10">
        <v>38534</v>
      </c>
      <c r="G25" s="11">
        <v>39</v>
      </c>
      <c r="H25" s="11" t="s">
        <v>14</v>
      </c>
      <c r="L25" s="3">
        <v>38930</v>
      </c>
      <c r="M25" s="5">
        <v>11212</v>
      </c>
      <c r="N25" s="5"/>
      <c r="O25" s="5">
        <v>111391</v>
      </c>
      <c r="P25" s="5"/>
      <c r="Q25" s="5"/>
      <c r="R25" s="5">
        <v>122603</v>
      </c>
      <c r="V25" s="3">
        <v>38930</v>
      </c>
      <c r="W25" s="5">
        <v>1330</v>
      </c>
      <c r="X25" s="5">
        <v>78616</v>
      </c>
      <c r="Y25" s="5">
        <v>42657</v>
      </c>
      <c r="Z25" s="5">
        <v>122603</v>
      </c>
      <c r="AD25" s="3">
        <v>40544</v>
      </c>
      <c r="AE25">
        <f t="shared" si="0"/>
        <v>18502</v>
      </c>
      <c r="AF25">
        <f t="shared" si="1"/>
        <v>44477</v>
      </c>
      <c r="AG25">
        <f t="shared" si="2"/>
        <v>2.4039022808345045</v>
      </c>
      <c r="AH25">
        <f t="shared" si="3"/>
        <v>114623</v>
      </c>
      <c r="AI25">
        <f t="shared" si="4"/>
        <v>114623</v>
      </c>
      <c r="AJ25" s="15">
        <f>'&gt;80 LTV'!AI25</f>
        <v>26034</v>
      </c>
      <c r="AK25" s="16">
        <f>'&lt;80 LTV'!AF25</f>
        <v>88589</v>
      </c>
      <c r="AL25" s="15">
        <f t="shared" si="5"/>
        <v>114623</v>
      </c>
    </row>
    <row r="26" spans="1:38" x14ac:dyDescent="0.25">
      <c r="A26" s="10">
        <v>38657</v>
      </c>
      <c r="B26" s="11">
        <v>2199</v>
      </c>
      <c r="C26" s="11" t="s">
        <v>3</v>
      </c>
      <c r="D26" s="1"/>
      <c r="F26" s="10">
        <v>38565</v>
      </c>
      <c r="G26" s="11">
        <v>2462</v>
      </c>
      <c r="H26" s="11" t="s">
        <v>16</v>
      </c>
      <c r="L26" s="3">
        <v>38961</v>
      </c>
      <c r="M26" s="5">
        <v>10662</v>
      </c>
      <c r="N26" s="5"/>
      <c r="O26" s="5">
        <v>101466</v>
      </c>
      <c r="P26" s="5"/>
      <c r="Q26" s="5"/>
      <c r="R26" s="5">
        <v>112128</v>
      </c>
      <c r="V26" s="3">
        <v>38961</v>
      </c>
      <c r="W26" s="5">
        <v>1215</v>
      </c>
      <c r="X26" s="5">
        <v>70755</v>
      </c>
      <c r="Y26" s="5">
        <v>40158</v>
      </c>
      <c r="Z26" s="5">
        <v>112128</v>
      </c>
      <c r="AD26" s="3">
        <v>40575</v>
      </c>
      <c r="AE26">
        <f t="shared" si="0"/>
        <v>17396</v>
      </c>
      <c r="AF26">
        <f t="shared" si="1"/>
        <v>37323</v>
      </c>
      <c r="AG26">
        <f t="shared" si="2"/>
        <v>2.1454932168314556</v>
      </c>
      <c r="AH26">
        <f t="shared" si="3"/>
        <v>109474</v>
      </c>
      <c r="AI26">
        <f t="shared" si="4"/>
        <v>109474</v>
      </c>
      <c r="AJ26" s="15">
        <f>'&gt;80 LTV'!AI26</f>
        <v>25608</v>
      </c>
      <c r="AK26" s="16">
        <f>'&lt;80 LTV'!AF26</f>
        <v>83866</v>
      </c>
      <c r="AL26" s="15">
        <f t="shared" si="5"/>
        <v>109474</v>
      </c>
    </row>
    <row r="27" spans="1:38" x14ac:dyDescent="0.25">
      <c r="A27" s="10">
        <v>38687</v>
      </c>
      <c r="B27" s="11">
        <v>58394</v>
      </c>
      <c r="C27" s="11" t="s">
        <v>2</v>
      </c>
      <c r="D27" s="1"/>
      <c r="F27" s="10">
        <v>38565</v>
      </c>
      <c r="G27" s="11">
        <v>1067</v>
      </c>
      <c r="H27" s="11" t="s">
        <v>15</v>
      </c>
      <c r="L27" s="3">
        <v>38991</v>
      </c>
      <c r="M27" s="5">
        <v>11537</v>
      </c>
      <c r="N27" s="5"/>
      <c r="O27" s="5">
        <v>102383</v>
      </c>
      <c r="P27" s="5"/>
      <c r="Q27" s="5"/>
      <c r="R27" s="5">
        <v>113920</v>
      </c>
      <c r="V27" s="3">
        <v>38991</v>
      </c>
      <c r="W27" s="5">
        <v>1252</v>
      </c>
      <c r="X27" s="5">
        <v>69723</v>
      </c>
      <c r="Y27" s="5">
        <v>42945</v>
      </c>
      <c r="Z27" s="5">
        <v>113920</v>
      </c>
      <c r="AD27" s="3">
        <v>40603</v>
      </c>
      <c r="AE27">
        <f t="shared" si="0"/>
        <v>15213</v>
      </c>
      <c r="AF27">
        <f t="shared" si="1"/>
        <v>32289</v>
      </c>
      <c r="AG27">
        <f t="shared" si="2"/>
        <v>2.1224610530467363</v>
      </c>
      <c r="AH27">
        <f t="shared" si="3"/>
        <v>84782</v>
      </c>
      <c r="AI27">
        <f t="shared" si="4"/>
        <v>84782</v>
      </c>
      <c r="AJ27" s="15">
        <f>'&gt;80 LTV'!AI27</f>
        <v>20652</v>
      </c>
      <c r="AK27" s="16">
        <f>'&lt;80 LTV'!AF27</f>
        <v>64130</v>
      </c>
      <c r="AL27" s="15">
        <f t="shared" si="5"/>
        <v>84782</v>
      </c>
    </row>
    <row r="28" spans="1:38" x14ac:dyDescent="0.25">
      <c r="A28" s="10">
        <v>38687</v>
      </c>
      <c r="B28" s="11">
        <v>9660</v>
      </c>
      <c r="C28" s="11" t="s">
        <v>3</v>
      </c>
      <c r="D28" s="1"/>
      <c r="F28" s="10">
        <v>38565</v>
      </c>
      <c r="G28" s="11">
        <v>57</v>
      </c>
      <c r="H28" s="11" t="s">
        <v>14</v>
      </c>
      <c r="L28" s="3">
        <v>39022</v>
      </c>
      <c r="M28" s="5">
        <v>12948</v>
      </c>
      <c r="N28" s="5"/>
      <c r="O28" s="5">
        <v>96093</v>
      </c>
      <c r="P28" s="5"/>
      <c r="Q28" s="5"/>
      <c r="R28" s="5">
        <v>109041</v>
      </c>
      <c r="V28" s="3">
        <v>39022</v>
      </c>
      <c r="W28" s="5">
        <v>1167</v>
      </c>
      <c r="X28" s="5">
        <v>61343</v>
      </c>
      <c r="Y28" s="5">
        <v>46531</v>
      </c>
      <c r="Z28" s="5">
        <v>109041</v>
      </c>
      <c r="AD28" s="3">
        <v>40634</v>
      </c>
      <c r="AE28">
        <f t="shared" si="0"/>
        <v>10593</v>
      </c>
      <c r="AF28">
        <f t="shared" si="1"/>
        <v>21224</v>
      </c>
      <c r="AG28">
        <f t="shared" si="2"/>
        <v>2.0035872746153118</v>
      </c>
      <c r="AH28">
        <f t="shared" si="3"/>
        <v>54626</v>
      </c>
      <c r="AI28">
        <f t="shared" si="4"/>
        <v>54626</v>
      </c>
      <c r="AJ28" s="15">
        <f>'&gt;80 LTV'!AI28</f>
        <v>13806</v>
      </c>
      <c r="AK28" s="16">
        <f>'&lt;80 LTV'!AF28</f>
        <v>40820</v>
      </c>
      <c r="AL28" s="15">
        <f t="shared" si="5"/>
        <v>54626</v>
      </c>
    </row>
    <row r="29" spans="1:38" x14ac:dyDescent="0.25">
      <c r="A29" s="10">
        <v>38718</v>
      </c>
      <c r="B29" s="11">
        <v>14686</v>
      </c>
      <c r="C29" s="11" t="s">
        <v>3</v>
      </c>
      <c r="D29" s="1"/>
      <c r="F29" s="10">
        <v>38596</v>
      </c>
      <c r="G29" s="11">
        <v>49</v>
      </c>
      <c r="H29" s="11" t="s">
        <v>14</v>
      </c>
      <c r="L29" s="3">
        <v>39052</v>
      </c>
      <c r="M29" s="5">
        <v>17880</v>
      </c>
      <c r="N29" s="5"/>
      <c r="O29" s="5">
        <v>107333</v>
      </c>
      <c r="P29" s="5"/>
      <c r="Q29" s="5"/>
      <c r="R29" s="5">
        <v>125213</v>
      </c>
      <c r="V29" s="3">
        <v>39052</v>
      </c>
      <c r="W29" s="5">
        <v>1378</v>
      </c>
      <c r="X29" s="5">
        <v>62174</v>
      </c>
      <c r="Y29" s="5">
        <v>61661</v>
      </c>
      <c r="Z29" s="5">
        <v>125213</v>
      </c>
      <c r="AD29" s="3">
        <v>40664</v>
      </c>
      <c r="AE29">
        <f t="shared" si="0"/>
        <v>7420</v>
      </c>
      <c r="AF29">
        <f t="shared" si="1"/>
        <v>14491</v>
      </c>
      <c r="AG29">
        <f t="shared" si="2"/>
        <v>1.9529649595687331</v>
      </c>
      <c r="AH29">
        <f t="shared" si="3"/>
        <v>53856</v>
      </c>
      <c r="AI29">
        <f t="shared" si="4"/>
        <v>53856</v>
      </c>
      <c r="AJ29" s="15">
        <f>'&gt;80 LTV'!AI29</f>
        <v>12090</v>
      </c>
      <c r="AK29" s="16">
        <f>'&lt;80 LTV'!AF29</f>
        <v>41766</v>
      </c>
      <c r="AL29" s="15">
        <f t="shared" si="5"/>
        <v>53856</v>
      </c>
    </row>
    <row r="30" spans="1:38" x14ac:dyDescent="0.25">
      <c r="A30" s="10">
        <v>38718</v>
      </c>
      <c r="B30" s="11">
        <v>96347</v>
      </c>
      <c r="C30" s="11" t="s">
        <v>2</v>
      </c>
      <c r="D30" s="1"/>
      <c r="F30" s="10">
        <v>38596</v>
      </c>
      <c r="G30" s="11">
        <v>2834</v>
      </c>
      <c r="H30" s="11" t="s">
        <v>16</v>
      </c>
      <c r="L30" s="3">
        <v>39083</v>
      </c>
      <c r="M30" s="5">
        <v>17232</v>
      </c>
      <c r="N30" s="5"/>
      <c r="O30" s="5">
        <v>98456</v>
      </c>
      <c r="P30" s="5"/>
      <c r="Q30" s="5"/>
      <c r="R30" s="5">
        <v>115688</v>
      </c>
      <c r="V30" s="3">
        <v>39083</v>
      </c>
      <c r="W30" s="5">
        <v>1213</v>
      </c>
      <c r="X30" s="5">
        <v>57588</v>
      </c>
      <c r="Y30" s="5">
        <v>56887</v>
      </c>
      <c r="Z30" s="5">
        <v>115688</v>
      </c>
      <c r="AD30" s="3">
        <v>40695</v>
      </c>
      <c r="AE30">
        <f t="shared" si="0"/>
        <v>6376</v>
      </c>
      <c r="AF30">
        <f t="shared" si="1"/>
        <v>13261</v>
      </c>
      <c r="AG30">
        <f t="shared" si="2"/>
        <v>2.0798306148055206</v>
      </c>
      <c r="AH30">
        <f t="shared" si="3"/>
        <v>51306</v>
      </c>
      <c r="AI30">
        <f t="shared" si="4"/>
        <v>51306</v>
      </c>
      <c r="AJ30" s="15">
        <f>'&gt;80 LTV'!AI30</f>
        <v>11840</v>
      </c>
      <c r="AK30" s="16">
        <f>'&lt;80 LTV'!AF30</f>
        <v>39466</v>
      </c>
      <c r="AL30" s="15">
        <f t="shared" si="5"/>
        <v>51306</v>
      </c>
    </row>
    <row r="31" spans="1:38" x14ac:dyDescent="0.25">
      <c r="A31" s="10">
        <v>38749</v>
      </c>
      <c r="B31" s="11">
        <v>93070</v>
      </c>
      <c r="C31" s="11" t="s">
        <v>2</v>
      </c>
      <c r="D31" s="1"/>
      <c r="F31" s="10">
        <v>38596</v>
      </c>
      <c r="G31" s="11">
        <v>1784</v>
      </c>
      <c r="H31" s="11" t="s">
        <v>15</v>
      </c>
      <c r="L31" s="3">
        <v>39114</v>
      </c>
      <c r="M31" s="5">
        <v>21209</v>
      </c>
      <c r="N31" s="5"/>
      <c r="O31" s="5">
        <v>99305</v>
      </c>
      <c r="P31" s="5"/>
      <c r="Q31" s="5"/>
      <c r="R31" s="5">
        <v>120514</v>
      </c>
      <c r="V31" s="3">
        <v>39114</v>
      </c>
      <c r="W31" s="5">
        <v>1202</v>
      </c>
      <c r="X31" s="5">
        <v>54082</v>
      </c>
      <c r="Y31" s="5">
        <v>65230</v>
      </c>
      <c r="Z31" s="5">
        <v>120514</v>
      </c>
      <c r="AD31" s="3">
        <v>40725</v>
      </c>
      <c r="AE31">
        <f t="shared" si="0"/>
        <v>5524</v>
      </c>
      <c r="AF31">
        <f t="shared" si="1"/>
        <v>11117</v>
      </c>
      <c r="AG31">
        <f t="shared" si="2"/>
        <v>2.0124909485879798</v>
      </c>
      <c r="AH31">
        <f t="shared" si="3"/>
        <v>48931</v>
      </c>
      <c r="AI31">
        <f t="shared" si="4"/>
        <v>48931</v>
      </c>
      <c r="AJ31" s="15">
        <f>'&gt;80 LTV'!AI31</f>
        <v>12111</v>
      </c>
      <c r="AK31" s="16">
        <f>'&lt;80 LTV'!AF31</f>
        <v>36820</v>
      </c>
      <c r="AL31" s="15">
        <f t="shared" si="5"/>
        <v>48931</v>
      </c>
    </row>
    <row r="32" spans="1:38" x14ac:dyDescent="0.25">
      <c r="A32" s="10">
        <v>38749</v>
      </c>
      <c r="B32" s="11">
        <v>13545</v>
      </c>
      <c r="C32" s="11" t="s">
        <v>3</v>
      </c>
      <c r="D32" s="1"/>
      <c r="F32" s="10">
        <v>38626</v>
      </c>
      <c r="G32" s="11">
        <v>112</v>
      </c>
      <c r="H32" s="11" t="s">
        <v>14</v>
      </c>
      <c r="L32" s="3">
        <v>39142</v>
      </c>
      <c r="M32" s="5">
        <v>20923</v>
      </c>
      <c r="N32" s="5"/>
      <c r="O32" s="5">
        <v>86895</v>
      </c>
      <c r="P32" s="5"/>
      <c r="Q32" s="5"/>
      <c r="R32" s="5">
        <v>107818</v>
      </c>
      <c r="V32" s="3">
        <v>39142</v>
      </c>
      <c r="W32" s="5">
        <v>1161</v>
      </c>
      <c r="X32" s="5">
        <v>44496</v>
      </c>
      <c r="Y32" s="5">
        <v>62161</v>
      </c>
      <c r="Z32" s="5">
        <v>107818</v>
      </c>
      <c r="AD32" s="3">
        <v>40756</v>
      </c>
      <c r="AE32">
        <f t="shared" si="0"/>
        <v>6163</v>
      </c>
      <c r="AF32">
        <f t="shared" si="1"/>
        <v>12492</v>
      </c>
      <c r="AG32">
        <f t="shared" si="2"/>
        <v>2.0269349342852507</v>
      </c>
      <c r="AH32">
        <f t="shared" si="3"/>
        <v>63084</v>
      </c>
      <c r="AI32">
        <f t="shared" si="4"/>
        <v>63084</v>
      </c>
      <c r="AJ32" s="15">
        <f>'&gt;80 LTV'!AI32</f>
        <v>15141</v>
      </c>
      <c r="AK32" s="16">
        <f>'&lt;80 LTV'!AF32</f>
        <v>47943</v>
      </c>
      <c r="AL32" s="15">
        <f t="shared" si="5"/>
        <v>63084</v>
      </c>
    </row>
    <row r="33" spans="1:38" x14ac:dyDescent="0.25">
      <c r="A33" s="10">
        <v>38777</v>
      </c>
      <c r="B33" s="11">
        <v>12672</v>
      </c>
      <c r="C33" s="11" t="s">
        <v>3</v>
      </c>
      <c r="D33" s="1"/>
      <c r="F33" s="10">
        <v>38626</v>
      </c>
      <c r="G33" s="11">
        <v>4949</v>
      </c>
      <c r="H33" s="11" t="s">
        <v>16</v>
      </c>
      <c r="L33" s="3">
        <v>39173</v>
      </c>
      <c r="M33" s="5">
        <v>18017</v>
      </c>
      <c r="N33" s="5"/>
      <c r="O33" s="5">
        <v>93294</v>
      </c>
      <c r="P33" s="5"/>
      <c r="Q33" s="5"/>
      <c r="R33" s="5">
        <v>111311</v>
      </c>
      <c r="V33" s="3">
        <v>39173</v>
      </c>
      <c r="W33" s="5">
        <v>1055</v>
      </c>
      <c r="X33" s="5">
        <v>53348</v>
      </c>
      <c r="Y33" s="5">
        <v>56908</v>
      </c>
      <c r="Z33" s="5">
        <v>111311</v>
      </c>
      <c r="AD33" s="3">
        <v>40787</v>
      </c>
      <c r="AE33">
        <f t="shared" si="0"/>
        <v>6608</v>
      </c>
      <c r="AF33">
        <f t="shared" si="1"/>
        <v>14123</v>
      </c>
      <c r="AG33">
        <f t="shared" si="2"/>
        <v>2.1372578692493946</v>
      </c>
      <c r="AH33">
        <f t="shared" si="3"/>
        <v>61086</v>
      </c>
      <c r="AI33">
        <f t="shared" si="4"/>
        <v>61086</v>
      </c>
      <c r="AJ33" s="15">
        <f>'&gt;80 LTV'!AI33</f>
        <v>15058</v>
      </c>
      <c r="AK33" s="16">
        <f>'&lt;80 LTV'!AF33</f>
        <v>46028</v>
      </c>
      <c r="AL33" s="15">
        <f t="shared" si="5"/>
        <v>61086</v>
      </c>
    </row>
    <row r="34" spans="1:38" x14ac:dyDescent="0.25">
      <c r="A34" s="10">
        <v>38777</v>
      </c>
      <c r="B34" s="11">
        <v>77021</v>
      </c>
      <c r="C34" s="11" t="s">
        <v>2</v>
      </c>
      <c r="D34" s="1"/>
      <c r="F34" s="10">
        <v>38626</v>
      </c>
      <c r="G34" s="11">
        <v>3417</v>
      </c>
      <c r="H34" s="11" t="s">
        <v>15</v>
      </c>
      <c r="L34" s="3">
        <v>39203</v>
      </c>
      <c r="M34" s="5">
        <v>22875</v>
      </c>
      <c r="N34" s="5"/>
      <c r="O34" s="5">
        <v>118081</v>
      </c>
      <c r="P34" s="5"/>
      <c r="Q34" s="5"/>
      <c r="R34" s="5">
        <v>140956</v>
      </c>
      <c r="V34" s="3">
        <v>39203</v>
      </c>
      <c r="W34" s="5">
        <v>1319</v>
      </c>
      <c r="X34" s="5">
        <v>69549</v>
      </c>
      <c r="Y34" s="5">
        <v>70088</v>
      </c>
      <c r="Z34" s="5">
        <v>140956</v>
      </c>
      <c r="AD34" s="3">
        <v>40817</v>
      </c>
      <c r="AE34">
        <f t="shared" si="0"/>
        <v>6814</v>
      </c>
      <c r="AF34">
        <f t="shared" si="1"/>
        <v>14085</v>
      </c>
      <c r="AG34">
        <f t="shared" si="2"/>
        <v>2.0670678015849719</v>
      </c>
      <c r="AH34">
        <f t="shared" si="3"/>
        <v>61831</v>
      </c>
      <c r="AI34">
        <f t="shared" si="4"/>
        <v>61831</v>
      </c>
      <c r="AJ34" s="15">
        <f>'&gt;80 LTV'!AI34</f>
        <v>15521</v>
      </c>
      <c r="AK34" s="16">
        <f>'&lt;80 LTV'!AF34</f>
        <v>46310</v>
      </c>
      <c r="AL34" s="15">
        <f t="shared" si="5"/>
        <v>61831</v>
      </c>
    </row>
    <row r="35" spans="1:38" x14ac:dyDescent="0.25">
      <c r="A35" s="10">
        <v>38808</v>
      </c>
      <c r="B35" s="11">
        <v>86488</v>
      </c>
      <c r="C35" s="11" t="s">
        <v>2</v>
      </c>
      <c r="D35" s="1"/>
      <c r="F35" s="10">
        <v>38657</v>
      </c>
      <c r="G35" s="11">
        <v>243</v>
      </c>
      <c r="H35" s="11" t="s">
        <v>14</v>
      </c>
      <c r="L35" s="3">
        <v>39234</v>
      </c>
      <c r="M35" s="5">
        <v>24801</v>
      </c>
      <c r="N35" s="5"/>
      <c r="O35" s="5">
        <v>122699</v>
      </c>
      <c r="P35" s="5"/>
      <c r="Q35" s="5"/>
      <c r="R35" s="5">
        <v>147500</v>
      </c>
      <c r="V35" s="3">
        <v>39234</v>
      </c>
      <c r="W35" s="5">
        <v>1313</v>
      </c>
      <c r="X35" s="5">
        <v>73426</v>
      </c>
      <c r="Y35" s="5">
        <v>72761</v>
      </c>
      <c r="Z35" s="5">
        <v>147500</v>
      </c>
      <c r="AD35" s="3">
        <v>40848</v>
      </c>
      <c r="AE35">
        <f t="shared" si="0"/>
        <v>7897</v>
      </c>
      <c r="AF35">
        <f t="shared" si="1"/>
        <v>17552</v>
      </c>
      <c r="AG35">
        <f t="shared" si="2"/>
        <v>2.22261618336077</v>
      </c>
      <c r="AH35">
        <f t="shared" si="3"/>
        <v>72005</v>
      </c>
      <c r="AI35">
        <f t="shared" si="4"/>
        <v>72005</v>
      </c>
      <c r="AJ35" s="15">
        <f>'&gt;80 LTV'!AI35</f>
        <v>16145</v>
      </c>
      <c r="AK35" s="16">
        <f>'&lt;80 LTV'!AF35</f>
        <v>55860</v>
      </c>
      <c r="AL35" s="15">
        <f t="shared" si="5"/>
        <v>72005</v>
      </c>
    </row>
    <row r="36" spans="1:38" x14ac:dyDescent="0.25">
      <c r="A36" s="10">
        <v>38808</v>
      </c>
      <c r="B36" s="11">
        <v>13588</v>
      </c>
      <c r="C36" s="11" t="s">
        <v>3</v>
      </c>
      <c r="D36" s="1"/>
      <c r="F36" s="10">
        <v>38657</v>
      </c>
      <c r="G36" s="11">
        <v>9243</v>
      </c>
      <c r="H36" s="11" t="s">
        <v>16</v>
      </c>
      <c r="L36" s="3">
        <v>39264</v>
      </c>
      <c r="M36" s="5">
        <v>21810</v>
      </c>
      <c r="N36" s="5"/>
      <c r="O36" s="5">
        <v>125490</v>
      </c>
      <c r="P36" s="5"/>
      <c r="Q36" s="5"/>
      <c r="R36" s="5">
        <v>147300</v>
      </c>
      <c r="V36" s="3">
        <v>39264</v>
      </c>
      <c r="W36" s="5">
        <v>1364</v>
      </c>
      <c r="X36" s="5">
        <v>79560</v>
      </c>
      <c r="Y36" s="5">
        <v>66376</v>
      </c>
      <c r="Z36" s="5">
        <v>147300</v>
      </c>
      <c r="AD36" s="3">
        <v>40878</v>
      </c>
      <c r="AE36">
        <f t="shared" si="0"/>
        <v>9245</v>
      </c>
      <c r="AF36">
        <f t="shared" si="1"/>
        <v>20154</v>
      </c>
      <c r="AG36">
        <f t="shared" si="2"/>
        <v>2.179989183342347</v>
      </c>
      <c r="AH36">
        <f t="shared" si="3"/>
        <v>66439</v>
      </c>
      <c r="AI36">
        <f t="shared" si="4"/>
        <v>66439</v>
      </c>
      <c r="AJ36" s="15">
        <f>'&gt;80 LTV'!AI36</f>
        <v>15800</v>
      </c>
      <c r="AK36" s="16">
        <f>'&lt;80 LTV'!AF36</f>
        <v>50639</v>
      </c>
      <c r="AL36" s="15">
        <f t="shared" si="5"/>
        <v>66439</v>
      </c>
    </row>
    <row r="37" spans="1:38" x14ac:dyDescent="0.25">
      <c r="A37" s="10">
        <v>38838</v>
      </c>
      <c r="B37" s="11">
        <v>13902</v>
      </c>
      <c r="C37" s="11" t="s">
        <v>3</v>
      </c>
      <c r="D37" s="1"/>
      <c r="F37" s="10">
        <v>38657</v>
      </c>
      <c r="G37" s="11">
        <v>8705</v>
      </c>
      <c r="H37" s="11" t="s">
        <v>15</v>
      </c>
      <c r="L37" s="3">
        <v>39295</v>
      </c>
      <c r="M37" s="5">
        <v>17435</v>
      </c>
      <c r="N37" s="5"/>
      <c r="O37" s="5">
        <v>118350</v>
      </c>
      <c r="P37" s="5"/>
      <c r="Q37" s="5"/>
      <c r="R37" s="5">
        <v>135785</v>
      </c>
      <c r="V37" s="3">
        <v>39295</v>
      </c>
      <c r="W37" s="5">
        <v>1256</v>
      </c>
      <c r="X37" s="5">
        <v>80075</v>
      </c>
      <c r="Y37" s="5">
        <v>54454</v>
      </c>
      <c r="Z37" s="5">
        <v>135785</v>
      </c>
      <c r="AD37" s="3">
        <v>40909</v>
      </c>
      <c r="AE37">
        <f t="shared" si="0"/>
        <v>9831</v>
      </c>
      <c r="AF37">
        <f t="shared" si="1"/>
        <v>21858</v>
      </c>
      <c r="AG37">
        <f t="shared" si="2"/>
        <v>2.2233750381446447</v>
      </c>
      <c r="AH37">
        <f t="shared" si="3"/>
        <v>70148</v>
      </c>
      <c r="AI37">
        <f t="shared" si="4"/>
        <v>70148</v>
      </c>
      <c r="AJ37" s="15">
        <f>'&gt;80 LTV'!AI37</f>
        <v>17049</v>
      </c>
      <c r="AK37" s="16">
        <f>'&lt;80 LTV'!AF37</f>
        <v>53099</v>
      </c>
      <c r="AL37" s="15">
        <f t="shared" si="5"/>
        <v>70148</v>
      </c>
    </row>
    <row r="38" spans="1:38" x14ac:dyDescent="0.25">
      <c r="A38" s="10">
        <v>38838</v>
      </c>
      <c r="B38" s="11">
        <v>99743</v>
      </c>
      <c r="C38" s="11" t="s">
        <v>2</v>
      </c>
      <c r="D38" s="1"/>
      <c r="F38" s="10">
        <v>38687</v>
      </c>
      <c r="G38" s="11">
        <v>31357</v>
      </c>
      <c r="H38" s="11" t="s">
        <v>16</v>
      </c>
      <c r="L38" s="3">
        <v>39326</v>
      </c>
      <c r="M38" s="5">
        <v>15468</v>
      </c>
      <c r="N38" s="5"/>
      <c r="O38" s="5">
        <v>113663</v>
      </c>
      <c r="P38" s="5"/>
      <c r="Q38" s="5"/>
      <c r="R38" s="5">
        <v>129131</v>
      </c>
      <c r="V38" s="3">
        <v>39326</v>
      </c>
      <c r="W38" s="5">
        <v>1349</v>
      </c>
      <c r="X38" s="5">
        <v>79230</v>
      </c>
      <c r="Y38" s="5">
        <v>48552</v>
      </c>
      <c r="Z38" s="5">
        <v>129131</v>
      </c>
      <c r="AD38" s="3">
        <v>40940</v>
      </c>
      <c r="AE38">
        <f t="shared" si="0"/>
        <v>9082</v>
      </c>
      <c r="AF38">
        <f t="shared" si="1"/>
        <v>18923</v>
      </c>
      <c r="AG38">
        <f t="shared" si="2"/>
        <v>2.0835719004624531</v>
      </c>
      <c r="AH38">
        <f t="shared" si="3"/>
        <v>75154</v>
      </c>
      <c r="AI38">
        <f t="shared" si="4"/>
        <v>75154</v>
      </c>
      <c r="AJ38" s="15">
        <f>'&gt;80 LTV'!AI38</f>
        <v>17244</v>
      </c>
      <c r="AK38" s="16">
        <f>'&lt;80 LTV'!AF38</f>
        <v>57910</v>
      </c>
      <c r="AL38" s="15">
        <f t="shared" si="5"/>
        <v>75154</v>
      </c>
    </row>
    <row r="39" spans="1:38" x14ac:dyDescent="0.25">
      <c r="A39" s="10">
        <v>38869</v>
      </c>
      <c r="B39" s="11">
        <v>12297</v>
      </c>
      <c r="C39" s="11" t="s">
        <v>3</v>
      </c>
      <c r="D39" s="1"/>
      <c r="F39" s="10">
        <v>38687</v>
      </c>
      <c r="G39" s="11">
        <v>35708</v>
      </c>
      <c r="H39" s="11" t="s">
        <v>15</v>
      </c>
      <c r="L39" s="3">
        <v>39356</v>
      </c>
      <c r="M39" s="5">
        <v>15255</v>
      </c>
      <c r="N39" s="5"/>
      <c r="O39" s="5">
        <v>110255</v>
      </c>
      <c r="P39" s="5"/>
      <c r="Q39" s="5"/>
      <c r="R39" s="5">
        <v>125510</v>
      </c>
      <c r="V39" s="3">
        <v>39356</v>
      </c>
      <c r="W39" s="5">
        <v>1311</v>
      </c>
      <c r="X39" s="5">
        <v>77983</v>
      </c>
      <c r="Y39" s="5">
        <v>46216</v>
      </c>
      <c r="Z39" s="5">
        <v>125510</v>
      </c>
      <c r="AD39" s="3">
        <v>40969</v>
      </c>
      <c r="AE39">
        <f t="shared" si="0"/>
        <v>11001</v>
      </c>
      <c r="AF39">
        <f t="shared" si="1"/>
        <v>20650</v>
      </c>
      <c r="AG39">
        <f t="shared" si="2"/>
        <v>1.8771020816289428</v>
      </c>
      <c r="AH39">
        <f t="shared" si="3"/>
        <v>64072</v>
      </c>
      <c r="AI39">
        <f t="shared" si="4"/>
        <v>64072</v>
      </c>
      <c r="AJ39" s="15">
        <f>'&gt;80 LTV'!AI39</f>
        <v>16652</v>
      </c>
      <c r="AK39" s="16">
        <f>'&lt;80 LTV'!AF39</f>
        <v>47420</v>
      </c>
      <c r="AL39" s="15">
        <f t="shared" si="5"/>
        <v>64072</v>
      </c>
    </row>
    <row r="40" spans="1:38" x14ac:dyDescent="0.25">
      <c r="A40" s="10">
        <v>38869</v>
      </c>
      <c r="B40" s="11">
        <v>94688</v>
      </c>
      <c r="C40" s="11" t="s">
        <v>2</v>
      </c>
      <c r="D40" s="1"/>
      <c r="F40" s="10">
        <v>38687</v>
      </c>
      <c r="G40" s="11">
        <v>989</v>
      </c>
      <c r="H40" s="11" t="s">
        <v>14</v>
      </c>
      <c r="L40" s="3">
        <v>39387</v>
      </c>
      <c r="M40" s="5">
        <v>18097</v>
      </c>
      <c r="N40" s="5"/>
      <c r="O40" s="5">
        <v>99634</v>
      </c>
      <c r="P40" s="5"/>
      <c r="Q40" s="5"/>
      <c r="R40" s="5">
        <v>117731</v>
      </c>
      <c r="V40" s="3">
        <v>39387</v>
      </c>
      <c r="W40" s="5">
        <v>1433</v>
      </c>
      <c r="X40" s="5">
        <v>66062</v>
      </c>
      <c r="Y40" s="5">
        <v>50236</v>
      </c>
      <c r="Z40" s="5">
        <v>117731</v>
      </c>
      <c r="AD40" s="3">
        <v>41000</v>
      </c>
      <c r="AE40">
        <f t="shared" si="0"/>
        <v>14080</v>
      </c>
      <c r="AF40">
        <f t="shared" si="1"/>
        <v>23750</v>
      </c>
      <c r="AG40">
        <f t="shared" si="2"/>
        <v>1.6867897727272727</v>
      </c>
      <c r="AH40">
        <f t="shared" si="3"/>
        <v>66157</v>
      </c>
      <c r="AI40">
        <f t="shared" si="4"/>
        <v>66157</v>
      </c>
      <c r="AJ40" s="15">
        <f>'&gt;80 LTV'!AI40</f>
        <v>20037</v>
      </c>
      <c r="AK40" s="16">
        <f>'&lt;80 LTV'!AF40</f>
        <v>46120</v>
      </c>
      <c r="AL40" s="15">
        <f t="shared" si="5"/>
        <v>66157</v>
      </c>
    </row>
    <row r="41" spans="1:38" x14ac:dyDescent="0.25">
      <c r="A41" s="10">
        <v>38899</v>
      </c>
      <c r="B41" s="11">
        <v>102712</v>
      </c>
      <c r="C41" s="11" t="s">
        <v>2</v>
      </c>
      <c r="D41" s="1"/>
      <c r="F41" s="10">
        <v>38718</v>
      </c>
      <c r="G41" s="11">
        <v>1688</v>
      </c>
      <c r="H41" s="11" t="s">
        <v>14</v>
      </c>
      <c r="L41" s="3">
        <v>39417</v>
      </c>
      <c r="M41" s="5">
        <v>21973</v>
      </c>
      <c r="N41" s="5"/>
      <c r="O41" s="5">
        <v>101090</v>
      </c>
      <c r="P41" s="5"/>
      <c r="Q41" s="5"/>
      <c r="R41" s="5">
        <v>123063</v>
      </c>
      <c r="V41" s="3">
        <v>39417</v>
      </c>
      <c r="W41" s="5">
        <v>1529</v>
      </c>
      <c r="X41" s="5">
        <v>62491</v>
      </c>
      <c r="Y41" s="5">
        <v>59043</v>
      </c>
      <c r="Z41" s="5">
        <v>123063</v>
      </c>
      <c r="AD41" s="3">
        <v>41030</v>
      </c>
      <c r="AE41">
        <f t="shared" si="0"/>
        <v>13189</v>
      </c>
      <c r="AF41">
        <f t="shared" si="1"/>
        <v>22147</v>
      </c>
      <c r="AG41">
        <f t="shared" si="2"/>
        <v>1.6792023656077033</v>
      </c>
      <c r="AH41">
        <f t="shared" si="3"/>
        <v>68460</v>
      </c>
      <c r="AI41">
        <f t="shared" si="4"/>
        <v>68460</v>
      </c>
      <c r="AJ41" s="15">
        <f>'&gt;80 LTV'!AI41</f>
        <v>20415</v>
      </c>
      <c r="AK41" s="16">
        <f>'&lt;80 LTV'!AF41</f>
        <v>48045</v>
      </c>
      <c r="AL41" s="15">
        <f t="shared" si="5"/>
        <v>68460</v>
      </c>
    </row>
    <row r="42" spans="1:38" x14ac:dyDescent="0.25">
      <c r="A42" s="10">
        <v>38899</v>
      </c>
      <c r="B42" s="11">
        <v>11912</v>
      </c>
      <c r="C42" s="11" t="s">
        <v>3</v>
      </c>
      <c r="D42" s="1"/>
      <c r="F42" s="10">
        <v>38718</v>
      </c>
      <c r="G42" s="11">
        <v>53714</v>
      </c>
      <c r="H42" s="11" t="s">
        <v>16</v>
      </c>
      <c r="L42" s="3">
        <v>39448</v>
      </c>
      <c r="M42" s="5">
        <v>20897</v>
      </c>
      <c r="N42" s="5"/>
      <c r="O42" s="5">
        <v>88196</v>
      </c>
      <c r="P42" s="5"/>
      <c r="Q42" s="5"/>
      <c r="R42" s="5">
        <v>109093</v>
      </c>
      <c r="V42" s="3">
        <v>39448</v>
      </c>
      <c r="W42" s="5">
        <v>1162</v>
      </c>
      <c r="X42" s="5">
        <v>55419</v>
      </c>
      <c r="Y42" s="5">
        <v>52512</v>
      </c>
      <c r="Z42" s="5">
        <v>109093</v>
      </c>
      <c r="AD42" s="3">
        <v>41061</v>
      </c>
      <c r="AE42">
        <f t="shared" si="0"/>
        <v>12382</v>
      </c>
      <c r="AF42">
        <f t="shared" si="1"/>
        <v>20132</v>
      </c>
      <c r="AG42">
        <f t="shared" si="2"/>
        <v>1.6259085769665644</v>
      </c>
      <c r="AH42">
        <f t="shared" si="3"/>
        <v>71226</v>
      </c>
      <c r="AI42">
        <f t="shared" si="4"/>
        <v>71226</v>
      </c>
      <c r="AJ42" s="15">
        <f>'&gt;80 LTV'!AI42</f>
        <v>22426</v>
      </c>
      <c r="AK42" s="16">
        <f>'&lt;80 LTV'!AF42</f>
        <v>48800</v>
      </c>
      <c r="AL42" s="15">
        <f t="shared" si="5"/>
        <v>71226</v>
      </c>
    </row>
    <row r="43" spans="1:38" x14ac:dyDescent="0.25">
      <c r="A43" s="10">
        <v>38930</v>
      </c>
      <c r="B43" s="11">
        <v>111391</v>
      </c>
      <c r="C43" s="11" t="s">
        <v>2</v>
      </c>
      <c r="D43" s="1"/>
      <c r="F43" s="10">
        <v>38718</v>
      </c>
      <c r="G43" s="11">
        <v>55631</v>
      </c>
      <c r="H43" s="11" t="s">
        <v>15</v>
      </c>
      <c r="L43" s="3">
        <v>39479</v>
      </c>
      <c r="M43" s="5">
        <v>30555</v>
      </c>
      <c r="N43" s="5"/>
      <c r="O43" s="5">
        <v>95942</v>
      </c>
      <c r="P43" s="5"/>
      <c r="Q43" s="5"/>
      <c r="R43" s="5">
        <v>126497</v>
      </c>
      <c r="V43" s="3">
        <v>39479</v>
      </c>
      <c r="W43" s="5">
        <v>1383</v>
      </c>
      <c r="X43" s="5">
        <v>54684</v>
      </c>
      <c r="Y43" s="5">
        <v>70430</v>
      </c>
      <c r="Z43" s="5">
        <v>126497</v>
      </c>
      <c r="AD43" s="3">
        <v>41091</v>
      </c>
      <c r="AE43">
        <f t="shared" si="0"/>
        <v>13178</v>
      </c>
      <c r="AF43">
        <f t="shared" si="1"/>
        <v>20818</v>
      </c>
      <c r="AG43">
        <f t="shared" si="2"/>
        <v>1.5797541356806799</v>
      </c>
      <c r="AH43">
        <f t="shared" si="3"/>
        <v>81904</v>
      </c>
      <c r="AI43">
        <f t="shared" si="4"/>
        <v>81904</v>
      </c>
      <c r="AJ43" s="15">
        <f>'&gt;80 LTV'!AI43</f>
        <v>24469</v>
      </c>
      <c r="AK43" s="16">
        <f>'&lt;80 LTV'!AF43</f>
        <v>57435</v>
      </c>
      <c r="AL43" s="15">
        <f t="shared" si="5"/>
        <v>81904</v>
      </c>
    </row>
    <row r="44" spans="1:38" x14ac:dyDescent="0.25">
      <c r="A44" s="10">
        <v>38930</v>
      </c>
      <c r="B44" s="11">
        <v>11212</v>
      </c>
      <c r="C44" s="11" t="s">
        <v>3</v>
      </c>
      <c r="D44" s="1"/>
      <c r="F44" s="10">
        <v>38749</v>
      </c>
      <c r="G44" s="11">
        <v>1651</v>
      </c>
      <c r="H44" s="11" t="s">
        <v>14</v>
      </c>
      <c r="L44" s="3">
        <v>39508</v>
      </c>
      <c r="M44" s="5">
        <v>34268</v>
      </c>
      <c r="N44" s="5"/>
      <c r="O44" s="5">
        <v>78250</v>
      </c>
      <c r="P44" s="5"/>
      <c r="Q44" s="5"/>
      <c r="R44" s="5">
        <v>112518</v>
      </c>
      <c r="V44" s="3">
        <v>39508</v>
      </c>
      <c r="W44" s="5">
        <v>1156</v>
      </c>
      <c r="X44" s="5">
        <v>41618</v>
      </c>
      <c r="Y44" s="5">
        <v>69744</v>
      </c>
      <c r="Z44" s="5">
        <v>112518</v>
      </c>
      <c r="AD44" s="3">
        <v>41122</v>
      </c>
      <c r="AE44">
        <f t="shared" si="0"/>
        <v>13092</v>
      </c>
      <c r="AF44">
        <f t="shared" si="1"/>
        <v>21157</v>
      </c>
      <c r="AG44">
        <f t="shared" si="2"/>
        <v>1.6160250534677665</v>
      </c>
      <c r="AH44">
        <f t="shared" si="3"/>
        <v>81813</v>
      </c>
      <c r="AI44">
        <f t="shared" si="4"/>
        <v>81813</v>
      </c>
      <c r="AJ44" s="15">
        <f>'&gt;80 LTV'!AI44</f>
        <v>26340</v>
      </c>
      <c r="AK44" s="16">
        <f>'&lt;80 LTV'!AF44</f>
        <v>55473</v>
      </c>
      <c r="AL44" s="15">
        <f t="shared" si="5"/>
        <v>81813</v>
      </c>
    </row>
    <row r="45" spans="1:38" x14ac:dyDescent="0.25">
      <c r="A45" s="10">
        <v>38961</v>
      </c>
      <c r="B45" s="11">
        <v>101466</v>
      </c>
      <c r="C45" s="11" t="s">
        <v>2</v>
      </c>
      <c r="D45" s="1"/>
      <c r="F45" s="10">
        <v>38749</v>
      </c>
      <c r="G45" s="11">
        <v>53483</v>
      </c>
      <c r="H45" s="11" t="s">
        <v>16</v>
      </c>
      <c r="L45" s="3">
        <v>39539</v>
      </c>
      <c r="M45" s="5">
        <v>60058</v>
      </c>
      <c r="N45" s="5"/>
      <c r="O45" s="5">
        <v>99187</v>
      </c>
      <c r="P45" s="5"/>
      <c r="Q45" s="5"/>
      <c r="R45" s="5">
        <v>159245</v>
      </c>
      <c r="V45" s="3">
        <v>39539</v>
      </c>
      <c r="W45" s="5">
        <v>1528</v>
      </c>
      <c r="X45" s="5">
        <v>46161</v>
      </c>
      <c r="Y45" s="5">
        <v>111556</v>
      </c>
      <c r="Z45" s="5">
        <v>159245</v>
      </c>
      <c r="AD45" s="3">
        <v>41153</v>
      </c>
      <c r="AE45">
        <f t="shared" si="0"/>
        <v>13246</v>
      </c>
      <c r="AF45">
        <f t="shared" si="1"/>
        <v>23362</v>
      </c>
      <c r="AG45">
        <f t="shared" si="2"/>
        <v>1.7637022497357693</v>
      </c>
      <c r="AH45">
        <f t="shared" si="3"/>
        <v>91724</v>
      </c>
      <c r="AI45">
        <f t="shared" si="4"/>
        <v>91724</v>
      </c>
      <c r="AJ45" s="15">
        <f>'&gt;80 LTV'!AI45</f>
        <v>28102</v>
      </c>
      <c r="AK45" s="16">
        <f>'&lt;80 LTV'!AF45</f>
        <v>63622</v>
      </c>
      <c r="AL45" s="15">
        <f t="shared" si="5"/>
        <v>91724</v>
      </c>
    </row>
    <row r="46" spans="1:38" x14ac:dyDescent="0.25">
      <c r="A46" s="10">
        <v>38961</v>
      </c>
      <c r="B46" s="11">
        <v>10662</v>
      </c>
      <c r="C46" s="11" t="s">
        <v>3</v>
      </c>
      <c r="D46" s="1"/>
      <c r="F46" s="10">
        <v>38749</v>
      </c>
      <c r="G46" s="11">
        <v>51481</v>
      </c>
      <c r="H46" s="11" t="s">
        <v>15</v>
      </c>
      <c r="L46" s="3">
        <v>39569</v>
      </c>
      <c r="M46" s="5">
        <v>41596</v>
      </c>
      <c r="N46" s="5"/>
      <c r="O46" s="5">
        <v>102401</v>
      </c>
      <c r="P46" s="5"/>
      <c r="Q46" s="5"/>
      <c r="R46" s="5">
        <v>143997</v>
      </c>
      <c r="V46" s="3">
        <v>39569</v>
      </c>
      <c r="W46" s="5">
        <v>1326</v>
      </c>
      <c r="X46" s="5">
        <v>53863</v>
      </c>
      <c r="Y46" s="5">
        <v>88808</v>
      </c>
      <c r="Z46" s="5">
        <v>143997</v>
      </c>
      <c r="AD46" s="3">
        <v>41183</v>
      </c>
      <c r="AE46">
        <f t="shared" si="0"/>
        <v>14068</v>
      </c>
      <c r="AF46">
        <f t="shared" si="1"/>
        <v>24936</v>
      </c>
      <c r="AG46">
        <f t="shared" si="2"/>
        <v>1.7725334091555303</v>
      </c>
      <c r="AH46">
        <f t="shared" si="3"/>
        <v>105854</v>
      </c>
      <c r="AI46">
        <f t="shared" si="4"/>
        <v>105854</v>
      </c>
      <c r="AJ46" s="15">
        <f>'&gt;80 LTV'!AI46</f>
        <v>30009</v>
      </c>
      <c r="AK46" s="16">
        <f>'&lt;80 LTV'!AF46</f>
        <v>75845</v>
      </c>
      <c r="AL46" s="15">
        <f t="shared" si="5"/>
        <v>105854</v>
      </c>
    </row>
    <row r="47" spans="1:38" x14ac:dyDescent="0.25">
      <c r="A47" s="10">
        <v>38991</v>
      </c>
      <c r="B47" s="11">
        <v>11537</v>
      </c>
      <c r="C47" s="11" t="s">
        <v>3</v>
      </c>
      <c r="D47" s="1"/>
      <c r="F47" s="10">
        <v>38777</v>
      </c>
      <c r="G47" s="11">
        <v>46945</v>
      </c>
      <c r="H47" s="11" t="s">
        <v>15</v>
      </c>
      <c r="L47" s="3">
        <v>39600</v>
      </c>
      <c r="M47" s="5">
        <v>38213</v>
      </c>
      <c r="N47" s="5"/>
      <c r="O47" s="5">
        <v>98366</v>
      </c>
      <c r="P47" s="5"/>
      <c r="Q47" s="5"/>
      <c r="R47" s="5">
        <v>136579</v>
      </c>
      <c r="V47" s="3">
        <v>39600</v>
      </c>
      <c r="W47" s="5">
        <v>1116</v>
      </c>
      <c r="X47" s="5">
        <v>50984</v>
      </c>
      <c r="Y47" s="5">
        <v>84479</v>
      </c>
      <c r="Z47" s="5">
        <v>136579</v>
      </c>
      <c r="AD47" s="3">
        <v>41214</v>
      </c>
      <c r="AE47">
        <f t="shared" si="0"/>
        <v>13316</v>
      </c>
      <c r="AF47">
        <f t="shared" si="1"/>
        <v>26328</v>
      </c>
      <c r="AG47">
        <f t="shared" si="2"/>
        <v>1.9771703214178431</v>
      </c>
      <c r="AH47">
        <f t="shared" si="3"/>
        <v>116183</v>
      </c>
      <c r="AI47">
        <f t="shared" si="4"/>
        <v>116183</v>
      </c>
      <c r="AJ47" s="15">
        <f>'&gt;80 LTV'!AI47</f>
        <v>29749</v>
      </c>
      <c r="AK47" s="16">
        <f>'&lt;80 LTV'!AF47</f>
        <v>86434</v>
      </c>
      <c r="AL47" s="15">
        <f t="shared" si="5"/>
        <v>116183</v>
      </c>
    </row>
    <row r="48" spans="1:38" x14ac:dyDescent="0.25">
      <c r="A48" s="10">
        <v>38991</v>
      </c>
      <c r="B48" s="11">
        <v>102383</v>
      </c>
      <c r="C48" s="11" t="s">
        <v>2</v>
      </c>
      <c r="D48" s="1"/>
      <c r="F48" s="10">
        <v>38777</v>
      </c>
      <c r="G48" s="11">
        <v>1455</v>
      </c>
      <c r="H48" s="11" t="s">
        <v>14</v>
      </c>
      <c r="L48" s="3">
        <v>39630</v>
      </c>
      <c r="M48" s="5">
        <v>23471</v>
      </c>
      <c r="N48" s="5"/>
      <c r="O48" s="5">
        <v>81925</v>
      </c>
      <c r="P48" s="5"/>
      <c r="Q48" s="5"/>
      <c r="R48" s="5">
        <v>105396</v>
      </c>
      <c r="V48" s="3">
        <v>39630</v>
      </c>
      <c r="W48" s="5">
        <v>697</v>
      </c>
      <c r="X48" s="5">
        <v>50075</v>
      </c>
      <c r="Y48" s="5">
        <v>54624</v>
      </c>
      <c r="Z48" s="5">
        <v>105396</v>
      </c>
      <c r="AD48" s="3">
        <v>41244</v>
      </c>
      <c r="AE48">
        <f t="shared" si="0"/>
        <v>15936</v>
      </c>
      <c r="AF48">
        <f t="shared" si="1"/>
        <v>29752</v>
      </c>
      <c r="AG48">
        <f t="shared" si="2"/>
        <v>1.8669678714859437</v>
      </c>
      <c r="AH48">
        <f t="shared" si="3"/>
        <v>120235</v>
      </c>
      <c r="AI48">
        <f t="shared" si="4"/>
        <v>120235</v>
      </c>
      <c r="AJ48" s="15">
        <f>'&gt;80 LTV'!AI48</f>
        <v>32784</v>
      </c>
      <c r="AK48" s="16">
        <f>'&lt;80 LTV'!AF48</f>
        <v>87451</v>
      </c>
      <c r="AL48" s="15">
        <f t="shared" si="5"/>
        <v>120235</v>
      </c>
    </row>
    <row r="49" spans="1:38" x14ac:dyDescent="0.25">
      <c r="A49" s="10">
        <v>39022</v>
      </c>
      <c r="B49" s="11">
        <v>12948</v>
      </c>
      <c r="C49" s="11" t="s">
        <v>3</v>
      </c>
      <c r="D49" s="1"/>
      <c r="F49" s="10">
        <v>38777</v>
      </c>
      <c r="G49" s="11">
        <v>41293</v>
      </c>
      <c r="H49" s="11" t="s">
        <v>16</v>
      </c>
      <c r="L49" s="3">
        <v>39661</v>
      </c>
      <c r="M49" s="5">
        <v>17448</v>
      </c>
      <c r="N49" s="5"/>
      <c r="O49" s="5">
        <v>80739</v>
      </c>
      <c r="P49" s="5"/>
      <c r="Q49" s="5"/>
      <c r="R49" s="5">
        <v>98187</v>
      </c>
      <c r="V49" s="3">
        <v>39661</v>
      </c>
      <c r="W49" s="5">
        <v>535</v>
      </c>
      <c r="X49" s="5">
        <v>54723</v>
      </c>
      <c r="Y49" s="5">
        <v>42929</v>
      </c>
      <c r="Z49" s="5">
        <v>98187</v>
      </c>
      <c r="AD49" s="3">
        <v>41275</v>
      </c>
      <c r="AE49">
        <f t="shared" si="0"/>
        <v>13955</v>
      </c>
      <c r="AF49">
        <f t="shared" si="1"/>
        <v>26821</v>
      </c>
      <c r="AG49">
        <f t="shared" si="2"/>
        <v>1.9219634539591544</v>
      </c>
      <c r="AH49">
        <f t="shared" si="3"/>
        <v>103056</v>
      </c>
      <c r="AI49">
        <f t="shared" si="4"/>
        <v>103056</v>
      </c>
      <c r="AJ49" s="15">
        <f>'&gt;80 LTV'!AI49</f>
        <v>28907</v>
      </c>
      <c r="AK49" s="16">
        <f>'&lt;80 LTV'!AF49</f>
        <v>74149</v>
      </c>
      <c r="AL49" s="15">
        <f t="shared" si="5"/>
        <v>103056</v>
      </c>
    </row>
    <row r="50" spans="1:38" x14ac:dyDescent="0.25">
      <c r="A50" s="10">
        <v>39022</v>
      </c>
      <c r="B50" s="11">
        <v>96093</v>
      </c>
      <c r="C50" s="11" t="s">
        <v>2</v>
      </c>
      <c r="D50" s="1"/>
      <c r="F50" s="10">
        <v>38808</v>
      </c>
      <c r="G50" s="11">
        <v>46473</v>
      </c>
      <c r="H50" s="11" t="s">
        <v>16</v>
      </c>
      <c r="L50" s="3">
        <v>39692</v>
      </c>
      <c r="M50" s="5">
        <v>11583</v>
      </c>
      <c r="N50" s="5"/>
      <c r="O50" s="5">
        <v>67217</v>
      </c>
      <c r="P50" s="5"/>
      <c r="Q50" s="5"/>
      <c r="R50" s="5">
        <v>78800</v>
      </c>
      <c r="V50" s="3">
        <v>39692</v>
      </c>
      <c r="W50" s="5">
        <v>333</v>
      </c>
      <c r="X50" s="5">
        <v>47681</v>
      </c>
      <c r="Y50" s="5">
        <v>30786</v>
      </c>
      <c r="Z50" s="5">
        <v>78800</v>
      </c>
      <c r="AD50" s="3">
        <v>41306</v>
      </c>
      <c r="AE50">
        <f t="shared" si="0"/>
        <v>14118</v>
      </c>
      <c r="AF50">
        <f t="shared" si="1"/>
        <v>27440</v>
      </c>
      <c r="AG50">
        <f t="shared" si="2"/>
        <v>1.9436180762147612</v>
      </c>
      <c r="AH50">
        <f t="shared" si="3"/>
        <v>112984</v>
      </c>
      <c r="AI50">
        <f t="shared" si="4"/>
        <v>112984</v>
      </c>
      <c r="AJ50" s="15">
        <f>'&gt;80 LTV'!AI50</f>
        <v>30974</v>
      </c>
      <c r="AK50" s="16">
        <f>'&lt;80 LTV'!AF50</f>
        <v>82010</v>
      </c>
      <c r="AL50" s="15">
        <f t="shared" si="5"/>
        <v>112984</v>
      </c>
    </row>
    <row r="51" spans="1:38" x14ac:dyDescent="0.25">
      <c r="A51" s="10">
        <v>39052</v>
      </c>
      <c r="B51" s="11">
        <v>17880</v>
      </c>
      <c r="C51" s="11" t="s">
        <v>3</v>
      </c>
      <c r="D51" s="1"/>
      <c r="F51" s="10">
        <v>38808</v>
      </c>
      <c r="G51" s="11">
        <v>52156</v>
      </c>
      <c r="H51" s="11" t="s">
        <v>15</v>
      </c>
      <c r="L51" s="3">
        <v>39722</v>
      </c>
      <c r="M51" s="5">
        <v>7202</v>
      </c>
      <c r="N51" s="5"/>
      <c r="O51" s="5">
        <v>45118</v>
      </c>
      <c r="P51" s="5"/>
      <c r="Q51" s="5"/>
      <c r="R51" s="5">
        <v>52320</v>
      </c>
      <c r="V51" s="3">
        <v>39722</v>
      </c>
      <c r="W51" s="5">
        <v>226</v>
      </c>
      <c r="X51" s="5">
        <v>32670</v>
      </c>
      <c r="Y51" s="5">
        <v>19424</v>
      </c>
      <c r="Z51" s="5">
        <v>52320</v>
      </c>
      <c r="AD51" s="3">
        <v>41334</v>
      </c>
      <c r="AE51">
        <f t="shared" si="0"/>
        <v>15173</v>
      </c>
      <c r="AF51">
        <f t="shared" si="1"/>
        <v>29625</v>
      </c>
      <c r="AG51">
        <f t="shared" si="2"/>
        <v>1.9524813814011732</v>
      </c>
      <c r="AH51">
        <f t="shared" si="3"/>
        <v>118075</v>
      </c>
      <c r="AI51">
        <f t="shared" si="4"/>
        <v>118075</v>
      </c>
      <c r="AJ51" s="15">
        <f>'&gt;80 LTV'!AI51</f>
        <v>31277</v>
      </c>
      <c r="AK51" s="16">
        <f>'&lt;80 LTV'!AF51</f>
        <v>86798</v>
      </c>
      <c r="AL51" s="15">
        <f t="shared" si="5"/>
        <v>118075</v>
      </c>
    </row>
    <row r="52" spans="1:38" x14ac:dyDescent="0.25">
      <c r="A52" s="10">
        <v>39052</v>
      </c>
      <c r="B52" s="11">
        <v>107333</v>
      </c>
      <c r="C52" s="11" t="s">
        <v>2</v>
      </c>
      <c r="D52" s="1"/>
      <c r="F52" s="10">
        <v>38808</v>
      </c>
      <c r="G52" s="11">
        <v>1447</v>
      </c>
      <c r="H52" s="11" t="s">
        <v>14</v>
      </c>
      <c r="L52" s="3">
        <v>39753</v>
      </c>
      <c r="M52" s="5">
        <v>10585</v>
      </c>
      <c r="N52" s="5"/>
      <c r="O52" s="5">
        <v>50695</v>
      </c>
      <c r="P52" s="5"/>
      <c r="Q52" s="5"/>
      <c r="R52" s="5">
        <v>61280</v>
      </c>
      <c r="V52" s="3">
        <v>39753</v>
      </c>
      <c r="W52" s="5">
        <v>278</v>
      </c>
      <c r="X52" s="5">
        <v>35789</v>
      </c>
      <c r="Y52" s="5">
        <v>25213</v>
      </c>
      <c r="Z52" s="5">
        <v>61280</v>
      </c>
      <c r="AD52" s="3">
        <v>41365</v>
      </c>
      <c r="AE52">
        <f t="shared" si="0"/>
        <v>15258</v>
      </c>
      <c r="AF52">
        <f t="shared" si="1"/>
        <v>29886</v>
      </c>
      <c r="AG52">
        <f t="shared" si="2"/>
        <v>1.9587101848210775</v>
      </c>
      <c r="AH52">
        <f t="shared" si="3"/>
        <v>116686</v>
      </c>
      <c r="AI52">
        <f t="shared" si="4"/>
        <v>116686</v>
      </c>
      <c r="AJ52" s="15">
        <f>'&gt;80 LTV'!AI52</f>
        <v>31822</v>
      </c>
      <c r="AK52" s="16">
        <f>'&lt;80 LTV'!AF52</f>
        <v>84864</v>
      </c>
      <c r="AL52" s="15">
        <f t="shared" si="5"/>
        <v>116686</v>
      </c>
    </row>
    <row r="53" spans="1:38" x14ac:dyDescent="0.25">
      <c r="A53" s="10">
        <v>39083</v>
      </c>
      <c r="B53" s="11">
        <v>98456</v>
      </c>
      <c r="C53" s="11" t="s">
        <v>2</v>
      </c>
      <c r="D53" s="1"/>
      <c r="F53" s="10">
        <v>38838</v>
      </c>
      <c r="G53" s="11">
        <v>57551</v>
      </c>
      <c r="H53" s="11" t="s">
        <v>16</v>
      </c>
      <c r="L53" s="3">
        <v>39783</v>
      </c>
      <c r="M53" s="5">
        <v>15821</v>
      </c>
      <c r="N53" s="5"/>
      <c r="O53" s="5">
        <v>52104</v>
      </c>
      <c r="P53" s="5"/>
      <c r="Q53" s="5"/>
      <c r="R53" s="5">
        <v>67925</v>
      </c>
      <c r="V53" s="3">
        <v>39783</v>
      </c>
      <c r="W53" s="5">
        <v>438</v>
      </c>
      <c r="X53" s="5">
        <v>33349</v>
      </c>
      <c r="Y53" s="5">
        <v>34138</v>
      </c>
      <c r="Z53" s="5">
        <v>67925</v>
      </c>
      <c r="AD53" s="3">
        <v>41395</v>
      </c>
      <c r="AE53">
        <f t="shared" si="0"/>
        <v>15539</v>
      </c>
      <c r="AF53">
        <f t="shared" si="1"/>
        <v>30221</v>
      </c>
      <c r="AG53">
        <f t="shared" si="2"/>
        <v>1.9448484458459361</v>
      </c>
      <c r="AH53">
        <f t="shared" si="3"/>
        <v>108893</v>
      </c>
      <c r="AI53">
        <f t="shared" si="4"/>
        <v>108893</v>
      </c>
      <c r="AJ53" s="15">
        <f>'&gt;80 LTV'!AI53</f>
        <v>32342</v>
      </c>
      <c r="AK53" s="16">
        <f>'&lt;80 LTV'!AF53</f>
        <v>76551</v>
      </c>
      <c r="AL53" s="15">
        <f t="shared" si="5"/>
        <v>108893</v>
      </c>
    </row>
    <row r="54" spans="1:38" x14ac:dyDescent="0.25">
      <c r="A54" s="10">
        <v>39083</v>
      </c>
      <c r="B54" s="11">
        <v>17232</v>
      </c>
      <c r="C54" s="11" t="s">
        <v>3</v>
      </c>
      <c r="D54" s="1"/>
      <c r="F54" s="10">
        <v>38838</v>
      </c>
      <c r="G54" s="11">
        <v>54694</v>
      </c>
      <c r="H54" s="11" t="s">
        <v>15</v>
      </c>
      <c r="L54" s="3">
        <v>39814</v>
      </c>
      <c r="M54" s="5">
        <v>7542</v>
      </c>
      <c r="N54" s="5"/>
      <c r="O54" s="5">
        <v>32449</v>
      </c>
      <c r="P54" s="5"/>
      <c r="Q54" s="5"/>
      <c r="R54" s="5">
        <v>39991</v>
      </c>
      <c r="V54" s="3">
        <v>39814</v>
      </c>
      <c r="W54" s="5">
        <v>194</v>
      </c>
      <c r="X54" s="5">
        <v>22723</v>
      </c>
      <c r="Y54" s="5">
        <v>17074</v>
      </c>
      <c r="Z54" s="5">
        <v>39991</v>
      </c>
      <c r="AD54" s="3">
        <v>41426</v>
      </c>
      <c r="AE54">
        <f t="shared" si="0"/>
        <v>14591</v>
      </c>
      <c r="AF54">
        <f t="shared" si="1"/>
        <v>28245</v>
      </c>
      <c r="AG54">
        <f t="shared" si="2"/>
        <v>1.9357823315742582</v>
      </c>
      <c r="AH54">
        <f t="shared" si="3"/>
        <v>103571</v>
      </c>
      <c r="AI54">
        <f t="shared" si="4"/>
        <v>103571</v>
      </c>
      <c r="AJ54" s="15">
        <f>'&gt;80 LTV'!AI54</f>
        <v>32375</v>
      </c>
      <c r="AK54" s="16">
        <f>'&lt;80 LTV'!AF54</f>
        <v>71196</v>
      </c>
      <c r="AL54" s="15">
        <f t="shared" si="5"/>
        <v>103571</v>
      </c>
    </row>
    <row r="55" spans="1:38" x14ac:dyDescent="0.25">
      <c r="A55" s="10">
        <v>39114</v>
      </c>
      <c r="B55" s="11">
        <v>21209</v>
      </c>
      <c r="C55" s="11" t="s">
        <v>3</v>
      </c>
      <c r="D55" s="1"/>
      <c r="F55" s="10">
        <v>38838</v>
      </c>
      <c r="G55" s="11">
        <v>1400</v>
      </c>
      <c r="H55" s="11" t="s">
        <v>14</v>
      </c>
      <c r="L55" s="3">
        <v>39845</v>
      </c>
      <c r="M55" s="5">
        <v>32323</v>
      </c>
      <c r="N55" s="5"/>
      <c r="O55" s="5">
        <v>52470</v>
      </c>
      <c r="P55" s="5"/>
      <c r="Q55" s="5"/>
      <c r="R55" s="5">
        <v>84793</v>
      </c>
      <c r="V55" s="3">
        <v>39845</v>
      </c>
      <c r="W55" s="5">
        <v>720</v>
      </c>
      <c r="X55" s="5">
        <v>31141</v>
      </c>
      <c r="Y55" s="5">
        <v>52932</v>
      </c>
      <c r="Z55" s="5">
        <v>84793</v>
      </c>
      <c r="AD55" s="3">
        <v>41456</v>
      </c>
      <c r="AE55">
        <f t="shared" si="0"/>
        <v>13308</v>
      </c>
      <c r="AF55">
        <f t="shared" si="1"/>
        <v>26789</v>
      </c>
      <c r="AG55">
        <f t="shared" si="2"/>
        <v>2.012999699428915</v>
      </c>
      <c r="AH55">
        <f t="shared" si="3"/>
        <v>121758</v>
      </c>
      <c r="AI55">
        <f t="shared" si="4"/>
        <v>121758</v>
      </c>
      <c r="AJ55" s="15">
        <f>'&gt;80 LTV'!AI55</f>
        <v>35942</v>
      </c>
      <c r="AK55" s="16">
        <f>'&lt;80 LTV'!AF55</f>
        <v>85816</v>
      </c>
      <c r="AL55" s="15">
        <f t="shared" si="5"/>
        <v>121758</v>
      </c>
    </row>
    <row r="56" spans="1:38" x14ac:dyDescent="0.25">
      <c r="A56" s="10">
        <v>39114</v>
      </c>
      <c r="B56" s="11">
        <v>99305</v>
      </c>
      <c r="C56" s="11" t="s">
        <v>2</v>
      </c>
      <c r="D56" s="1"/>
      <c r="F56" s="10">
        <v>38869</v>
      </c>
      <c r="G56" s="11">
        <v>1389</v>
      </c>
      <c r="H56" s="11" t="s">
        <v>14</v>
      </c>
      <c r="L56" s="3">
        <v>39873</v>
      </c>
      <c r="M56" s="5">
        <v>81506</v>
      </c>
      <c r="N56" s="5"/>
      <c r="O56" s="5">
        <v>58125</v>
      </c>
      <c r="P56" s="5"/>
      <c r="Q56" s="5"/>
      <c r="R56" s="5">
        <v>139631</v>
      </c>
      <c r="V56" s="3">
        <v>39873</v>
      </c>
      <c r="W56" s="5">
        <v>1767</v>
      </c>
      <c r="X56" s="5">
        <v>19666</v>
      </c>
      <c r="Y56" s="5">
        <v>118198</v>
      </c>
      <c r="Z56" s="5">
        <v>139631</v>
      </c>
      <c r="AD56" s="3">
        <v>41487</v>
      </c>
      <c r="AE56">
        <f t="shared" si="0"/>
        <v>11511</v>
      </c>
      <c r="AF56">
        <f t="shared" si="1"/>
        <v>23013</v>
      </c>
      <c r="AG56">
        <f t="shared" si="2"/>
        <v>1.9992181391712276</v>
      </c>
      <c r="AH56">
        <f t="shared" si="3"/>
        <v>111019</v>
      </c>
      <c r="AI56">
        <f t="shared" si="4"/>
        <v>111019</v>
      </c>
      <c r="AJ56" s="15">
        <f>'&gt;80 LTV'!AI56</f>
        <v>32841</v>
      </c>
      <c r="AK56" s="16">
        <f>'&lt;80 LTV'!AF56</f>
        <v>78178</v>
      </c>
      <c r="AL56" s="15">
        <f t="shared" si="5"/>
        <v>111019</v>
      </c>
    </row>
    <row r="57" spans="1:38" x14ac:dyDescent="0.25">
      <c r="A57" s="10">
        <v>39142</v>
      </c>
      <c r="B57" s="11">
        <v>86895</v>
      </c>
      <c r="C57" s="11" t="s">
        <v>2</v>
      </c>
      <c r="D57" s="1"/>
      <c r="F57" s="10">
        <v>38869</v>
      </c>
      <c r="G57" s="11">
        <v>58541</v>
      </c>
      <c r="H57" s="11" t="s">
        <v>16</v>
      </c>
      <c r="L57" s="3">
        <v>39904</v>
      </c>
      <c r="M57" s="5">
        <v>104826</v>
      </c>
      <c r="N57" s="5"/>
      <c r="O57" s="5">
        <v>72314</v>
      </c>
      <c r="P57" s="5"/>
      <c r="Q57" s="5"/>
      <c r="R57" s="5">
        <v>177140</v>
      </c>
      <c r="V57" s="3">
        <v>39904</v>
      </c>
      <c r="W57" s="5">
        <v>1958</v>
      </c>
      <c r="X57" s="5">
        <v>22054</v>
      </c>
      <c r="Y57" s="5">
        <v>153128</v>
      </c>
      <c r="Z57" s="5">
        <v>177140</v>
      </c>
      <c r="AD57" s="3">
        <v>41518</v>
      </c>
      <c r="AE57">
        <f t="shared" si="0"/>
        <v>10589</v>
      </c>
      <c r="AF57">
        <f t="shared" si="1"/>
        <v>20542</v>
      </c>
      <c r="AG57">
        <f t="shared" si="2"/>
        <v>1.9399376711681935</v>
      </c>
      <c r="AH57">
        <f t="shared" si="3"/>
        <v>95738</v>
      </c>
      <c r="AI57">
        <f t="shared" si="4"/>
        <v>95738</v>
      </c>
      <c r="AJ57" s="15">
        <f>'&gt;80 LTV'!AI57</f>
        <v>30387</v>
      </c>
      <c r="AK57" s="16">
        <f>'&lt;80 LTV'!AF57</f>
        <v>65351</v>
      </c>
      <c r="AL57" s="15">
        <f t="shared" si="5"/>
        <v>95738</v>
      </c>
    </row>
    <row r="58" spans="1:38" x14ac:dyDescent="0.25">
      <c r="A58" s="10">
        <v>39142</v>
      </c>
      <c r="B58" s="11">
        <v>20923</v>
      </c>
      <c r="C58" s="11" t="s">
        <v>3</v>
      </c>
      <c r="D58" s="1"/>
      <c r="F58" s="10">
        <v>38869</v>
      </c>
      <c r="G58" s="11">
        <v>47055</v>
      </c>
      <c r="H58" s="11" t="s">
        <v>15</v>
      </c>
      <c r="L58" s="3">
        <v>39934</v>
      </c>
      <c r="M58" s="5">
        <v>108692</v>
      </c>
      <c r="N58" s="5"/>
      <c r="O58" s="5">
        <v>87478</v>
      </c>
      <c r="P58" s="5"/>
      <c r="Q58" s="5"/>
      <c r="R58" s="5">
        <v>196170</v>
      </c>
      <c r="V58" s="3">
        <v>39934</v>
      </c>
      <c r="W58" s="5">
        <v>1844</v>
      </c>
      <c r="X58" s="5">
        <v>31459</v>
      </c>
      <c r="Y58" s="5">
        <v>162867</v>
      </c>
      <c r="Z58" s="5">
        <v>196170</v>
      </c>
      <c r="AD58" s="3">
        <v>41548</v>
      </c>
      <c r="AE58">
        <f t="shared" si="0"/>
        <v>8489</v>
      </c>
      <c r="AF58">
        <f t="shared" si="1"/>
        <v>15993</v>
      </c>
      <c r="AG58">
        <f t="shared" si="2"/>
        <v>1.8839674873365533</v>
      </c>
      <c r="AH58">
        <f t="shared" si="3"/>
        <v>76755</v>
      </c>
      <c r="AI58">
        <f t="shared" si="4"/>
        <v>76755</v>
      </c>
      <c r="AJ58" s="15">
        <f>'&gt;80 LTV'!AI58</f>
        <v>25586</v>
      </c>
      <c r="AK58" s="16">
        <f>'&lt;80 LTV'!AF58</f>
        <v>51169</v>
      </c>
      <c r="AL58" s="15">
        <f t="shared" si="5"/>
        <v>76755</v>
      </c>
    </row>
    <row r="59" spans="1:38" x14ac:dyDescent="0.25">
      <c r="A59" s="10">
        <v>39173</v>
      </c>
      <c r="B59" s="11">
        <v>93294</v>
      </c>
      <c r="C59" s="11" t="s">
        <v>2</v>
      </c>
      <c r="D59" s="1"/>
      <c r="F59" s="10">
        <v>38899</v>
      </c>
      <c r="G59" s="11">
        <v>1405</v>
      </c>
      <c r="H59" s="11" t="s">
        <v>14</v>
      </c>
      <c r="L59" s="3">
        <v>39965</v>
      </c>
      <c r="M59" s="5"/>
      <c r="N59" s="5">
        <v>10383</v>
      </c>
      <c r="O59" s="5">
        <v>80977</v>
      </c>
      <c r="P59" s="5">
        <v>94312</v>
      </c>
      <c r="Q59" s="5"/>
      <c r="R59" s="5">
        <v>185672</v>
      </c>
      <c r="V59" s="3">
        <v>39965</v>
      </c>
      <c r="W59" s="5">
        <v>4272</v>
      </c>
      <c r="X59" s="5">
        <v>29540</v>
      </c>
      <c r="Y59" s="5">
        <v>151860</v>
      </c>
      <c r="Z59" s="5">
        <v>185672</v>
      </c>
      <c r="AD59" s="3">
        <v>41579</v>
      </c>
      <c r="AE59">
        <f t="shared" si="0"/>
        <v>6264</v>
      </c>
      <c r="AF59">
        <f t="shared" si="1"/>
        <v>12082</v>
      </c>
      <c r="AG59">
        <f t="shared" si="2"/>
        <v>1.9287994891443168</v>
      </c>
      <c r="AH59">
        <f t="shared" si="3"/>
        <v>61630</v>
      </c>
      <c r="AI59">
        <f t="shared" si="4"/>
        <v>61630</v>
      </c>
      <c r="AJ59" s="15">
        <f>'&gt;80 LTV'!AI59</f>
        <v>20817</v>
      </c>
      <c r="AK59" s="16">
        <f>'&lt;80 LTV'!AF59</f>
        <v>40813</v>
      </c>
      <c r="AL59" s="15">
        <f t="shared" si="5"/>
        <v>61630</v>
      </c>
    </row>
    <row r="60" spans="1:38" x14ac:dyDescent="0.25">
      <c r="A60" s="10">
        <v>39173</v>
      </c>
      <c r="B60" s="11">
        <v>18017</v>
      </c>
      <c r="C60" s="11" t="s">
        <v>3</v>
      </c>
      <c r="D60" s="1"/>
      <c r="F60" s="10">
        <v>38899</v>
      </c>
      <c r="G60" s="11">
        <v>67928</v>
      </c>
      <c r="H60" s="11" t="s">
        <v>16</v>
      </c>
      <c r="L60" s="3">
        <v>39995</v>
      </c>
      <c r="M60" s="5"/>
      <c r="N60" s="5">
        <v>16311</v>
      </c>
      <c r="O60" s="5">
        <v>82570</v>
      </c>
      <c r="P60" s="5">
        <v>90531</v>
      </c>
      <c r="Q60" s="5"/>
      <c r="R60" s="5">
        <v>189412</v>
      </c>
      <c r="V60" s="3">
        <v>39995</v>
      </c>
      <c r="W60" s="5">
        <v>9557</v>
      </c>
      <c r="X60" s="5">
        <v>32401</v>
      </c>
      <c r="Y60" s="5">
        <v>147454</v>
      </c>
      <c r="Z60" s="5">
        <v>189412</v>
      </c>
      <c r="AD60" s="3">
        <v>41609</v>
      </c>
      <c r="AE60">
        <f t="shared" si="0"/>
        <v>5421</v>
      </c>
      <c r="AF60">
        <f t="shared" si="1"/>
        <v>10922</v>
      </c>
      <c r="AG60">
        <f t="shared" si="2"/>
        <v>2.0147574248293671</v>
      </c>
      <c r="AH60">
        <f t="shared" si="3"/>
        <v>64624</v>
      </c>
      <c r="AI60">
        <f t="shared" si="4"/>
        <v>64624</v>
      </c>
      <c r="AJ60" s="15">
        <f>'&gt;80 LTV'!AI60</f>
        <v>20796</v>
      </c>
      <c r="AK60" s="16">
        <f>'&lt;80 LTV'!AF60</f>
        <v>43828</v>
      </c>
      <c r="AL60" s="15">
        <f t="shared" si="5"/>
        <v>64624</v>
      </c>
    </row>
    <row r="61" spans="1:38" x14ac:dyDescent="0.25">
      <c r="A61" s="10">
        <v>39203</v>
      </c>
      <c r="B61" s="11">
        <v>118081</v>
      </c>
      <c r="C61" s="11" t="s">
        <v>2</v>
      </c>
      <c r="D61" s="1"/>
      <c r="F61" s="10">
        <v>38899</v>
      </c>
      <c r="G61" s="11">
        <v>45291</v>
      </c>
      <c r="H61" s="11" t="s">
        <v>15</v>
      </c>
      <c r="L61" s="3">
        <v>40026</v>
      </c>
      <c r="M61" s="5"/>
      <c r="N61" s="5">
        <v>25480</v>
      </c>
      <c r="O61" s="5">
        <v>89410</v>
      </c>
      <c r="P61" s="5">
        <v>71783</v>
      </c>
      <c r="Q61" s="5"/>
      <c r="R61" s="5">
        <v>186673</v>
      </c>
      <c r="V61" s="3">
        <v>40026</v>
      </c>
      <c r="W61" s="5">
        <v>15810</v>
      </c>
      <c r="X61" s="5">
        <v>42327</v>
      </c>
      <c r="Y61" s="5">
        <v>128536</v>
      </c>
      <c r="Z61" s="5">
        <v>186673</v>
      </c>
      <c r="AD61" s="3">
        <v>41640</v>
      </c>
      <c r="AE61">
        <f t="shared" si="0"/>
        <v>4753</v>
      </c>
      <c r="AF61">
        <f t="shared" si="1"/>
        <v>9752</v>
      </c>
      <c r="AG61">
        <f t="shared" si="2"/>
        <v>2.0517567851883021</v>
      </c>
      <c r="AH61">
        <f t="shared" si="3"/>
        <v>65169</v>
      </c>
      <c r="AI61">
        <f t="shared" si="4"/>
        <v>65169</v>
      </c>
      <c r="AJ61" s="15">
        <f>'&gt;80 LTV'!AI61</f>
        <v>20698</v>
      </c>
      <c r="AK61" s="16">
        <f>'&lt;80 LTV'!AF61</f>
        <v>44471</v>
      </c>
      <c r="AL61" s="15">
        <f t="shared" si="5"/>
        <v>65169</v>
      </c>
    </row>
    <row r="62" spans="1:38" x14ac:dyDescent="0.25">
      <c r="A62" s="10">
        <v>39203</v>
      </c>
      <c r="B62" s="11">
        <v>22875</v>
      </c>
      <c r="C62" s="11" t="s">
        <v>3</v>
      </c>
      <c r="D62" s="1"/>
      <c r="F62" s="10">
        <v>38930</v>
      </c>
      <c r="G62" s="11">
        <v>78616</v>
      </c>
      <c r="H62" s="11" t="s">
        <v>16</v>
      </c>
      <c r="L62" s="3">
        <v>40057</v>
      </c>
      <c r="M62" s="5"/>
      <c r="N62" s="5">
        <v>22620</v>
      </c>
      <c r="O62" s="5">
        <v>83867</v>
      </c>
      <c r="P62" s="5">
        <v>45076</v>
      </c>
      <c r="Q62" s="5"/>
      <c r="R62" s="5">
        <v>151563</v>
      </c>
      <c r="V62" s="3">
        <v>40057</v>
      </c>
      <c r="W62" s="5">
        <v>14494</v>
      </c>
      <c r="X62" s="5">
        <v>47389</v>
      </c>
      <c r="Y62" s="5">
        <v>89680</v>
      </c>
      <c r="Z62" s="5">
        <v>151563</v>
      </c>
      <c r="AD62" s="3">
        <v>41671</v>
      </c>
      <c r="AE62">
        <f t="shared" si="0"/>
        <v>4811</v>
      </c>
      <c r="AF62">
        <f t="shared" si="1"/>
        <v>9671</v>
      </c>
      <c r="AG62">
        <f t="shared" si="2"/>
        <v>2.0101849927250051</v>
      </c>
      <c r="AH62">
        <f t="shared" si="3"/>
        <v>67525</v>
      </c>
      <c r="AI62">
        <f t="shared" si="4"/>
        <v>67525</v>
      </c>
      <c r="AJ62" s="15">
        <f>'&gt;80 LTV'!AI62</f>
        <v>21746</v>
      </c>
      <c r="AK62" s="16">
        <f>'&lt;80 LTV'!AF62</f>
        <v>45779</v>
      </c>
      <c r="AL62" s="15">
        <f t="shared" si="5"/>
        <v>67525</v>
      </c>
    </row>
    <row r="63" spans="1:38" x14ac:dyDescent="0.25">
      <c r="A63" s="10">
        <v>39234</v>
      </c>
      <c r="B63" s="11">
        <v>24801</v>
      </c>
      <c r="C63" s="11" t="s">
        <v>3</v>
      </c>
      <c r="D63" s="1"/>
      <c r="F63" s="10">
        <v>38930</v>
      </c>
      <c r="G63" s="11">
        <v>42657</v>
      </c>
      <c r="H63" s="11" t="s">
        <v>15</v>
      </c>
      <c r="L63" s="3">
        <v>40087</v>
      </c>
      <c r="M63" s="5"/>
      <c r="N63" s="5">
        <v>16406</v>
      </c>
      <c r="O63" s="5">
        <v>62931</v>
      </c>
      <c r="P63" s="5">
        <v>24616</v>
      </c>
      <c r="Q63" s="5"/>
      <c r="R63" s="5">
        <v>103953</v>
      </c>
      <c r="V63" s="3">
        <v>40087</v>
      </c>
      <c r="W63" s="5">
        <v>9396</v>
      </c>
      <c r="X63" s="5">
        <v>38662</v>
      </c>
      <c r="Y63" s="5">
        <v>55895</v>
      </c>
      <c r="Z63" s="5">
        <v>103953</v>
      </c>
      <c r="AD63" s="3">
        <v>41699</v>
      </c>
      <c r="AE63">
        <f t="shared" si="0"/>
        <v>3966</v>
      </c>
      <c r="AF63">
        <f t="shared" si="1"/>
        <v>8095</v>
      </c>
      <c r="AG63">
        <f t="shared" si="2"/>
        <v>2.0410993444276349</v>
      </c>
      <c r="AH63">
        <f t="shared" si="3"/>
        <v>46864</v>
      </c>
      <c r="AI63">
        <f t="shared" si="4"/>
        <v>46864</v>
      </c>
      <c r="AJ63" s="15">
        <f>'&gt;80 LTV'!AI63</f>
        <v>14988</v>
      </c>
      <c r="AK63" s="16">
        <f>'&lt;80 LTV'!AF63</f>
        <v>31876</v>
      </c>
      <c r="AL63" s="15">
        <f t="shared" si="5"/>
        <v>46864</v>
      </c>
    </row>
    <row r="64" spans="1:38" x14ac:dyDescent="0.25">
      <c r="A64" s="10">
        <v>39234</v>
      </c>
      <c r="B64" s="11">
        <v>122699</v>
      </c>
      <c r="C64" s="11" t="s">
        <v>2</v>
      </c>
      <c r="D64" s="1"/>
      <c r="F64" s="10">
        <v>38930</v>
      </c>
      <c r="G64" s="11">
        <v>1330</v>
      </c>
      <c r="H64" s="11" t="s">
        <v>14</v>
      </c>
      <c r="L64" s="3">
        <v>40118</v>
      </c>
      <c r="M64" s="5"/>
      <c r="N64" s="5">
        <v>13051</v>
      </c>
      <c r="O64" s="5">
        <v>58846</v>
      </c>
      <c r="P64" s="5">
        <v>20958</v>
      </c>
      <c r="Q64" s="5"/>
      <c r="R64" s="5">
        <v>92855</v>
      </c>
      <c r="V64" s="3">
        <v>40118</v>
      </c>
      <c r="W64" s="5">
        <v>7014</v>
      </c>
      <c r="X64" s="5">
        <v>36327</v>
      </c>
      <c r="Y64" s="5">
        <v>49514</v>
      </c>
      <c r="Z64" s="5">
        <v>92855</v>
      </c>
      <c r="AD64" s="3">
        <v>41730</v>
      </c>
      <c r="AE64">
        <f t="shared" si="0"/>
        <v>3315</v>
      </c>
      <c r="AF64">
        <f t="shared" si="1"/>
        <v>0</v>
      </c>
      <c r="AG64">
        <f t="shared" si="2"/>
        <v>0</v>
      </c>
      <c r="AH64">
        <f t="shared" si="3"/>
        <v>47251</v>
      </c>
      <c r="AI64">
        <f t="shared" si="4"/>
        <v>47251</v>
      </c>
      <c r="AJ64" s="15">
        <f>'&gt;80 LTV'!AI64</f>
        <v>15796</v>
      </c>
      <c r="AK64" s="16">
        <f>'&lt;80 LTV'!AF64</f>
        <v>31455</v>
      </c>
      <c r="AL64" s="15">
        <f t="shared" si="5"/>
        <v>47251</v>
      </c>
    </row>
    <row r="65" spans="1:38" x14ac:dyDescent="0.25">
      <c r="A65" s="10">
        <v>39264</v>
      </c>
      <c r="B65" s="11">
        <v>21810</v>
      </c>
      <c r="C65" s="11" t="s">
        <v>3</v>
      </c>
      <c r="D65" s="1"/>
      <c r="F65" s="10">
        <v>38961</v>
      </c>
      <c r="G65" s="11">
        <v>70755</v>
      </c>
      <c r="H65" s="11" t="s">
        <v>16</v>
      </c>
      <c r="L65" s="3">
        <v>40148</v>
      </c>
      <c r="M65" s="5"/>
      <c r="N65" s="5">
        <v>18179</v>
      </c>
      <c r="O65" s="5">
        <v>62802</v>
      </c>
      <c r="P65" s="5">
        <v>26484</v>
      </c>
      <c r="Q65" s="5"/>
      <c r="R65" s="5">
        <v>107465</v>
      </c>
      <c r="V65" s="3">
        <v>40148</v>
      </c>
      <c r="W65" s="5">
        <v>9189</v>
      </c>
      <c r="X65" s="5">
        <v>38253</v>
      </c>
      <c r="Y65" s="5">
        <v>60023</v>
      </c>
      <c r="Z65" s="5">
        <v>107465</v>
      </c>
      <c r="AD65" s="3">
        <v>41760</v>
      </c>
      <c r="AE65">
        <f t="shared" si="0"/>
        <v>3393</v>
      </c>
      <c r="AF65">
        <f t="shared" si="1"/>
        <v>0</v>
      </c>
      <c r="AG65">
        <f t="shared" si="2"/>
        <v>0</v>
      </c>
      <c r="AH65">
        <f t="shared" si="3"/>
        <v>61324</v>
      </c>
      <c r="AI65">
        <f t="shared" si="4"/>
        <v>61324</v>
      </c>
      <c r="AJ65" s="15">
        <f>'&gt;80 LTV'!AI65</f>
        <v>20982</v>
      </c>
      <c r="AK65" s="16">
        <f>'&lt;80 LTV'!AF65</f>
        <v>40342</v>
      </c>
      <c r="AL65" s="15">
        <f t="shared" si="5"/>
        <v>61324</v>
      </c>
    </row>
    <row r="66" spans="1:38" x14ac:dyDescent="0.25">
      <c r="A66" s="10">
        <v>39264</v>
      </c>
      <c r="B66" s="11">
        <v>125490</v>
      </c>
      <c r="C66" s="11" t="s">
        <v>2</v>
      </c>
      <c r="D66" s="1"/>
      <c r="F66" s="10">
        <v>38961</v>
      </c>
      <c r="G66" s="11">
        <v>40158</v>
      </c>
      <c r="H66" s="11" t="s">
        <v>15</v>
      </c>
      <c r="L66" s="3">
        <v>40179</v>
      </c>
      <c r="M66" s="5"/>
      <c r="N66" s="5">
        <v>23590</v>
      </c>
      <c r="O66" s="5">
        <v>60390</v>
      </c>
      <c r="P66" s="5">
        <v>27562</v>
      </c>
      <c r="Q66" s="5"/>
      <c r="R66" s="5">
        <v>111542</v>
      </c>
      <c r="V66" s="3">
        <v>40179</v>
      </c>
      <c r="W66" s="5">
        <v>11722</v>
      </c>
      <c r="X66" s="5">
        <v>35825</v>
      </c>
      <c r="Y66" s="5">
        <v>63995</v>
      </c>
      <c r="Z66" s="5">
        <v>111542</v>
      </c>
      <c r="AD66" s="3">
        <v>41791</v>
      </c>
      <c r="AE66">
        <f t="shared" si="0"/>
        <v>3249</v>
      </c>
      <c r="AF66">
        <f t="shared" si="1"/>
        <v>0</v>
      </c>
      <c r="AG66">
        <f t="shared" si="2"/>
        <v>0</v>
      </c>
      <c r="AH66">
        <f t="shared" si="3"/>
        <v>63988</v>
      </c>
      <c r="AI66">
        <f t="shared" si="4"/>
        <v>63988</v>
      </c>
      <c r="AJ66" s="15">
        <f>'&gt;80 LTV'!AI66</f>
        <v>22620</v>
      </c>
      <c r="AK66" s="16">
        <f>'&lt;80 LTV'!AF66</f>
        <v>41368</v>
      </c>
      <c r="AL66" s="15">
        <f t="shared" si="5"/>
        <v>63988</v>
      </c>
    </row>
    <row r="67" spans="1:38" x14ac:dyDescent="0.25">
      <c r="A67" s="10">
        <v>39295</v>
      </c>
      <c r="B67" s="11">
        <v>118350</v>
      </c>
      <c r="C67" s="11" t="s">
        <v>2</v>
      </c>
      <c r="D67" s="1"/>
      <c r="F67" s="10">
        <v>38961</v>
      </c>
      <c r="G67" s="11">
        <v>1215</v>
      </c>
      <c r="H67" s="11" t="s">
        <v>14</v>
      </c>
      <c r="L67" s="3">
        <v>40210</v>
      </c>
      <c r="M67" s="5"/>
      <c r="N67" s="5">
        <v>26564</v>
      </c>
      <c r="O67" s="5">
        <v>54738</v>
      </c>
      <c r="P67" s="5">
        <v>29806</v>
      </c>
      <c r="Q67" s="5"/>
      <c r="R67" s="5">
        <v>111108</v>
      </c>
      <c r="V67" s="3">
        <v>40210</v>
      </c>
      <c r="W67" s="5">
        <v>13737</v>
      </c>
      <c r="X67" s="5">
        <v>29685</v>
      </c>
      <c r="Y67" s="5">
        <v>67686</v>
      </c>
      <c r="Z67" s="5">
        <v>111108</v>
      </c>
      <c r="AD67" s="3">
        <v>41821</v>
      </c>
      <c r="AE67">
        <f t="shared" si="0"/>
        <v>2784</v>
      </c>
      <c r="AF67">
        <f t="shared" si="1"/>
        <v>0</v>
      </c>
      <c r="AG67">
        <f t="shared" si="2"/>
        <v>0</v>
      </c>
      <c r="AH67">
        <f t="shared" si="3"/>
        <v>68620</v>
      </c>
      <c r="AI67">
        <f t="shared" si="4"/>
        <v>68620</v>
      </c>
      <c r="AJ67" s="15">
        <f>'&gt;80 LTV'!AI67</f>
        <v>24951</v>
      </c>
      <c r="AK67" s="16">
        <f>'&lt;80 LTV'!AF67</f>
        <v>43669</v>
      </c>
      <c r="AL67" s="15">
        <f t="shared" si="5"/>
        <v>68620</v>
      </c>
    </row>
    <row r="68" spans="1:38" x14ac:dyDescent="0.25">
      <c r="A68" s="10">
        <v>39295</v>
      </c>
      <c r="B68" s="11">
        <v>17435</v>
      </c>
      <c r="C68" s="11" t="s">
        <v>3</v>
      </c>
      <c r="D68" s="1"/>
      <c r="F68" s="10">
        <v>38991</v>
      </c>
      <c r="G68" s="11">
        <v>1252</v>
      </c>
      <c r="H68" s="11" t="s">
        <v>14</v>
      </c>
      <c r="L68" s="3">
        <v>40238</v>
      </c>
      <c r="M68" s="5"/>
      <c r="N68" s="5">
        <v>24648</v>
      </c>
      <c r="O68" s="5">
        <v>43730</v>
      </c>
      <c r="P68" s="5">
        <v>25134</v>
      </c>
      <c r="Q68" s="5"/>
      <c r="R68" s="5">
        <v>93512</v>
      </c>
      <c r="V68" s="3">
        <v>40238</v>
      </c>
      <c r="W68" s="5">
        <v>12676</v>
      </c>
      <c r="X68" s="5">
        <v>21691</v>
      </c>
      <c r="Y68" s="5">
        <v>59145</v>
      </c>
      <c r="Z68" s="5">
        <v>93512</v>
      </c>
      <c r="AD68" s="3">
        <v>41852</v>
      </c>
      <c r="AE68">
        <f t="shared" si="0"/>
        <v>2417</v>
      </c>
      <c r="AF68">
        <f t="shared" si="1"/>
        <v>0</v>
      </c>
      <c r="AG68">
        <f t="shared" si="2"/>
        <v>0</v>
      </c>
      <c r="AH68">
        <f t="shared" si="3"/>
        <v>81864</v>
      </c>
      <c r="AI68">
        <f t="shared" si="4"/>
        <v>81864</v>
      </c>
      <c r="AJ68" s="15">
        <f>'&gt;80 LTV'!AI68</f>
        <v>29558</v>
      </c>
      <c r="AK68" s="16">
        <f>'&lt;80 LTV'!AF68</f>
        <v>52306</v>
      </c>
      <c r="AL68" s="15">
        <f t="shared" si="5"/>
        <v>81864</v>
      </c>
    </row>
    <row r="69" spans="1:38" x14ac:dyDescent="0.25">
      <c r="A69" s="10">
        <v>39326</v>
      </c>
      <c r="B69" s="11">
        <v>15468</v>
      </c>
      <c r="C69" s="11" t="s">
        <v>3</v>
      </c>
      <c r="D69" s="1"/>
      <c r="F69" s="10">
        <v>38991</v>
      </c>
      <c r="G69" s="11">
        <v>69723</v>
      </c>
      <c r="H69" s="11" t="s">
        <v>16</v>
      </c>
      <c r="L69" s="3">
        <v>40269</v>
      </c>
      <c r="M69" s="5"/>
      <c r="N69" s="5">
        <v>17440</v>
      </c>
      <c r="O69" s="5">
        <v>42612</v>
      </c>
      <c r="P69" s="5">
        <v>17800</v>
      </c>
      <c r="Q69" s="5"/>
      <c r="R69" s="5">
        <v>77852</v>
      </c>
      <c r="V69" s="3">
        <v>40269</v>
      </c>
      <c r="W69" s="5">
        <v>9563</v>
      </c>
      <c r="X69" s="5">
        <v>23919</v>
      </c>
      <c r="Y69" s="5">
        <v>44370</v>
      </c>
      <c r="Z69" s="5">
        <v>77852</v>
      </c>
      <c r="AD69" s="3">
        <v>41883</v>
      </c>
      <c r="AE69">
        <f t="shared" si="0"/>
        <v>2312</v>
      </c>
      <c r="AF69">
        <f t="shared" si="1"/>
        <v>0</v>
      </c>
      <c r="AG69">
        <f t="shared" si="2"/>
        <v>0</v>
      </c>
      <c r="AH69">
        <f t="shared" si="3"/>
        <v>83785</v>
      </c>
      <c r="AI69">
        <f t="shared" si="4"/>
        <v>83785</v>
      </c>
      <c r="AJ69" s="15">
        <f>'&gt;80 LTV'!AI69</f>
        <v>29191</v>
      </c>
      <c r="AK69" s="16">
        <f>'&lt;80 LTV'!AF69</f>
        <v>54594</v>
      </c>
      <c r="AL69" s="15">
        <f t="shared" si="5"/>
        <v>83785</v>
      </c>
    </row>
    <row r="70" spans="1:38" x14ac:dyDescent="0.25">
      <c r="A70" s="10">
        <v>39326</v>
      </c>
      <c r="B70" s="11">
        <v>113663</v>
      </c>
      <c r="C70" s="11" t="s">
        <v>2</v>
      </c>
      <c r="D70" s="1"/>
      <c r="F70" s="10">
        <v>38991</v>
      </c>
      <c r="G70" s="11">
        <v>42945</v>
      </c>
      <c r="H70" s="11" t="s">
        <v>15</v>
      </c>
      <c r="L70" s="3">
        <v>40299</v>
      </c>
      <c r="M70" s="5"/>
      <c r="N70" s="5">
        <v>21045</v>
      </c>
      <c r="O70" s="5">
        <v>46376</v>
      </c>
      <c r="P70" s="5">
        <v>16829</v>
      </c>
      <c r="Q70" s="5"/>
      <c r="R70" s="5">
        <v>84250</v>
      </c>
      <c r="V70" s="3">
        <v>40299</v>
      </c>
      <c r="W70" s="5">
        <v>11244</v>
      </c>
      <c r="X70" s="5">
        <v>29020</v>
      </c>
      <c r="Y70" s="5">
        <v>43986</v>
      </c>
      <c r="Z70" s="5">
        <v>84250</v>
      </c>
      <c r="AD70" s="3">
        <v>41913</v>
      </c>
      <c r="AE70">
        <f t="shared" si="0"/>
        <v>2380</v>
      </c>
      <c r="AF70">
        <f t="shared" si="1"/>
        <v>0</v>
      </c>
      <c r="AG70">
        <f t="shared" si="2"/>
        <v>0</v>
      </c>
      <c r="AH70">
        <f t="shared" si="3"/>
        <v>80431</v>
      </c>
      <c r="AI70">
        <f t="shared" si="4"/>
        <v>80431</v>
      </c>
      <c r="AJ70" s="15">
        <f>'&gt;80 LTV'!AI70</f>
        <v>27720</v>
      </c>
      <c r="AK70" s="16">
        <f>'&lt;80 LTV'!AF70</f>
        <v>52711</v>
      </c>
      <c r="AL70" s="15">
        <f t="shared" si="5"/>
        <v>80431</v>
      </c>
    </row>
    <row r="71" spans="1:38" x14ac:dyDescent="0.25">
      <c r="A71" s="10">
        <v>39356</v>
      </c>
      <c r="B71" s="11">
        <v>110255</v>
      </c>
      <c r="C71" s="11" t="s">
        <v>2</v>
      </c>
      <c r="D71" s="1"/>
      <c r="F71" s="10">
        <v>39022</v>
      </c>
      <c r="G71" s="11">
        <v>1167</v>
      </c>
      <c r="H71" s="11" t="s">
        <v>14</v>
      </c>
      <c r="L71" s="3">
        <v>40330</v>
      </c>
      <c r="M71" s="5"/>
      <c r="N71" s="5">
        <v>19445</v>
      </c>
      <c r="O71" s="5">
        <v>49599</v>
      </c>
      <c r="P71" s="5">
        <v>14699</v>
      </c>
      <c r="Q71" s="5"/>
      <c r="R71" s="5">
        <v>83743</v>
      </c>
      <c r="V71" s="3">
        <v>40330</v>
      </c>
      <c r="W71" s="5">
        <v>10360</v>
      </c>
      <c r="X71" s="5">
        <v>33891</v>
      </c>
      <c r="Y71" s="5">
        <v>39492</v>
      </c>
      <c r="Z71" s="5">
        <v>83743</v>
      </c>
      <c r="AD71" s="3">
        <v>41944</v>
      </c>
      <c r="AE71">
        <f t="shared" ref="AE71:AE86" si="6">VLOOKUP(AD71,V:AA,2,0)</f>
        <v>2381</v>
      </c>
      <c r="AF71">
        <f t="shared" ref="AF71:AF86" si="7">VLOOKUP(AD71,L:R,3,0)</f>
        <v>0</v>
      </c>
      <c r="AG71">
        <f t="shared" ref="AG71:AG86" si="8">AF71/AE71</f>
        <v>0</v>
      </c>
      <c r="AH71">
        <f t="shared" ref="AH71:AH86" si="9">VLOOKUP(AD71,V:AA,5,0)</f>
        <v>77410</v>
      </c>
      <c r="AI71">
        <f t="shared" ref="AI71:AI86" si="10">VLOOKUP(AD71,L:R,7,0)</f>
        <v>77410</v>
      </c>
      <c r="AJ71" s="15">
        <f>'&gt;80 LTV'!AI71</f>
        <v>26010</v>
      </c>
      <c r="AK71" s="16">
        <f>'&lt;80 LTV'!AF71</f>
        <v>51400</v>
      </c>
      <c r="AL71" s="15">
        <f t="shared" ref="AL71:AL86" si="11">AJ71+AK71</f>
        <v>77410</v>
      </c>
    </row>
    <row r="72" spans="1:38" x14ac:dyDescent="0.25">
      <c r="A72" s="10">
        <v>39356</v>
      </c>
      <c r="B72" s="11">
        <v>15255</v>
      </c>
      <c r="C72" s="11" t="s">
        <v>3</v>
      </c>
      <c r="D72" s="1"/>
      <c r="F72" s="10">
        <v>39022</v>
      </c>
      <c r="G72" s="11">
        <v>61343</v>
      </c>
      <c r="H72" s="11" t="s">
        <v>16</v>
      </c>
      <c r="L72" s="3">
        <v>40360</v>
      </c>
      <c r="M72" s="5"/>
      <c r="N72" s="5">
        <v>15205</v>
      </c>
      <c r="O72" s="5">
        <v>51493</v>
      </c>
      <c r="P72" s="5">
        <v>11907</v>
      </c>
      <c r="Q72" s="5"/>
      <c r="R72" s="5">
        <v>78605</v>
      </c>
      <c r="V72" s="3">
        <v>40360</v>
      </c>
      <c r="W72" s="5">
        <v>7944</v>
      </c>
      <c r="X72" s="5">
        <v>37061</v>
      </c>
      <c r="Y72" s="5">
        <v>33600</v>
      </c>
      <c r="Z72" s="5">
        <v>78605</v>
      </c>
      <c r="AD72" s="3">
        <v>41974</v>
      </c>
      <c r="AE72">
        <f t="shared" si="6"/>
        <v>2277</v>
      </c>
      <c r="AF72">
        <f t="shared" si="7"/>
        <v>0</v>
      </c>
      <c r="AG72">
        <f t="shared" si="8"/>
        <v>0</v>
      </c>
      <c r="AH72">
        <f t="shared" si="9"/>
        <v>72510</v>
      </c>
      <c r="AI72">
        <f t="shared" si="10"/>
        <v>72510</v>
      </c>
      <c r="AJ72" s="15">
        <f>'&gt;80 LTV'!AI72</f>
        <v>23963</v>
      </c>
      <c r="AK72" s="16">
        <f>'&lt;80 LTV'!AF72</f>
        <v>48547</v>
      </c>
      <c r="AL72" s="15">
        <f t="shared" si="11"/>
        <v>72510</v>
      </c>
    </row>
    <row r="73" spans="1:38" x14ac:dyDescent="0.25">
      <c r="A73" s="10">
        <v>39387</v>
      </c>
      <c r="B73" s="11">
        <v>99634</v>
      </c>
      <c r="C73" s="11" t="s">
        <v>2</v>
      </c>
      <c r="D73" s="1"/>
      <c r="F73" s="10">
        <v>39022</v>
      </c>
      <c r="G73" s="11">
        <v>46531</v>
      </c>
      <c r="H73" s="11" t="s">
        <v>15</v>
      </c>
      <c r="L73" s="3">
        <v>40391</v>
      </c>
      <c r="M73" s="5"/>
      <c r="N73" s="5">
        <v>21345</v>
      </c>
      <c r="O73" s="5">
        <v>55048</v>
      </c>
      <c r="P73" s="5">
        <v>16456</v>
      </c>
      <c r="Q73" s="5"/>
      <c r="R73" s="5">
        <v>92849</v>
      </c>
      <c r="V73" s="3">
        <v>40391</v>
      </c>
      <c r="W73" s="5">
        <v>10171</v>
      </c>
      <c r="X73" s="5">
        <v>39929</v>
      </c>
      <c r="Y73" s="5">
        <v>42749</v>
      </c>
      <c r="Z73" s="5">
        <v>92849</v>
      </c>
      <c r="AD73" s="3">
        <v>42005</v>
      </c>
      <c r="AE73">
        <f t="shared" si="6"/>
        <v>1976</v>
      </c>
      <c r="AF73">
        <f t="shared" si="7"/>
        <v>0</v>
      </c>
      <c r="AG73">
        <f t="shared" si="8"/>
        <v>0</v>
      </c>
      <c r="AH73">
        <f t="shared" si="9"/>
        <v>68726</v>
      </c>
      <c r="AI73">
        <f t="shared" si="10"/>
        <v>68726</v>
      </c>
      <c r="AJ73" s="15">
        <f>'&gt;80 LTV'!AI73</f>
        <v>21822</v>
      </c>
      <c r="AK73" s="16">
        <f>'&lt;80 LTV'!AF73</f>
        <v>46904</v>
      </c>
      <c r="AL73" s="15">
        <f t="shared" si="11"/>
        <v>68726</v>
      </c>
    </row>
    <row r="74" spans="1:38" x14ac:dyDescent="0.25">
      <c r="A74" s="10">
        <v>39387</v>
      </c>
      <c r="B74" s="11">
        <v>18097</v>
      </c>
      <c r="C74" s="11" t="s">
        <v>3</v>
      </c>
      <c r="D74" s="1"/>
      <c r="F74" s="10">
        <v>39052</v>
      </c>
      <c r="G74" s="11">
        <v>62174</v>
      </c>
      <c r="H74" s="11" t="s">
        <v>16</v>
      </c>
      <c r="L74" s="3">
        <v>40422</v>
      </c>
      <c r="M74" s="5"/>
      <c r="N74" s="5">
        <v>28168</v>
      </c>
      <c r="O74" s="5">
        <v>40328</v>
      </c>
      <c r="P74" s="5">
        <v>22322</v>
      </c>
      <c r="Q74" s="5"/>
      <c r="R74" s="5">
        <v>90818</v>
      </c>
      <c r="V74" s="3">
        <v>40422</v>
      </c>
      <c r="W74" s="5">
        <v>12608</v>
      </c>
      <c r="X74" s="5">
        <v>23941</v>
      </c>
      <c r="Y74" s="5">
        <v>54269</v>
      </c>
      <c r="Z74" s="5">
        <v>90818</v>
      </c>
      <c r="AD74" s="3">
        <v>42036</v>
      </c>
      <c r="AE74">
        <f t="shared" si="6"/>
        <v>2128</v>
      </c>
      <c r="AF74">
        <f t="shared" si="7"/>
        <v>0</v>
      </c>
      <c r="AG74">
        <f t="shared" si="8"/>
        <v>0</v>
      </c>
      <c r="AH74">
        <f t="shared" si="9"/>
        <v>71016</v>
      </c>
      <c r="AI74">
        <f t="shared" si="10"/>
        <v>71016</v>
      </c>
      <c r="AJ74" s="15">
        <f>'&gt;80 LTV'!AI74</f>
        <v>22094</v>
      </c>
      <c r="AK74" s="16">
        <f>'&lt;80 LTV'!AF74</f>
        <v>48922</v>
      </c>
      <c r="AL74" s="15">
        <f t="shared" si="11"/>
        <v>71016</v>
      </c>
    </row>
    <row r="75" spans="1:38" x14ac:dyDescent="0.25">
      <c r="A75" s="10">
        <v>39417</v>
      </c>
      <c r="B75" s="11">
        <v>101090</v>
      </c>
      <c r="C75" s="11" t="s">
        <v>2</v>
      </c>
      <c r="D75" s="1"/>
      <c r="F75" s="10">
        <v>39052</v>
      </c>
      <c r="G75" s="11">
        <v>61661</v>
      </c>
      <c r="H75" s="11" t="s">
        <v>15</v>
      </c>
      <c r="L75" s="3">
        <v>40452</v>
      </c>
      <c r="M75" s="5"/>
      <c r="N75" s="5">
        <v>33340</v>
      </c>
      <c r="O75" s="5">
        <v>41549</v>
      </c>
      <c r="P75" s="5">
        <v>30002</v>
      </c>
      <c r="Q75" s="5"/>
      <c r="R75" s="5">
        <v>104891</v>
      </c>
      <c r="V75" s="3">
        <v>40452</v>
      </c>
      <c r="W75" s="5">
        <v>14205</v>
      </c>
      <c r="X75" s="5">
        <v>23089</v>
      </c>
      <c r="Y75" s="5">
        <v>67597</v>
      </c>
      <c r="Z75" s="5">
        <v>104891</v>
      </c>
      <c r="AD75" s="3">
        <v>42064</v>
      </c>
      <c r="AE75">
        <f t="shared" si="6"/>
        <v>1852</v>
      </c>
      <c r="AF75">
        <f t="shared" si="7"/>
        <v>0</v>
      </c>
      <c r="AG75">
        <f t="shared" si="8"/>
        <v>0</v>
      </c>
      <c r="AH75">
        <f t="shared" si="9"/>
        <v>63562</v>
      </c>
      <c r="AI75">
        <f t="shared" si="10"/>
        <v>63562</v>
      </c>
      <c r="AJ75" s="15">
        <f>'&gt;80 LTV'!AI75</f>
        <v>18747</v>
      </c>
      <c r="AK75" s="16">
        <f>'&lt;80 LTV'!AF75</f>
        <v>44815</v>
      </c>
      <c r="AL75" s="15">
        <f t="shared" si="11"/>
        <v>63562</v>
      </c>
    </row>
    <row r="76" spans="1:38" x14ac:dyDescent="0.25">
      <c r="A76" s="10">
        <v>39417</v>
      </c>
      <c r="B76" s="11">
        <v>21973</v>
      </c>
      <c r="C76" s="11" t="s">
        <v>3</v>
      </c>
      <c r="D76" s="1"/>
      <c r="F76" s="10">
        <v>39052</v>
      </c>
      <c r="G76" s="11">
        <v>1378</v>
      </c>
      <c r="H76" s="11" t="s">
        <v>14</v>
      </c>
      <c r="L76" s="3">
        <v>40483</v>
      </c>
      <c r="M76" s="5"/>
      <c r="N76" s="5">
        <v>38106</v>
      </c>
      <c r="O76" s="5">
        <v>37451</v>
      </c>
      <c r="P76" s="5">
        <v>30869</v>
      </c>
      <c r="Q76" s="5"/>
      <c r="R76" s="5">
        <v>106426</v>
      </c>
      <c r="V76" s="3">
        <v>40483</v>
      </c>
      <c r="W76" s="5">
        <v>15045</v>
      </c>
      <c r="X76" s="5">
        <v>20137</v>
      </c>
      <c r="Y76" s="5">
        <v>71244</v>
      </c>
      <c r="Z76" s="5">
        <v>106426</v>
      </c>
      <c r="AD76" s="3">
        <v>42095</v>
      </c>
      <c r="AE76">
        <f t="shared" si="6"/>
        <v>1910</v>
      </c>
      <c r="AF76">
        <f t="shared" si="7"/>
        <v>0</v>
      </c>
      <c r="AG76">
        <f t="shared" si="8"/>
        <v>0</v>
      </c>
      <c r="AH76">
        <f t="shared" si="9"/>
        <v>80783</v>
      </c>
      <c r="AI76">
        <f t="shared" si="10"/>
        <v>80783</v>
      </c>
      <c r="AJ76" s="15">
        <f>'&gt;80 LTV'!AI76</f>
        <v>22081</v>
      </c>
      <c r="AK76" s="16">
        <f>'&lt;80 LTV'!AF76</f>
        <v>58702</v>
      </c>
      <c r="AL76" s="15">
        <f t="shared" si="11"/>
        <v>80783</v>
      </c>
    </row>
    <row r="77" spans="1:38" x14ac:dyDescent="0.25">
      <c r="A77" s="10">
        <v>39448</v>
      </c>
      <c r="B77" s="11">
        <v>88196</v>
      </c>
      <c r="C77" s="11" t="s">
        <v>2</v>
      </c>
      <c r="D77" s="1"/>
      <c r="F77" s="10">
        <v>39083</v>
      </c>
      <c r="G77" s="11">
        <v>57588</v>
      </c>
      <c r="H77" s="11" t="s">
        <v>16</v>
      </c>
      <c r="L77" s="3">
        <v>40513</v>
      </c>
      <c r="M77" s="5"/>
      <c r="N77" s="5">
        <v>43237</v>
      </c>
      <c r="O77" s="5">
        <v>38965</v>
      </c>
      <c r="P77" s="5">
        <v>34888</v>
      </c>
      <c r="Q77" s="5"/>
      <c r="R77" s="5">
        <v>117090</v>
      </c>
      <c r="V77" s="3">
        <v>40513</v>
      </c>
      <c r="W77" s="5">
        <v>17054</v>
      </c>
      <c r="X77" s="5">
        <v>19919</v>
      </c>
      <c r="Y77" s="5">
        <v>80117</v>
      </c>
      <c r="Z77" s="5">
        <v>117090</v>
      </c>
      <c r="AD77" s="3">
        <v>42125</v>
      </c>
      <c r="AE77">
        <f t="shared" si="6"/>
        <v>2171</v>
      </c>
      <c r="AF77">
        <f t="shared" si="7"/>
        <v>0</v>
      </c>
      <c r="AG77">
        <f t="shared" si="8"/>
        <v>0</v>
      </c>
      <c r="AH77">
        <f t="shared" si="9"/>
        <v>102907</v>
      </c>
      <c r="AI77">
        <f t="shared" si="10"/>
        <v>102907</v>
      </c>
      <c r="AJ77" s="15">
        <f>'&gt;80 LTV'!AI77</f>
        <v>29988</v>
      </c>
      <c r="AK77" s="16">
        <f>'&lt;80 LTV'!AF77</f>
        <v>72919</v>
      </c>
      <c r="AL77" s="15">
        <f t="shared" si="11"/>
        <v>102907</v>
      </c>
    </row>
    <row r="78" spans="1:38" x14ac:dyDescent="0.25">
      <c r="A78" s="10">
        <v>39448</v>
      </c>
      <c r="B78" s="11">
        <v>20897</v>
      </c>
      <c r="C78" s="11" t="s">
        <v>3</v>
      </c>
      <c r="D78" s="1"/>
      <c r="F78" s="10">
        <v>39083</v>
      </c>
      <c r="G78" s="11">
        <v>56887</v>
      </c>
      <c r="H78" s="11" t="s">
        <v>15</v>
      </c>
      <c r="L78" s="3">
        <v>40544</v>
      </c>
      <c r="M78" s="5"/>
      <c r="N78" s="5">
        <v>44477</v>
      </c>
      <c r="O78" s="5">
        <v>36931</v>
      </c>
      <c r="P78" s="5">
        <v>33215</v>
      </c>
      <c r="Q78" s="5"/>
      <c r="R78" s="5">
        <v>114623</v>
      </c>
      <c r="V78" s="3">
        <v>40544</v>
      </c>
      <c r="W78" s="5">
        <v>18502</v>
      </c>
      <c r="X78" s="5">
        <v>18969</v>
      </c>
      <c r="Y78" s="5">
        <v>77152</v>
      </c>
      <c r="Z78" s="5">
        <v>114623</v>
      </c>
      <c r="AD78" s="3">
        <v>42156</v>
      </c>
      <c r="AE78">
        <f t="shared" si="6"/>
        <v>2004</v>
      </c>
      <c r="AF78">
        <f t="shared" si="7"/>
        <v>0</v>
      </c>
      <c r="AG78">
        <f t="shared" si="8"/>
        <v>0</v>
      </c>
      <c r="AH78">
        <f t="shared" si="9"/>
        <v>97370</v>
      </c>
      <c r="AI78">
        <f t="shared" si="10"/>
        <v>97370</v>
      </c>
      <c r="AJ78" s="15">
        <f>'&gt;80 LTV'!AI78</f>
        <v>29434</v>
      </c>
      <c r="AK78" s="16">
        <f>'&lt;80 LTV'!AF78</f>
        <v>67936</v>
      </c>
      <c r="AL78" s="15">
        <f t="shared" si="11"/>
        <v>97370</v>
      </c>
    </row>
    <row r="79" spans="1:38" x14ac:dyDescent="0.25">
      <c r="A79" s="10">
        <v>39479</v>
      </c>
      <c r="B79" s="11">
        <v>95942</v>
      </c>
      <c r="C79" s="11" t="s">
        <v>2</v>
      </c>
      <c r="D79" s="1"/>
      <c r="F79" s="10">
        <v>39083</v>
      </c>
      <c r="G79" s="11">
        <v>1213</v>
      </c>
      <c r="H79" s="11" t="s">
        <v>14</v>
      </c>
      <c r="L79" s="3">
        <v>40575</v>
      </c>
      <c r="M79" s="5"/>
      <c r="N79" s="5">
        <v>37323</v>
      </c>
      <c r="O79" s="5">
        <v>41383</v>
      </c>
      <c r="P79" s="5">
        <v>30768</v>
      </c>
      <c r="Q79" s="5"/>
      <c r="R79" s="5">
        <v>109474</v>
      </c>
      <c r="V79" s="3">
        <v>40575</v>
      </c>
      <c r="W79" s="5">
        <v>17396</v>
      </c>
      <c r="X79" s="5">
        <v>22763</v>
      </c>
      <c r="Y79" s="5">
        <v>69315</v>
      </c>
      <c r="Z79" s="5">
        <v>109474</v>
      </c>
      <c r="AD79" s="3">
        <v>42186</v>
      </c>
      <c r="AE79">
        <f t="shared" si="6"/>
        <v>1721</v>
      </c>
      <c r="AF79">
        <f t="shared" si="7"/>
        <v>0</v>
      </c>
      <c r="AG79">
        <f t="shared" si="8"/>
        <v>0</v>
      </c>
      <c r="AH79">
        <f t="shared" si="9"/>
        <v>96397</v>
      </c>
      <c r="AI79">
        <f t="shared" si="10"/>
        <v>96397</v>
      </c>
      <c r="AJ79" s="15">
        <f>'&gt;80 LTV'!AI79</f>
        <v>30844</v>
      </c>
      <c r="AK79" s="16">
        <f>'&lt;80 LTV'!AF79</f>
        <v>65553</v>
      </c>
      <c r="AL79" s="15">
        <f t="shared" si="11"/>
        <v>96397</v>
      </c>
    </row>
    <row r="80" spans="1:38" x14ac:dyDescent="0.25">
      <c r="A80" s="10">
        <v>39479</v>
      </c>
      <c r="B80" s="11">
        <v>30555</v>
      </c>
      <c r="C80" s="11" t="s">
        <v>3</v>
      </c>
      <c r="D80" s="1"/>
      <c r="F80" s="10">
        <v>39114</v>
      </c>
      <c r="G80" s="11">
        <v>1202</v>
      </c>
      <c r="H80" s="11" t="s">
        <v>14</v>
      </c>
      <c r="L80" s="3">
        <v>40603</v>
      </c>
      <c r="M80" s="5"/>
      <c r="N80" s="5">
        <v>32289</v>
      </c>
      <c r="O80" s="5">
        <v>32412</v>
      </c>
      <c r="P80" s="5">
        <v>20081</v>
      </c>
      <c r="Q80" s="5"/>
      <c r="R80" s="5">
        <v>84782</v>
      </c>
      <c r="V80" s="3">
        <v>40603</v>
      </c>
      <c r="W80" s="5">
        <v>15213</v>
      </c>
      <c r="X80" s="5">
        <v>16514</v>
      </c>
      <c r="Y80" s="5">
        <v>53055</v>
      </c>
      <c r="Z80" s="5">
        <v>84782</v>
      </c>
      <c r="AD80" s="3">
        <v>42217</v>
      </c>
      <c r="AE80">
        <f t="shared" si="6"/>
        <v>1641</v>
      </c>
      <c r="AF80">
        <f t="shared" si="7"/>
        <v>0</v>
      </c>
      <c r="AG80">
        <f t="shared" si="8"/>
        <v>0</v>
      </c>
      <c r="AH80">
        <f t="shared" si="9"/>
        <v>94497</v>
      </c>
      <c r="AI80">
        <f t="shared" si="10"/>
        <v>94497</v>
      </c>
      <c r="AJ80" s="15">
        <f>'&gt;80 LTV'!AI80</f>
        <v>31762</v>
      </c>
      <c r="AK80" s="16">
        <f>'&lt;80 LTV'!AF80</f>
        <v>62735</v>
      </c>
      <c r="AL80" s="15">
        <f t="shared" si="11"/>
        <v>94497</v>
      </c>
    </row>
    <row r="81" spans="1:38" x14ac:dyDescent="0.25">
      <c r="A81" s="10">
        <v>39508</v>
      </c>
      <c r="B81" s="11">
        <v>78250</v>
      </c>
      <c r="C81" s="11" t="s">
        <v>2</v>
      </c>
      <c r="D81" s="1"/>
      <c r="F81" s="10">
        <v>39114</v>
      </c>
      <c r="G81" s="11">
        <v>54082</v>
      </c>
      <c r="H81" s="11" t="s">
        <v>16</v>
      </c>
      <c r="L81" s="3">
        <v>40634</v>
      </c>
      <c r="M81" s="5"/>
      <c r="N81" s="5">
        <v>21224</v>
      </c>
      <c r="O81" s="5">
        <v>22609</v>
      </c>
      <c r="P81" s="5">
        <v>10793</v>
      </c>
      <c r="Q81" s="5"/>
      <c r="R81" s="5">
        <v>54626</v>
      </c>
      <c r="V81" s="3">
        <v>40634</v>
      </c>
      <c r="W81" s="5">
        <v>10593</v>
      </c>
      <c r="X81" s="5">
        <v>12401</v>
      </c>
      <c r="Y81" s="5">
        <v>31632</v>
      </c>
      <c r="Z81" s="5">
        <v>54626</v>
      </c>
      <c r="AD81" s="3">
        <v>42248</v>
      </c>
      <c r="AE81">
        <f t="shared" si="6"/>
        <v>1471</v>
      </c>
      <c r="AF81">
        <f t="shared" si="7"/>
        <v>0</v>
      </c>
      <c r="AG81">
        <f t="shared" si="8"/>
        <v>0</v>
      </c>
      <c r="AH81">
        <f t="shared" si="9"/>
        <v>88851</v>
      </c>
      <c r="AI81">
        <f t="shared" si="10"/>
        <v>88851</v>
      </c>
      <c r="AJ81" s="15">
        <f>'&gt;80 LTV'!AI81</f>
        <v>30184</v>
      </c>
      <c r="AK81" s="16">
        <f>'&lt;80 LTV'!AF81</f>
        <v>58667</v>
      </c>
      <c r="AL81" s="15">
        <f t="shared" si="11"/>
        <v>88851</v>
      </c>
    </row>
    <row r="82" spans="1:38" x14ac:dyDescent="0.25">
      <c r="A82" s="10">
        <v>39508</v>
      </c>
      <c r="B82" s="11">
        <v>34268</v>
      </c>
      <c r="C82" s="11" t="s">
        <v>3</v>
      </c>
      <c r="D82" s="1"/>
      <c r="F82" s="10">
        <v>39114</v>
      </c>
      <c r="G82" s="11">
        <v>65230</v>
      </c>
      <c r="H82" s="11" t="s">
        <v>15</v>
      </c>
      <c r="L82" s="3">
        <v>40664</v>
      </c>
      <c r="M82" s="5"/>
      <c r="N82" s="5">
        <v>14491</v>
      </c>
      <c r="O82" s="5">
        <v>29812</v>
      </c>
      <c r="P82" s="5">
        <v>9553</v>
      </c>
      <c r="Q82" s="5"/>
      <c r="R82" s="5">
        <v>53856</v>
      </c>
      <c r="V82" s="3">
        <v>40664</v>
      </c>
      <c r="W82" s="5">
        <v>7420</v>
      </c>
      <c r="X82" s="5">
        <v>19555</v>
      </c>
      <c r="Y82" s="5">
        <v>26881</v>
      </c>
      <c r="Z82" s="5">
        <v>53856</v>
      </c>
      <c r="AD82" s="3">
        <v>42278</v>
      </c>
      <c r="AE82">
        <f t="shared" si="6"/>
        <v>1498</v>
      </c>
      <c r="AF82">
        <f t="shared" si="7"/>
        <v>0</v>
      </c>
      <c r="AG82">
        <f t="shared" si="8"/>
        <v>0</v>
      </c>
      <c r="AH82">
        <f t="shared" si="9"/>
        <v>85660</v>
      </c>
      <c r="AI82">
        <f t="shared" si="10"/>
        <v>85660</v>
      </c>
      <c r="AJ82" s="15">
        <f>'&gt;80 LTV'!AI82</f>
        <v>29530</v>
      </c>
      <c r="AK82" s="16">
        <f>'&lt;80 LTV'!AF82</f>
        <v>56130</v>
      </c>
      <c r="AL82" s="15">
        <f t="shared" si="11"/>
        <v>85660</v>
      </c>
    </row>
    <row r="83" spans="1:38" x14ac:dyDescent="0.25">
      <c r="A83" s="10">
        <v>39539</v>
      </c>
      <c r="B83" s="11">
        <v>60058</v>
      </c>
      <c r="C83" s="11" t="s">
        <v>3</v>
      </c>
      <c r="D83" s="1"/>
      <c r="F83" s="10">
        <v>39142</v>
      </c>
      <c r="G83" s="11">
        <v>1161</v>
      </c>
      <c r="H83" s="11" t="s">
        <v>14</v>
      </c>
      <c r="L83" s="3">
        <v>40695</v>
      </c>
      <c r="M83" s="5"/>
      <c r="N83" s="5">
        <v>13261</v>
      </c>
      <c r="O83" s="5">
        <v>30453</v>
      </c>
      <c r="P83" s="5">
        <v>7592</v>
      </c>
      <c r="Q83" s="5"/>
      <c r="R83" s="5">
        <v>51306</v>
      </c>
      <c r="V83" s="3">
        <v>40695</v>
      </c>
      <c r="W83" s="5">
        <v>6376</v>
      </c>
      <c r="X83" s="5">
        <v>21847</v>
      </c>
      <c r="Y83" s="5">
        <v>23083</v>
      </c>
      <c r="Z83" s="5">
        <v>51306</v>
      </c>
      <c r="AD83" s="3">
        <v>42309</v>
      </c>
      <c r="AE83">
        <f t="shared" si="6"/>
        <v>1459</v>
      </c>
      <c r="AF83">
        <f t="shared" si="7"/>
        <v>0</v>
      </c>
      <c r="AG83">
        <f t="shared" si="8"/>
        <v>0</v>
      </c>
      <c r="AH83">
        <f t="shared" si="9"/>
        <v>83073</v>
      </c>
      <c r="AI83">
        <f t="shared" si="10"/>
        <v>83073</v>
      </c>
      <c r="AJ83" s="15">
        <f>'&gt;80 LTV'!AI83</f>
        <v>27569</v>
      </c>
      <c r="AK83" s="16">
        <f>'&lt;80 LTV'!AF83</f>
        <v>55504</v>
      </c>
      <c r="AL83" s="15">
        <f t="shared" si="11"/>
        <v>83073</v>
      </c>
    </row>
    <row r="84" spans="1:38" x14ac:dyDescent="0.25">
      <c r="A84" s="10">
        <v>39539</v>
      </c>
      <c r="B84" s="11">
        <v>99187</v>
      </c>
      <c r="C84" s="11" t="s">
        <v>2</v>
      </c>
      <c r="D84" s="1"/>
      <c r="F84" s="10">
        <v>39142</v>
      </c>
      <c r="G84" s="11">
        <v>44496</v>
      </c>
      <c r="H84" s="11" t="s">
        <v>16</v>
      </c>
      <c r="L84" s="3">
        <v>40725</v>
      </c>
      <c r="M84" s="5"/>
      <c r="N84" s="5">
        <v>11117</v>
      </c>
      <c r="O84" s="5">
        <v>31434</v>
      </c>
      <c r="P84" s="5">
        <v>6380</v>
      </c>
      <c r="Q84" s="5"/>
      <c r="R84" s="5">
        <v>48931</v>
      </c>
      <c r="V84" s="3">
        <v>40725</v>
      </c>
      <c r="W84" s="5">
        <v>5524</v>
      </c>
      <c r="X84" s="5">
        <v>23634</v>
      </c>
      <c r="Y84" s="5">
        <v>19773</v>
      </c>
      <c r="Z84" s="5">
        <v>48931</v>
      </c>
      <c r="AD84" s="3">
        <v>42339</v>
      </c>
      <c r="AE84">
        <f t="shared" si="6"/>
        <v>1372</v>
      </c>
      <c r="AF84">
        <f t="shared" si="7"/>
        <v>0</v>
      </c>
      <c r="AG84">
        <f t="shared" si="8"/>
        <v>0</v>
      </c>
      <c r="AH84">
        <f t="shared" si="9"/>
        <v>81149</v>
      </c>
      <c r="AI84">
        <f t="shared" si="10"/>
        <v>81149</v>
      </c>
      <c r="AJ84" s="15">
        <f>'&gt;80 LTV'!AI84</f>
        <v>26295</v>
      </c>
      <c r="AK84" s="16">
        <f>'&lt;80 LTV'!AF84</f>
        <v>54854</v>
      </c>
      <c r="AL84" s="15">
        <f t="shared" si="11"/>
        <v>81149</v>
      </c>
    </row>
    <row r="85" spans="1:38" x14ac:dyDescent="0.25">
      <c r="A85" s="10">
        <v>39569</v>
      </c>
      <c r="B85" s="11">
        <v>102401</v>
      </c>
      <c r="C85" s="11" t="s">
        <v>2</v>
      </c>
      <c r="D85" s="1"/>
      <c r="F85" s="10">
        <v>39142</v>
      </c>
      <c r="G85" s="11">
        <v>62161</v>
      </c>
      <c r="H85" s="11" t="s">
        <v>15</v>
      </c>
      <c r="L85" s="3">
        <v>40756</v>
      </c>
      <c r="M85" s="5"/>
      <c r="N85" s="5">
        <v>12492</v>
      </c>
      <c r="O85" s="5">
        <v>41640</v>
      </c>
      <c r="P85" s="5">
        <v>8952</v>
      </c>
      <c r="Q85" s="5"/>
      <c r="R85" s="5">
        <v>63084</v>
      </c>
      <c r="V85" s="3">
        <v>40756</v>
      </c>
      <c r="W85" s="5">
        <v>6163</v>
      </c>
      <c r="X85" s="5">
        <v>32053</v>
      </c>
      <c r="Y85" s="5">
        <v>24868</v>
      </c>
      <c r="Z85" s="5">
        <v>63084</v>
      </c>
      <c r="AD85" s="3">
        <v>42370</v>
      </c>
      <c r="AE85">
        <f t="shared" si="6"/>
        <v>1041</v>
      </c>
      <c r="AF85">
        <f t="shared" si="7"/>
        <v>0</v>
      </c>
      <c r="AG85">
        <f t="shared" si="8"/>
        <v>0</v>
      </c>
      <c r="AH85">
        <f t="shared" si="9"/>
        <v>65172</v>
      </c>
      <c r="AI85">
        <f t="shared" si="10"/>
        <v>65172</v>
      </c>
      <c r="AJ85" s="15">
        <f>'&gt;80 LTV'!AI85</f>
        <v>20181</v>
      </c>
      <c r="AK85" s="16">
        <f>'&lt;80 LTV'!AF85</f>
        <v>44991</v>
      </c>
      <c r="AL85" s="15">
        <f t="shared" si="11"/>
        <v>65172</v>
      </c>
    </row>
    <row r="86" spans="1:38" x14ac:dyDescent="0.25">
      <c r="A86" s="10">
        <v>39569</v>
      </c>
      <c r="B86" s="11">
        <v>41596</v>
      </c>
      <c r="C86" s="11" t="s">
        <v>3</v>
      </c>
      <c r="D86" s="1"/>
      <c r="F86" s="10">
        <v>39173</v>
      </c>
      <c r="G86" s="11">
        <v>53348</v>
      </c>
      <c r="H86" s="11" t="s">
        <v>16</v>
      </c>
      <c r="L86" s="3">
        <v>40787</v>
      </c>
      <c r="M86" s="5"/>
      <c r="N86" s="5">
        <v>14123</v>
      </c>
      <c r="O86" s="5">
        <v>37088</v>
      </c>
      <c r="P86" s="5">
        <v>9875</v>
      </c>
      <c r="Q86" s="5"/>
      <c r="R86" s="5">
        <v>61086</v>
      </c>
      <c r="V86" s="3">
        <v>40787</v>
      </c>
      <c r="W86" s="5">
        <v>6608</v>
      </c>
      <c r="X86" s="5">
        <v>28163</v>
      </c>
      <c r="Y86" s="5">
        <v>26315</v>
      </c>
      <c r="Z86" s="5">
        <v>61086</v>
      </c>
      <c r="AD86" s="3">
        <v>42401</v>
      </c>
      <c r="AE86">
        <f t="shared" si="6"/>
        <v>780</v>
      </c>
      <c r="AF86">
        <f t="shared" si="7"/>
        <v>0</v>
      </c>
      <c r="AG86">
        <f t="shared" si="8"/>
        <v>0</v>
      </c>
      <c r="AH86">
        <f t="shared" si="9"/>
        <v>41247</v>
      </c>
      <c r="AI86">
        <f t="shared" si="10"/>
        <v>41247</v>
      </c>
      <c r="AJ86" s="15">
        <f>'&gt;80 LTV'!AI86</f>
        <v>13212</v>
      </c>
      <c r="AK86" s="16">
        <f>'&lt;80 LTV'!AF86</f>
        <v>28035</v>
      </c>
      <c r="AL86" s="15">
        <f t="shared" si="11"/>
        <v>41247</v>
      </c>
    </row>
    <row r="87" spans="1:38" x14ac:dyDescent="0.25">
      <c r="A87" s="10">
        <v>39600</v>
      </c>
      <c r="B87" s="11">
        <v>38213</v>
      </c>
      <c r="C87" s="11" t="s">
        <v>3</v>
      </c>
      <c r="D87" s="1"/>
      <c r="F87" s="10">
        <v>39173</v>
      </c>
      <c r="G87" s="11">
        <v>56908</v>
      </c>
      <c r="H87" s="11" t="s">
        <v>15</v>
      </c>
      <c r="L87" s="3">
        <v>40817</v>
      </c>
      <c r="M87" s="5"/>
      <c r="N87" s="5">
        <v>14085</v>
      </c>
      <c r="O87" s="5">
        <v>36313</v>
      </c>
      <c r="P87" s="5">
        <v>11433</v>
      </c>
      <c r="Q87" s="5"/>
      <c r="R87" s="5">
        <v>61831</v>
      </c>
      <c r="V87" s="3">
        <v>40817</v>
      </c>
      <c r="W87" s="5">
        <v>6814</v>
      </c>
      <c r="X87" s="5">
        <v>27235</v>
      </c>
      <c r="Y87" s="5">
        <v>27782</v>
      </c>
      <c r="Z87" s="5">
        <v>61831</v>
      </c>
      <c r="AD87" s="3"/>
    </row>
    <row r="88" spans="1:38" x14ac:dyDescent="0.25">
      <c r="A88" s="10">
        <v>39600</v>
      </c>
      <c r="B88" s="11">
        <v>98366</v>
      </c>
      <c r="C88" s="11" t="s">
        <v>2</v>
      </c>
      <c r="D88" s="1"/>
      <c r="F88" s="10">
        <v>39173</v>
      </c>
      <c r="G88" s="11">
        <v>1055</v>
      </c>
      <c r="H88" s="11" t="s">
        <v>14</v>
      </c>
      <c r="L88" s="3">
        <v>40848</v>
      </c>
      <c r="M88" s="5"/>
      <c r="N88" s="5">
        <v>17552</v>
      </c>
      <c r="O88" s="5">
        <v>32247</v>
      </c>
      <c r="P88" s="5">
        <v>22206</v>
      </c>
      <c r="Q88" s="5"/>
      <c r="R88" s="5">
        <v>72005</v>
      </c>
      <c r="V88" s="3">
        <v>40848</v>
      </c>
      <c r="W88" s="5">
        <v>7897</v>
      </c>
      <c r="X88" s="5">
        <v>22085</v>
      </c>
      <c r="Y88" s="5">
        <v>42023</v>
      </c>
      <c r="Z88" s="5">
        <v>72005</v>
      </c>
      <c r="AD88" s="3"/>
    </row>
    <row r="89" spans="1:38" x14ac:dyDescent="0.25">
      <c r="A89" s="10">
        <v>39630</v>
      </c>
      <c r="B89" s="11">
        <v>81925</v>
      </c>
      <c r="C89" s="11" t="s">
        <v>2</v>
      </c>
      <c r="D89" s="1"/>
      <c r="F89" s="10">
        <v>39203</v>
      </c>
      <c r="G89" s="11">
        <v>69549</v>
      </c>
      <c r="H89" s="11" t="s">
        <v>16</v>
      </c>
      <c r="L89" s="3">
        <v>40878</v>
      </c>
      <c r="M89" s="5"/>
      <c r="N89" s="5">
        <v>20154</v>
      </c>
      <c r="O89" s="5">
        <v>24463</v>
      </c>
      <c r="P89" s="5">
        <v>21822</v>
      </c>
      <c r="Q89" s="5"/>
      <c r="R89" s="5">
        <v>66439</v>
      </c>
      <c r="V89" s="3">
        <v>40878</v>
      </c>
      <c r="W89" s="5">
        <v>9245</v>
      </c>
      <c r="X89" s="5">
        <v>15408</v>
      </c>
      <c r="Y89" s="5">
        <v>41786</v>
      </c>
      <c r="Z89" s="5">
        <v>66439</v>
      </c>
      <c r="AD89" s="3"/>
    </row>
    <row r="90" spans="1:38" x14ac:dyDescent="0.25">
      <c r="A90" s="10">
        <v>39630</v>
      </c>
      <c r="B90" s="11">
        <v>23471</v>
      </c>
      <c r="C90" s="11" t="s">
        <v>3</v>
      </c>
      <c r="D90" s="1"/>
      <c r="F90" s="10">
        <v>39203</v>
      </c>
      <c r="G90" s="11">
        <v>70088</v>
      </c>
      <c r="H90" s="11" t="s">
        <v>15</v>
      </c>
      <c r="L90" s="3">
        <v>40909</v>
      </c>
      <c r="M90" s="5"/>
      <c r="N90" s="5">
        <v>21858</v>
      </c>
      <c r="O90" s="5">
        <v>25528</v>
      </c>
      <c r="P90" s="5">
        <v>22762</v>
      </c>
      <c r="Q90" s="5"/>
      <c r="R90" s="5">
        <v>70148</v>
      </c>
      <c r="V90" s="3">
        <v>40909</v>
      </c>
      <c r="W90" s="5">
        <v>9831</v>
      </c>
      <c r="X90" s="5">
        <v>15623</v>
      </c>
      <c r="Y90" s="5">
        <v>44694</v>
      </c>
      <c r="Z90" s="5">
        <v>70148</v>
      </c>
      <c r="AD90" s="3"/>
    </row>
    <row r="91" spans="1:38" x14ac:dyDescent="0.25">
      <c r="A91" s="10">
        <v>39661</v>
      </c>
      <c r="B91" s="11">
        <v>17448</v>
      </c>
      <c r="C91" s="11" t="s">
        <v>3</v>
      </c>
      <c r="D91" s="1"/>
      <c r="F91" s="10">
        <v>39203</v>
      </c>
      <c r="G91" s="11">
        <v>1319</v>
      </c>
      <c r="H91" s="11" t="s">
        <v>14</v>
      </c>
      <c r="L91" s="3">
        <v>40940</v>
      </c>
      <c r="M91" s="5"/>
      <c r="N91" s="5">
        <v>18923</v>
      </c>
      <c r="O91" s="5">
        <v>30766</v>
      </c>
      <c r="P91" s="5">
        <v>25465</v>
      </c>
      <c r="Q91" s="5"/>
      <c r="R91" s="5">
        <v>75154</v>
      </c>
      <c r="V91" s="3">
        <v>40940</v>
      </c>
      <c r="W91" s="5">
        <v>9082</v>
      </c>
      <c r="X91" s="5">
        <v>18666</v>
      </c>
      <c r="Y91" s="5">
        <v>47406</v>
      </c>
      <c r="Z91" s="5">
        <v>75154</v>
      </c>
      <c r="AD91" s="3"/>
    </row>
    <row r="92" spans="1:38" x14ac:dyDescent="0.25">
      <c r="A92" s="10">
        <v>39661</v>
      </c>
      <c r="B92" s="11">
        <v>80739</v>
      </c>
      <c r="C92" s="11" t="s">
        <v>2</v>
      </c>
      <c r="D92" s="1"/>
      <c r="F92" s="10">
        <v>39234</v>
      </c>
      <c r="G92" s="11">
        <v>1313</v>
      </c>
      <c r="H92" s="11" t="s">
        <v>14</v>
      </c>
      <c r="L92" s="3">
        <v>40969</v>
      </c>
      <c r="M92" s="5"/>
      <c r="N92" s="5">
        <v>20650</v>
      </c>
      <c r="O92" s="5">
        <v>21030</v>
      </c>
      <c r="P92" s="5">
        <v>22392</v>
      </c>
      <c r="Q92" s="5"/>
      <c r="R92" s="5">
        <v>64072</v>
      </c>
      <c r="V92" s="3">
        <v>40969</v>
      </c>
      <c r="W92" s="5">
        <v>11001</v>
      </c>
      <c r="X92" s="5">
        <v>11423</v>
      </c>
      <c r="Y92" s="5">
        <v>41648</v>
      </c>
      <c r="Z92" s="5">
        <v>64072</v>
      </c>
      <c r="AD92" s="3"/>
    </row>
    <row r="93" spans="1:38" x14ac:dyDescent="0.25">
      <c r="A93" s="10">
        <v>39692</v>
      </c>
      <c r="B93" s="11">
        <v>67217</v>
      </c>
      <c r="C93" s="11" t="s">
        <v>2</v>
      </c>
      <c r="D93" s="1"/>
      <c r="F93" s="10">
        <v>39234</v>
      </c>
      <c r="G93" s="11">
        <v>72761</v>
      </c>
      <c r="H93" s="11" t="s">
        <v>15</v>
      </c>
      <c r="L93" s="3">
        <v>41000</v>
      </c>
      <c r="M93" s="5"/>
      <c r="N93" s="5">
        <v>23750</v>
      </c>
      <c r="O93" s="5">
        <v>20238</v>
      </c>
      <c r="P93" s="5">
        <v>22169</v>
      </c>
      <c r="Q93" s="5"/>
      <c r="R93" s="5">
        <v>66157</v>
      </c>
      <c r="V93" s="3">
        <v>41000</v>
      </c>
      <c r="W93" s="5">
        <v>14080</v>
      </c>
      <c r="X93" s="5">
        <v>11472</v>
      </c>
      <c r="Y93" s="5">
        <v>40605</v>
      </c>
      <c r="Z93" s="5">
        <v>66157</v>
      </c>
      <c r="AD93" s="3"/>
    </row>
    <row r="94" spans="1:38" x14ac:dyDescent="0.25">
      <c r="A94" s="10">
        <v>39692</v>
      </c>
      <c r="B94" s="11">
        <v>11583</v>
      </c>
      <c r="C94" s="11" t="s">
        <v>3</v>
      </c>
      <c r="D94" s="1"/>
      <c r="F94" s="10">
        <v>39234</v>
      </c>
      <c r="G94" s="11">
        <v>73426</v>
      </c>
      <c r="H94" s="11" t="s">
        <v>16</v>
      </c>
      <c r="L94" s="3">
        <v>41030</v>
      </c>
      <c r="M94" s="5"/>
      <c r="N94" s="5">
        <v>22147</v>
      </c>
      <c r="O94" s="5">
        <v>24409</v>
      </c>
      <c r="P94" s="5">
        <v>21904</v>
      </c>
      <c r="Q94" s="5"/>
      <c r="R94" s="5">
        <v>68460</v>
      </c>
      <c r="V94" s="3">
        <v>41030</v>
      </c>
      <c r="W94" s="5">
        <v>13189</v>
      </c>
      <c r="X94" s="5">
        <v>15169</v>
      </c>
      <c r="Y94" s="5">
        <v>40102</v>
      </c>
      <c r="Z94" s="5">
        <v>68460</v>
      </c>
      <c r="AD94" s="3"/>
    </row>
    <row r="95" spans="1:38" x14ac:dyDescent="0.25">
      <c r="A95" s="10">
        <v>39722</v>
      </c>
      <c r="B95" s="11">
        <v>7202</v>
      </c>
      <c r="C95" s="11" t="s">
        <v>3</v>
      </c>
      <c r="D95" s="1"/>
      <c r="F95" s="10">
        <v>39264</v>
      </c>
      <c r="G95" s="11">
        <v>1364</v>
      </c>
      <c r="H95" s="11" t="s">
        <v>14</v>
      </c>
      <c r="L95" s="3">
        <v>41061</v>
      </c>
      <c r="M95" s="5"/>
      <c r="N95" s="5">
        <v>20132</v>
      </c>
      <c r="O95" s="5">
        <v>32503</v>
      </c>
      <c r="P95" s="5">
        <v>18591</v>
      </c>
      <c r="Q95" s="5"/>
      <c r="R95" s="5">
        <v>71226</v>
      </c>
      <c r="V95" s="3">
        <v>41061</v>
      </c>
      <c r="W95" s="5">
        <v>12382</v>
      </c>
      <c r="X95" s="5">
        <v>23359</v>
      </c>
      <c r="Y95" s="5">
        <v>35485</v>
      </c>
      <c r="Z95" s="5">
        <v>71226</v>
      </c>
      <c r="AD95" s="3"/>
    </row>
    <row r="96" spans="1:38" x14ac:dyDescent="0.25">
      <c r="A96" s="10">
        <v>39722</v>
      </c>
      <c r="B96" s="11">
        <v>45118</v>
      </c>
      <c r="C96" s="11" t="s">
        <v>2</v>
      </c>
      <c r="D96" s="1"/>
      <c r="F96" s="10">
        <v>39264</v>
      </c>
      <c r="G96" s="11">
        <v>79560</v>
      </c>
      <c r="H96" s="11" t="s">
        <v>16</v>
      </c>
      <c r="L96" s="3">
        <v>41091</v>
      </c>
      <c r="M96" s="5"/>
      <c r="N96" s="5">
        <v>20818</v>
      </c>
      <c r="O96" s="5">
        <v>40917</v>
      </c>
      <c r="P96" s="5">
        <v>20169</v>
      </c>
      <c r="Q96" s="5"/>
      <c r="R96" s="5">
        <v>81904</v>
      </c>
      <c r="V96" s="3">
        <v>41091</v>
      </c>
      <c r="W96" s="5">
        <v>13178</v>
      </c>
      <c r="X96" s="5">
        <v>30515</v>
      </c>
      <c r="Y96" s="5">
        <v>38211</v>
      </c>
      <c r="Z96" s="5">
        <v>81904</v>
      </c>
      <c r="AD96" s="3"/>
    </row>
    <row r="97" spans="1:30" x14ac:dyDescent="0.25">
      <c r="A97" s="10">
        <v>39753</v>
      </c>
      <c r="B97" s="11">
        <v>50695</v>
      </c>
      <c r="C97" s="11" t="s">
        <v>2</v>
      </c>
      <c r="D97" s="1"/>
      <c r="F97" s="10">
        <v>39264</v>
      </c>
      <c r="G97" s="11">
        <v>66376</v>
      </c>
      <c r="H97" s="11" t="s">
        <v>15</v>
      </c>
      <c r="L97" s="3">
        <v>41122</v>
      </c>
      <c r="M97" s="5"/>
      <c r="N97" s="5">
        <v>21157</v>
      </c>
      <c r="O97" s="5">
        <v>40189</v>
      </c>
      <c r="P97" s="5">
        <v>20467</v>
      </c>
      <c r="Q97" s="5"/>
      <c r="R97" s="5">
        <v>81813</v>
      </c>
      <c r="V97" s="3">
        <v>41122</v>
      </c>
      <c r="W97" s="5">
        <v>13092</v>
      </c>
      <c r="X97" s="5">
        <v>30334</v>
      </c>
      <c r="Y97" s="5">
        <v>38387</v>
      </c>
      <c r="Z97" s="5">
        <v>81813</v>
      </c>
      <c r="AD97" s="3"/>
    </row>
    <row r="98" spans="1:30" x14ac:dyDescent="0.25">
      <c r="A98" s="10">
        <v>39753</v>
      </c>
      <c r="B98" s="11">
        <v>10585</v>
      </c>
      <c r="C98" s="11" t="s">
        <v>3</v>
      </c>
      <c r="D98" s="1"/>
      <c r="F98" s="10">
        <v>39295</v>
      </c>
      <c r="G98" s="11">
        <v>54454</v>
      </c>
      <c r="H98" s="11" t="s">
        <v>15</v>
      </c>
      <c r="L98" s="3">
        <v>41153</v>
      </c>
      <c r="M98" s="5"/>
      <c r="N98" s="5">
        <v>23362</v>
      </c>
      <c r="O98" s="5">
        <v>43003</v>
      </c>
      <c r="P98" s="5">
        <v>25359</v>
      </c>
      <c r="Q98" s="5"/>
      <c r="R98" s="5">
        <v>91724</v>
      </c>
      <c r="V98" s="3">
        <v>41153</v>
      </c>
      <c r="W98" s="5">
        <v>13246</v>
      </c>
      <c r="X98" s="5">
        <v>31002</v>
      </c>
      <c r="Y98" s="5">
        <v>47476</v>
      </c>
      <c r="Z98" s="5">
        <v>91724</v>
      </c>
      <c r="AD98" s="3"/>
    </row>
    <row r="99" spans="1:30" x14ac:dyDescent="0.25">
      <c r="A99" s="10">
        <v>39783</v>
      </c>
      <c r="B99" s="11">
        <v>15821</v>
      </c>
      <c r="C99" s="11" t="s">
        <v>3</v>
      </c>
      <c r="D99" s="1"/>
      <c r="F99" s="10">
        <v>39295</v>
      </c>
      <c r="G99" s="11">
        <v>80075</v>
      </c>
      <c r="H99" s="11" t="s">
        <v>16</v>
      </c>
      <c r="L99" s="3">
        <v>41183</v>
      </c>
      <c r="M99" s="5"/>
      <c r="N99" s="5">
        <v>24936</v>
      </c>
      <c r="O99" s="5">
        <v>47014</v>
      </c>
      <c r="P99" s="5">
        <v>33904</v>
      </c>
      <c r="Q99" s="5"/>
      <c r="R99" s="5">
        <v>105854</v>
      </c>
      <c r="V99" s="3">
        <v>41183</v>
      </c>
      <c r="W99" s="5">
        <v>14068</v>
      </c>
      <c r="X99" s="5">
        <v>32300</v>
      </c>
      <c r="Y99" s="5">
        <v>59486</v>
      </c>
      <c r="Z99" s="5">
        <v>105854</v>
      </c>
      <c r="AD99" s="3"/>
    </row>
    <row r="100" spans="1:30" x14ac:dyDescent="0.25">
      <c r="A100" s="10">
        <v>39783</v>
      </c>
      <c r="B100" s="11">
        <v>52104</v>
      </c>
      <c r="C100" s="11" t="s">
        <v>2</v>
      </c>
      <c r="D100" s="1"/>
      <c r="F100" s="10">
        <v>39295</v>
      </c>
      <c r="G100" s="11">
        <v>1256</v>
      </c>
      <c r="H100" s="11" t="s">
        <v>14</v>
      </c>
      <c r="L100" s="3">
        <v>41214</v>
      </c>
      <c r="M100" s="5"/>
      <c r="N100" s="5">
        <v>26328</v>
      </c>
      <c r="O100" s="5">
        <v>49818</v>
      </c>
      <c r="P100" s="5">
        <v>40037</v>
      </c>
      <c r="Q100" s="5"/>
      <c r="R100" s="5">
        <v>116183</v>
      </c>
      <c r="V100" s="3">
        <v>41214</v>
      </c>
      <c r="W100" s="5">
        <v>13316</v>
      </c>
      <c r="X100" s="5">
        <v>32682</v>
      </c>
      <c r="Y100" s="5">
        <v>70185</v>
      </c>
      <c r="Z100" s="5">
        <v>116183</v>
      </c>
      <c r="AD100" s="3"/>
    </row>
    <row r="101" spans="1:30" x14ac:dyDescent="0.25">
      <c r="A101" s="10">
        <v>39814</v>
      </c>
      <c r="B101" s="11">
        <v>7542</v>
      </c>
      <c r="C101" s="11" t="s">
        <v>3</v>
      </c>
      <c r="D101" s="1"/>
      <c r="F101" s="10">
        <v>39326</v>
      </c>
      <c r="G101" s="11">
        <v>48552</v>
      </c>
      <c r="H101" s="11" t="s">
        <v>15</v>
      </c>
      <c r="L101" s="3">
        <v>41244</v>
      </c>
      <c r="M101" s="5"/>
      <c r="N101" s="5">
        <v>29752</v>
      </c>
      <c r="O101" s="5">
        <v>49998</v>
      </c>
      <c r="P101" s="5">
        <v>40485</v>
      </c>
      <c r="Q101" s="5"/>
      <c r="R101" s="5">
        <v>120235</v>
      </c>
      <c r="V101" s="3">
        <v>41244</v>
      </c>
      <c r="W101" s="5">
        <v>15936</v>
      </c>
      <c r="X101" s="5">
        <v>31400</v>
      </c>
      <c r="Y101" s="5">
        <v>72899</v>
      </c>
      <c r="Z101" s="5">
        <v>120235</v>
      </c>
      <c r="AD101" s="3"/>
    </row>
    <row r="102" spans="1:30" x14ac:dyDescent="0.25">
      <c r="A102" s="10">
        <v>39814</v>
      </c>
      <c r="B102" s="11">
        <v>32449</v>
      </c>
      <c r="C102" s="11" t="s">
        <v>2</v>
      </c>
      <c r="D102" s="1"/>
      <c r="F102" s="10">
        <v>39326</v>
      </c>
      <c r="G102" s="11">
        <v>1349</v>
      </c>
      <c r="H102" s="11" t="s">
        <v>14</v>
      </c>
      <c r="L102" s="3">
        <v>41275</v>
      </c>
      <c r="M102" s="5"/>
      <c r="N102" s="5">
        <v>26821</v>
      </c>
      <c r="O102" s="5">
        <v>39738</v>
      </c>
      <c r="P102" s="5">
        <v>36497</v>
      </c>
      <c r="Q102" s="5"/>
      <c r="R102" s="5">
        <v>103056</v>
      </c>
      <c r="V102" s="3">
        <v>41275</v>
      </c>
      <c r="W102" s="5">
        <v>13955</v>
      </c>
      <c r="X102" s="5">
        <v>24709</v>
      </c>
      <c r="Y102" s="5">
        <v>64392</v>
      </c>
      <c r="Z102" s="5">
        <v>103056</v>
      </c>
      <c r="AD102" s="3"/>
    </row>
    <row r="103" spans="1:30" x14ac:dyDescent="0.25">
      <c r="A103" s="10">
        <v>39845</v>
      </c>
      <c r="B103" s="11">
        <v>52470</v>
      </c>
      <c r="C103" s="11" t="s">
        <v>2</v>
      </c>
      <c r="D103" s="1"/>
      <c r="F103" s="10">
        <v>39326</v>
      </c>
      <c r="G103" s="11">
        <v>79230</v>
      </c>
      <c r="H103" s="11" t="s">
        <v>16</v>
      </c>
      <c r="L103" s="3">
        <v>41306</v>
      </c>
      <c r="M103" s="5"/>
      <c r="N103" s="5">
        <v>27440</v>
      </c>
      <c r="O103" s="5">
        <v>44263</v>
      </c>
      <c r="P103" s="5">
        <v>41281</v>
      </c>
      <c r="Q103" s="5"/>
      <c r="R103" s="5">
        <v>112984</v>
      </c>
      <c r="V103" s="3">
        <v>41306</v>
      </c>
      <c r="W103" s="5">
        <v>14118</v>
      </c>
      <c r="X103" s="5">
        <v>26705</v>
      </c>
      <c r="Y103" s="5">
        <v>72161</v>
      </c>
      <c r="Z103" s="5">
        <v>112984</v>
      </c>
      <c r="AD103" s="3"/>
    </row>
    <row r="104" spans="1:30" x14ac:dyDescent="0.25">
      <c r="A104" s="10">
        <v>39845</v>
      </c>
      <c r="B104" s="11">
        <v>32323</v>
      </c>
      <c r="C104" s="11" t="s">
        <v>3</v>
      </c>
      <c r="D104" s="1"/>
      <c r="F104" s="10">
        <v>39356</v>
      </c>
      <c r="G104" s="11">
        <v>77983</v>
      </c>
      <c r="H104" s="11" t="s">
        <v>16</v>
      </c>
      <c r="L104" s="3">
        <v>41334</v>
      </c>
      <c r="M104" s="5"/>
      <c r="N104" s="5">
        <v>29625</v>
      </c>
      <c r="O104" s="5">
        <v>42588</v>
      </c>
      <c r="P104" s="5">
        <v>45862</v>
      </c>
      <c r="Q104" s="5"/>
      <c r="R104" s="5">
        <v>118075</v>
      </c>
      <c r="V104" s="3">
        <v>41334</v>
      </c>
      <c r="W104" s="5">
        <v>15173</v>
      </c>
      <c r="X104" s="5">
        <v>24177</v>
      </c>
      <c r="Y104" s="5">
        <v>78725</v>
      </c>
      <c r="Z104" s="5">
        <v>118075</v>
      </c>
      <c r="AD104" s="3"/>
    </row>
    <row r="105" spans="1:30" x14ac:dyDescent="0.25">
      <c r="A105" s="10">
        <v>39873</v>
      </c>
      <c r="B105" s="11">
        <v>58125</v>
      </c>
      <c r="C105" s="11" t="s">
        <v>2</v>
      </c>
      <c r="D105" s="1"/>
      <c r="F105" s="10">
        <v>39356</v>
      </c>
      <c r="G105" s="11">
        <v>46216</v>
      </c>
      <c r="H105" s="11" t="s">
        <v>15</v>
      </c>
      <c r="L105" s="3">
        <v>41365</v>
      </c>
      <c r="M105" s="5"/>
      <c r="N105" s="5">
        <v>29886</v>
      </c>
      <c r="O105" s="5">
        <v>46379</v>
      </c>
      <c r="P105" s="5">
        <v>40421</v>
      </c>
      <c r="Q105" s="5"/>
      <c r="R105" s="5">
        <v>116686</v>
      </c>
      <c r="V105" s="3">
        <v>41365</v>
      </c>
      <c r="W105" s="5">
        <v>15258</v>
      </c>
      <c r="X105" s="5">
        <v>28670</v>
      </c>
      <c r="Y105" s="5">
        <v>72758</v>
      </c>
      <c r="Z105" s="5">
        <v>116686</v>
      </c>
      <c r="AD105" s="3"/>
    </row>
    <row r="106" spans="1:30" x14ac:dyDescent="0.25">
      <c r="A106" s="10">
        <v>39873</v>
      </c>
      <c r="B106" s="11">
        <v>81506</v>
      </c>
      <c r="C106" s="11" t="s">
        <v>3</v>
      </c>
      <c r="D106" s="1"/>
      <c r="F106" s="10">
        <v>39356</v>
      </c>
      <c r="G106" s="11">
        <v>1311</v>
      </c>
      <c r="H106" s="11" t="s">
        <v>14</v>
      </c>
      <c r="L106" s="3">
        <v>41395</v>
      </c>
      <c r="M106" s="5"/>
      <c r="N106" s="5">
        <v>30221</v>
      </c>
      <c r="O106" s="5">
        <v>47961</v>
      </c>
      <c r="P106" s="5">
        <v>30711</v>
      </c>
      <c r="Q106" s="5"/>
      <c r="R106" s="5">
        <v>108893</v>
      </c>
      <c r="V106" s="3">
        <v>41395</v>
      </c>
      <c r="W106" s="5">
        <v>15539</v>
      </c>
      <c r="X106" s="5">
        <v>31809</v>
      </c>
      <c r="Y106" s="5">
        <v>61545</v>
      </c>
      <c r="Z106" s="5">
        <v>108893</v>
      </c>
      <c r="AD106" s="3"/>
    </row>
    <row r="107" spans="1:30" x14ac:dyDescent="0.25">
      <c r="A107" s="10">
        <v>39904</v>
      </c>
      <c r="B107" s="11">
        <v>72314</v>
      </c>
      <c r="C107" s="11" t="s">
        <v>2</v>
      </c>
      <c r="D107" s="1"/>
      <c r="F107" s="10">
        <v>39387</v>
      </c>
      <c r="G107" s="11">
        <v>66062</v>
      </c>
      <c r="H107" s="11" t="s">
        <v>16</v>
      </c>
      <c r="L107" s="3">
        <v>41426</v>
      </c>
      <c r="M107" s="5"/>
      <c r="N107" s="5">
        <v>28245</v>
      </c>
      <c r="O107" s="5">
        <v>48520</v>
      </c>
      <c r="P107" s="5">
        <v>26806</v>
      </c>
      <c r="Q107" s="5"/>
      <c r="R107" s="5">
        <v>103571</v>
      </c>
      <c r="V107" s="3">
        <v>41426</v>
      </c>
      <c r="W107" s="5">
        <v>14591</v>
      </c>
      <c r="X107" s="5">
        <v>33675</v>
      </c>
      <c r="Y107" s="5">
        <v>55305</v>
      </c>
      <c r="Z107" s="5">
        <v>103571</v>
      </c>
      <c r="AD107" s="3"/>
    </row>
    <row r="108" spans="1:30" x14ac:dyDescent="0.25">
      <c r="A108" s="10">
        <v>39904</v>
      </c>
      <c r="B108" s="11">
        <v>104826</v>
      </c>
      <c r="C108" s="11" t="s">
        <v>3</v>
      </c>
      <c r="D108" s="1"/>
      <c r="F108" s="10">
        <v>39387</v>
      </c>
      <c r="G108" s="11">
        <v>50236</v>
      </c>
      <c r="H108" s="11" t="s">
        <v>15</v>
      </c>
      <c r="L108" s="3">
        <v>41456</v>
      </c>
      <c r="M108" s="5"/>
      <c r="N108" s="5">
        <v>26789</v>
      </c>
      <c r="O108" s="5">
        <v>62247</v>
      </c>
      <c r="P108" s="5">
        <v>32722</v>
      </c>
      <c r="Q108" s="5"/>
      <c r="R108" s="5">
        <v>121758</v>
      </c>
      <c r="V108" s="3">
        <v>41456</v>
      </c>
      <c r="W108" s="5">
        <v>13308</v>
      </c>
      <c r="X108" s="5">
        <v>45214</v>
      </c>
      <c r="Y108" s="5">
        <v>63236</v>
      </c>
      <c r="Z108" s="5">
        <v>121758</v>
      </c>
      <c r="AD108" s="3"/>
    </row>
    <row r="109" spans="1:30" x14ac:dyDescent="0.25">
      <c r="A109" s="10">
        <v>39934</v>
      </c>
      <c r="B109" s="11">
        <v>87478</v>
      </c>
      <c r="C109" s="11" t="s">
        <v>2</v>
      </c>
      <c r="D109" s="1"/>
      <c r="F109" s="10">
        <v>39387</v>
      </c>
      <c r="G109" s="11">
        <v>1433</v>
      </c>
      <c r="H109" s="11" t="s">
        <v>14</v>
      </c>
      <c r="L109" s="3">
        <v>41487</v>
      </c>
      <c r="M109" s="5"/>
      <c r="N109" s="5">
        <v>23013</v>
      </c>
      <c r="O109" s="5">
        <v>60521</v>
      </c>
      <c r="P109" s="5">
        <v>27485</v>
      </c>
      <c r="Q109" s="5"/>
      <c r="R109" s="5">
        <v>111019</v>
      </c>
      <c r="V109" s="3">
        <v>41487</v>
      </c>
      <c r="W109" s="5">
        <v>11511</v>
      </c>
      <c r="X109" s="5">
        <v>45299</v>
      </c>
      <c r="Y109" s="5">
        <v>54209</v>
      </c>
      <c r="Z109" s="5">
        <v>111019</v>
      </c>
      <c r="AD109" s="3"/>
    </row>
    <row r="110" spans="1:30" x14ac:dyDescent="0.25">
      <c r="A110" s="10">
        <v>39934</v>
      </c>
      <c r="B110" s="11">
        <v>108692</v>
      </c>
      <c r="C110" s="11" t="s">
        <v>3</v>
      </c>
      <c r="D110" s="1"/>
      <c r="F110" s="10">
        <v>39417</v>
      </c>
      <c r="G110" s="11">
        <v>62491</v>
      </c>
      <c r="H110" s="11" t="s">
        <v>16</v>
      </c>
      <c r="L110" s="3">
        <v>41518</v>
      </c>
      <c r="M110" s="5"/>
      <c r="N110" s="5">
        <v>20542</v>
      </c>
      <c r="O110" s="5">
        <v>56084</v>
      </c>
      <c r="P110" s="5">
        <v>19112</v>
      </c>
      <c r="Q110" s="5"/>
      <c r="R110" s="5">
        <v>95738</v>
      </c>
      <c r="V110" s="3">
        <v>41518</v>
      </c>
      <c r="W110" s="5">
        <v>10589</v>
      </c>
      <c r="X110" s="5">
        <v>42667</v>
      </c>
      <c r="Y110" s="5">
        <v>42482</v>
      </c>
      <c r="Z110" s="5">
        <v>95738</v>
      </c>
      <c r="AD110" s="3"/>
    </row>
    <row r="111" spans="1:30" x14ac:dyDescent="0.25">
      <c r="A111" s="10">
        <v>39965</v>
      </c>
      <c r="B111" s="11">
        <v>94312</v>
      </c>
      <c r="C111" s="11" t="s">
        <v>4</v>
      </c>
      <c r="D111" s="1"/>
      <c r="F111" s="10">
        <v>39417</v>
      </c>
      <c r="G111" s="11">
        <v>59043</v>
      </c>
      <c r="H111" s="11" t="s">
        <v>15</v>
      </c>
      <c r="L111" s="3">
        <v>41548</v>
      </c>
      <c r="M111" s="5"/>
      <c r="N111" s="5">
        <v>15993</v>
      </c>
      <c r="O111" s="5">
        <v>49158</v>
      </c>
      <c r="P111" s="5">
        <v>11604</v>
      </c>
      <c r="Q111" s="5"/>
      <c r="R111" s="5">
        <v>76755</v>
      </c>
      <c r="V111" s="3">
        <v>41548</v>
      </c>
      <c r="W111" s="5">
        <v>8489</v>
      </c>
      <c r="X111" s="5">
        <v>39145</v>
      </c>
      <c r="Y111" s="5">
        <v>29121</v>
      </c>
      <c r="Z111" s="5">
        <v>76755</v>
      </c>
      <c r="AD111" s="3"/>
    </row>
    <row r="112" spans="1:30" x14ac:dyDescent="0.25">
      <c r="A112" s="10">
        <v>39965</v>
      </c>
      <c r="B112" s="11">
        <v>10383</v>
      </c>
      <c r="C112" s="11" t="s">
        <v>5</v>
      </c>
      <c r="D112" s="1"/>
      <c r="F112" s="10">
        <v>39417</v>
      </c>
      <c r="G112" s="11">
        <v>1529</v>
      </c>
      <c r="H112" s="11" t="s">
        <v>14</v>
      </c>
      <c r="L112" s="3">
        <v>41579</v>
      </c>
      <c r="M112" s="5"/>
      <c r="N112" s="5">
        <v>12082</v>
      </c>
      <c r="O112" s="5">
        <v>41648</v>
      </c>
      <c r="P112" s="5">
        <v>7900</v>
      </c>
      <c r="Q112" s="5"/>
      <c r="R112" s="5">
        <v>61630</v>
      </c>
      <c r="V112" s="3">
        <v>41579</v>
      </c>
      <c r="W112" s="5">
        <v>6264</v>
      </c>
      <c r="X112" s="5">
        <v>33360</v>
      </c>
      <c r="Y112" s="5">
        <v>22006</v>
      </c>
      <c r="Z112" s="5">
        <v>61630</v>
      </c>
      <c r="AD112" s="3"/>
    </row>
    <row r="113" spans="1:30" x14ac:dyDescent="0.25">
      <c r="A113" s="10">
        <v>39965</v>
      </c>
      <c r="B113" s="11">
        <v>80977</v>
      </c>
      <c r="C113" s="11" t="s">
        <v>2</v>
      </c>
      <c r="D113" s="1"/>
      <c r="F113" s="10">
        <v>39448</v>
      </c>
      <c r="G113" s="11">
        <v>1162</v>
      </c>
      <c r="H113" s="11" t="s">
        <v>14</v>
      </c>
      <c r="L113" s="3">
        <v>41609</v>
      </c>
      <c r="M113" s="5"/>
      <c r="N113" s="5">
        <v>10922</v>
      </c>
      <c r="O113" s="5">
        <v>45669</v>
      </c>
      <c r="P113" s="5">
        <v>8033</v>
      </c>
      <c r="Q113" s="5"/>
      <c r="R113" s="5">
        <v>64624</v>
      </c>
      <c r="V113" s="3">
        <v>41609</v>
      </c>
      <c r="W113" s="5">
        <v>5421</v>
      </c>
      <c r="X113" s="5">
        <v>36698</v>
      </c>
      <c r="Y113" s="5">
        <v>22505</v>
      </c>
      <c r="Z113" s="5">
        <v>64624</v>
      </c>
      <c r="AD113" s="3"/>
    </row>
    <row r="114" spans="1:30" x14ac:dyDescent="0.25">
      <c r="A114" s="10">
        <v>39995</v>
      </c>
      <c r="B114" s="11">
        <v>16311</v>
      </c>
      <c r="C114" s="11" t="s">
        <v>5</v>
      </c>
      <c r="D114" s="1"/>
      <c r="F114" s="10">
        <v>39448</v>
      </c>
      <c r="G114" s="11">
        <v>55419</v>
      </c>
      <c r="H114" s="11" t="s">
        <v>16</v>
      </c>
      <c r="L114" s="3">
        <v>41640</v>
      </c>
      <c r="M114" s="5"/>
      <c r="N114" s="5">
        <v>9752</v>
      </c>
      <c r="O114" s="5">
        <v>45743</v>
      </c>
      <c r="P114" s="5">
        <v>9674</v>
      </c>
      <c r="Q114" s="5"/>
      <c r="R114" s="5">
        <v>65169</v>
      </c>
      <c r="V114" s="3">
        <v>41640</v>
      </c>
      <c r="W114" s="5">
        <v>4753</v>
      </c>
      <c r="X114" s="5">
        <v>36127</v>
      </c>
      <c r="Y114" s="5">
        <v>24289</v>
      </c>
      <c r="Z114" s="5">
        <v>65169</v>
      </c>
      <c r="AD114" s="3"/>
    </row>
    <row r="115" spans="1:30" x14ac:dyDescent="0.25">
      <c r="A115" s="10">
        <v>39995</v>
      </c>
      <c r="B115" s="11">
        <v>82570</v>
      </c>
      <c r="C115" s="11" t="s">
        <v>2</v>
      </c>
      <c r="D115" s="1"/>
      <c r="F115" s="10">
        <v>39448</v>
      </c>
      <c r="G115" s="11">
        <v>52512</v>
      </c>
      <c r="H115" s="11" t="s">
        <v>15</v>
      </c>
      <c r="L115" s="3">
        <v>41671</v>
      </c>
      <c r="M115" s="5"/>
      <c r="N115" s="5">
        <v>9671</v>
      </c>
      <c r="O115" s="5">
        <v>48084</v>
      </c>
      <c r="P115" s="5">
        <v>9770</v>
      </c>
      <c r="Q115" s="5"/>
      <c r="R115" s="5">
        <v>67525</v>
      </c>
      <c r="V115" s="3">
        <v>41671</v>
      </c>
      <c r="W115" s="5">
        <v>4811</v>
      </c>
      <c r="X115" s="5">
        <v>38048</v>
      </c>
      <c r="Y115" s="5">
        <v>24666</v>
      </c>
      <c r="Z115" s="5">
        <v>67525</v>
      </c>
      <c r="AD115" s="3"/>
    </row>
    <row r="116" spans="1:30" x14ac:dyDescent="0.25">
      <c r="A116" s="10">
        <v>39995</v>
      </c>
      <c r="B116" s="11">
        <v>90531</v>
      </c>
      <c r="C116" s="11" t="s">
        <v>4</v>
      </c>
      <c r="D116" s="1"/>
      <c r="F116" s="10">
        <v>39479</v>
      </c>
      <c r="G116" s="11">
        <v>1383</v>
      </c>
      <c r="H116" s="11" t="s">
        <v>14</v>
      </c>
      <c r="L116" s="3">
        <v>41699</v>
      </c>
      <c r="M116" s="5"/>
      <c r="N116" s="5">
        <v>8095</v>
      </c>
      <c r="O116" s="5">
        <v>32181</v>
      </c>
      <c r="P116" s="5">
        <v>6582</v>
      </c>
      <c r="Q116" s="5">
        <v>6</v>
      </c>
      <c r="R116" s="5">
        <v>46864</v>
      </c>
      <c r="V116" s="3">
        <v>41699</v>
      </c>
      <c r="W116" s="5">
        <v>3966</v>
      </c>
      <c r="X116" s="5">
        <v>25079</v>
      </c>
      <c r="Y116" s="5">
        <v>17819</v>
      </c>
      <c r="Z116" s="5">
        <v>46864</v>
      </c>
      <c r="AD116" s="3"/>
    </row>
    <row r="117" spans="1:30" x14ac:dyDescent="0.25">
      <c r="A117" s="10">
        <v>40026</v>
      </c>
      <c r="B117" s="11">
        <v>89410</v>
      </c>
      <c r="C117" s="11" t="s">
        <v>2</v>
      </c>
      <c r="D117" s="1"/>
      <c r="F117" s="10">
        <v>39479</v>
      </c>
      <c r="G117" s="11">
        <v>54684</v>
      </c>
      <c r="H117" s="11" t="s">
        <v>16</v>
      </c>
      <c r="L117" s="3">
        <v>41730</v>
      </c>
      <c r="M117" s="5"/>
      <c r="N117" s="5"/>
      <c r="O117" s="5">
        <v>34463</v>
      </c>
      <c r="P117" s="5"/>
      <c r="Q117" s="5">
        <v>12788</v>
      </c>
      <c r="R117" s="5">
        <v>47251</v>
      </c>
      <c r="V117" s="3">
        <v>41730</v>
      </c>
      <c r="W117" s="5">
        <v>3315</v>
      </c>
      <c r="X117" s="5">
        <v>27579</v>
      </c>
      <c r="Y117" s="5">
        <v>16357</v>
      </c>
      <c r="Z117" s="5">
        <v>47251</v>
      </c>
      <c r="AD117" s="3"/>
    </row>
    <row r="118" spans="1:30" x14ac:dyDescent="0.25">
      <c r="A118" s="10">
        <v>40026</v>
      </c>
      <c r="B118" s="11">
        <v>25480</v>
      </c>
      <c r="C118" s="11" t="s">
        <v>5</v>
      </c>
      <c r="D118" s="1"/>
      <c r="F118" s="10">
        <v>39479</v>
      </c>
      <c r="G118" s="11">
        <v>70430</v>
      </c>
      <c r="H118" s="11" t="s">
        <v>15</v>
      </c>
      <c r="L118" s="3">
        <v>41760</v>
      </c>
      <c r="M118" s="5"/>
      <c r="N118" s="5"/>
      <c r="O118" s="5">
        <v>46338</v>
      </c>
      <c r="P118" s="5"/>
      <c r="Q118" s="5">
        <v>14986</v>
      </c>
      <c r="R118" s="5">
        <v>61324</v>
      </c>
      <c r="V118" s="3">
        <v>41760</v>
      </c>
      <c r="W118" s="5">
        <v>3393</v>
      </c>
      <c r="X118" s="5">
        <v>37584</v>
      </c>
      <c r="Y118" s="5">
        <v>20347</v>
      </c>
      <c r="Z118" s="5">
        <v>61324</v>
      </c>
      <c r="AD118" s="3"/>
    </row>
    <row r="119" spans="1:30" x14ac:dyDescent="0.25">
      <c r="A119" s="10">
        <v>40026</v>
      </c>
      <c r="B119" s="11">
        <v>71783</v>
      </c>
      <c r="C119" s="11" t="s">
        <v>4</v>
      </c>
      <c r="D119" s="1"/>
      <c r="F119" s="10">
        <v>39508</v>
      </c>
      <c r="G119" s="11">
        <v>1156</v>
      </c>
      <c r="H119" s="11" t="s">
        <v>14</v>
      </c>
      <c r="L119" s="3">
        <v>41791</v>
      </c>
      <c r="M119" s="5"/>
      <c r="N119" s="5"/>
      <c r="O119" s="5">
        <v>49506</v>
      </c>
      <c r="P119" s="5"/>
      <c r="Q119" s="5">
        <v>14482</v>
      </c>
      <c r="R119" s="5">
        <v>63988</v>
      </c>
      <c r="V119" s="3">
        <v>41791</v>
      </c>
      <c r="W119" s="5">
        <v>3249</v>
      </c>
      <c r="X119" s="5">
        <v>40696</v>
      </c>
      <c r="Y119" s="5">
        <v>20043</v>
      </c>
      <c r="Z119" s="5">
        <v>63988</v>
      </c>
      <c r="AD119" s="3"/>
    </row>
    <row r="120" spans="1:30" x14ac:dyDescent="0.25">
      <c r="A120" s="10">
        <v>40057</v>
      </c>
      <c r="B120" s="11">
        <v>45076</v>
      </c>
      <c r="C120" s="11" t="s">
        <v>4</v>
      </c>
      <c r="D120" s="1"/>
      <c r="F120" s="10">
        <v>39508</v>
      </c>
      <c r="G120" s="11">
        <v>69744</v>
      </c>
      <c r="H120" s="11" t="s">
        <v>15</v>
      </c>
      <c r="L120" s="3">
        <v>41821</v>
      </c>
      <c r="M120" s="5"/>
      <c r="N120" s="5"/>
      <c r="O120" s="5">
        <v>55296</v>
      </c>
      <c r="P120" s="5"/>
      <c r="Q120" s="5">
        <v>13324</v>
      </c>
      <c r="R120" s="5">
        <v>68620</v>
      </c>
      <c r="V120" s="3">
        <v>41821</v>
      </c>
      <c r="W120" s="5">
        <v>2784</v>
      </c>
      <c r="X120" s="5">
        <v>46579</v>
      </c>
      <c r="Y120" s="5">
        <v>19257</v>
      </c>
      <c r="Z120" s="5">
        <v>68620</v>
      </c>
      <c r="AD120" s="3"/>
    </row>
    <row r="121" spans="1:30" x14ac:dyDescent="0.25">
      <c r="A121" s="10">
        <v>40057</v>
      </c>
      <c r="B121" s="11">
        <v>83867</v>
      </c>
      <c r="C121" s="11" t="s">
        <v>2</v>
      </c>
      <c r="D121" s="1"/>
      <c r="F121" s="10">
        <v>39508</v>
      </c>
      <c r="G121" s="11">
        <v>41618</v>
      </c>
      <c r="H121" s="11" t="s">
        <v>16</v>
      </c>
      <c r="L121" s="3">
        <v>41852</v>
      </c>
      <c r="M121" s="5"/>
      <c r="N121" s="5"/>
      <c r="O121" s="5">
        <v>65987</v>
      </c>
      <c r="P121" s="5"/>
      <c r="Q121" s="5">
        <v>15877</v>
      </c>
      <c r="R121" s="5">
        <v>81864</v>
      </c>
      <c r="V121" s="3">
        <v>41852</v>
      </c>
      <c r="W121" s="5">
        <v>2417</v>
      </c>
      <c r="X121" s="5">
        <v>55585</v>
      </c>
      <c r="Y121" s="5">
        <v>23862</v>
      </c>
      <c r="Z121" s="5">
        <v>81864</v>
      </c>
      <c r="AD121" s="3"/>
    </row>
    <row r="122" spans="1:30" x14ac:dyDescent="0.25">
      <c r="A122" s="10">
        <v>40057</v>
      </c>
      <c r="B122" s="11">
        <v>22620</v>
      </c>
      <c r="C122" s="11" t="s">
        <v>5</v>
      </c>
      <c r="D122" s="1"/>
      <c r="F122" s="10">
        <v>39539</v>
      </c>
      <c r="G122" s="11">
        <v>1528</v>
      </c>
      <c r="H122" s="11" t="s">
        <v>14</v>
      </c>
      <c r="L122" s="3">
        <v>41883</v>
      </c>
      <c r="M122" s="5"/>
      <c r="N122" s="5"/>
      <c r="O122" s="5">
        <v>67292</v>
      </c>
      <c r="P122" s="5"/>
      <c r="Q122" s="5">
        <v>16493</v>
      </c>
      <c r="R122" s="5">
        <v>83785</v>
      </c>
      <c r="V122" s="3">
        <v>41883</v>
      </c>
      <c r="W122" s="5">
        <v>2312</v>
      </c>
      <c r="X122" s="5">
        <v>56062</v>
      </c>
      <c r="Y122" s="5">
        <v>25411</v>
      </c>
      <c r="Z122" s="5">
        <v>83785</v>
      </c>
      <c r="AD122" s="3"/>
    </row>
    <row r="123" spans="1:30" x14ac:dyDescent="0.25">
      <c r="A123" s="10">
        <v>40087</v>
      </c>
      <c r="B123" s="11">
        <v>62931</v>
      </c>
      <c r="C123" s="11" t="s">
        <v>2</v>
      </c>
      <c r="D123" s="1"/>
      <c r="F123" s="10">
        <v>39539</v>
      </c>
      <c r="G123" s="11">
        <v>46161</v>
      </c>
      <c r="H123" s="11" t="s">
        <v>16</v>
      </c>
      <c r="L123" s="3">
        <v>41913</v>
      </c>
      <c r="M123" s="5"/>
      <c r="N123" s="5"/>
      <c r="O123" s="5">
        <v>63700</v>
      </c>
      <c r="P123" s="5"/>
      <c r="Q123" s="5">
        <v>16731</v>
      </c>
      <c r="R123" s="5">
        <v>80431</v>
      </c>
      <c r="V123" s="3">
        <v>41913</v>
      </c>
      <c r="W123" s="5">
        <v>2380</v>
      </c>
      <c r="X123" s="5">
        <v>52186</v>
      </c>
      <c r="Y123" s="5">
        <v>25865</v>
      </c>
      <c r="Z123" s="5">
        <v>80431</v>
      </c>
      <c r="AD123" s="3"/>
    </row>
    <row r="124" spans="1:30" x14ac:dyDescent="0.25">
      <c r="A124" s="10">
        <v>40087</v>
      </c>
      <c r="B124" s="11">
        <v>16406</v>
      </c>
      <c r="C124" s="11" t="s">
        <v>5</v>
      </c>
      <c r="D124" s="1"/>
      <c r="F124" s="10">
        <v>39539</v>
      </c>
      <c r="G124" s="11">
        <v>111556</v>
      </c>
      <c r="H124" s="11" t="s">
        <v>15</v>
      </c>
      <c r="L124" s="3">
        <v>41944</v>
      </c>
      <c r="M124" s="5"/>
      <c r="N124" s="5"/>
      <c r="O124" s="5">
        <v>59685</v>
      </c>
      <c r="P124" s="5"/>
      <c r="Q124" s="5">
        <v>17725</v>
      </c>
      <c r="R124" s="5">
        <v>77410</v>
      </c>
      <c r="V124" s="3">
        <v>41944</v>
      </c>
      <c r="W124" s="5">
        <v>2381</v>
      </c>
      <c r="X124" s="5">
        <v>47183</v>
      </c>
      <c r="Y124" s="5">
        <v>27846</v>
      </c>
      <c r="Z124" s="5">
        <v>77410</v>
      </c>
      <c r="AD124" s="3"/>
    </row>
    <row r="125" spans="1:30" x14ac:dyDescent="0.25">
      <c r="A125" s="10">
        <v>40087</v>
      </c>
      <c r="B125" s="11">
        <v>24616</v>
      </c>
      <c r="C125" s="11" t="s">
        <v>4</v>
      </c>
      <c r="D125" s="1"/>
      <c r="F125" s="10">
        <v>39569</v>
      </c>
      <c r="G125" s="11">
        <v>88808</v>
      </c>
      <c r="H125" s="11" t="s">
        <v>15</v>
      </c>
      <c r="L125" s="3">
        <v>41974</v>
      </c>
      <c r="M125" s="5"/>
      <c r="N125" s="5"/>
      <c r="O125" s="5">
        <v>54342</v>
      </c>
      <c r="P125" s="5"/>
      <c r="Q125" s="5">
        <v>18168</v>
      </c>
      <c r="R125" s="5">
        <v>72510</v>
      </c>
      <c r="V125" s="3">
        <v>41974</v>
      </c>
      <c r="W125" s="5">
        <v>2277</v>
      </c>
      <c r="X125" s="5">
        <v>42357</v>
      </c>
      <c r="Y125" s="5">
        <v>27876</v>
      </c>
      <c r="Z125" s="5">
        <v>72510</v>
      </c>
      <c r="AD125" s="3"/>
    </row>
    <row r="126" spans="1:30" x14ac:dyDescent="0.25">
      <c r="A126" s="10">
        <v>40118</v>
      </c>
      <c r="B126" s="11">
        <v>13051</v>
      </c>
      <c r="C126" s="11" t="s">
        <v>5</v>
      </c>
      <c r="D126" s="1"/>
      <c r="F126" s="10">
        <v>39569</v>
      </c>
      <c r="G126" s="11">
        <v>1326</v>
      </c>
      <c r="H126" s="11" t="s">
        <v>14</v>
      </c>
      <c r="L126" s="3">
        <v>42005</v>
      </c>
      <c r="M126" s="5"/>
      <c r="N126" s="5"/>
      <c r="O126" s="5">
        <v>47250</v>
      </c>
      <c r="P126" s="5"/>
      <c r="Q126" s="5">
        <v>21476</v>
      </c>
      <c r="R126" s="5">
        <v>68726</v>
      </c>
      <c r="V126" s="3">
        <v>42005</v>
      </c>
      <c r="W126" s="5">
        <v>1976</v>
      </c>
      <c r="X126" s="5">
        <v>35533</v>
      </c>
      <c r="Y126" s="5">
        <v>31217</v>
      </c>
      <c r="Z126" s="5">
        <v>68726</v>
      </c>
      <c r="AD126" s="3"/>
    </row>
    <row r="127" spans="1:30" x14ac:dyDescent="0.25">
      <c r="A127" s="10">
        <v>40118</v>
      </c>
      <c r="B127" s="11">
        <v>20958</v>
      </c>
      <c r="C127" s="11" t="s">
        <v>4</v>
      </c>
      <c r="D127" s="1"/>
      <c r="F127" s="10">
        <v>39569</v>
      </c>
      <c r="G127" s="11">
        <v>53863</v>
      </c>
      <c r="H127" s="11" t="s">
        <v>16</v>
      </c>
      <c r="L127" s="3">
        <v>42036</v>
      </c>
      <c r="M127" s="5"/>
      <c r="N127" s="5"/>
      <c r="O127" s="5">
        <v>50078</v>
      </c>
      <c r="P127" s="5"/>
      <c r="Q127" s="5">
        <v>20938</v>
      </c>
      <c r="R127" s="5">
        <v>71016</v>
      </c>
      <c r="V127" s="3">
        <v>42036</v>
      </c>
      <c r="W127" s="5">
        <v>2128</v>
      </c>
      <c r="X127" s="5">
        <v>37562</v>
      </c>
      <c r="Y127" s="5">
        <v>31326</v>
      </c>
      <c r="Z127" s="5">
        <v>71016</v>
      </c>
      <c r="AD127" s="3"/>
    </row>
    <row r="128" spans="1:30" x14ac:dyDescent="0.25">
      <c r="A128" s="10">
        <v>40118</v>
      </c>
      <c r="B128" s="11">
        <v>58846</v>
      </c>
      <c r="C128" s="11" t="s">
        <v>2</v>
      </c>
      <c r="D128" s="1"/>
      <c r="F128" s="10">
        <v>39600</v>
      </c>
      <c r="G128" s="11">
        <v>84479</v>
      </c>
      <c r="H128" s="11" t="s">
        <v>15</v>
      </c>
      <c r="L128" s="3">
        <v>42064</v>
      </c>
      <c r="M128" s="5"/>
      <c r="N128" s="5"/>
      <c r="O128" s="5">
        <v>39431</v>
      </c>
      <c r="P128" s="5"/>
      <c r="Q128" s="5">
        <v>24131</v>
      </c>
      <c r="R128" s="5">
        <v>63562</v>
      </c>
      <c r="V128" s="3">
        <v>42064</v>
      </c>
      <c r="W128" s="5">
        <v>1852</v>
      </c>
      <c r="X128" s="5">
        <v>27394</v>
      </c>
      <c r="Y128" s="5">
        <v>34316</v>
      </c>
      <c r="Z128" s="5">
        <v>63562</v>
      </c>
      <c r="AD128" s="3"/>
    </row>
    <row r="129" spans="1:30" x14ac:dyDescent="0.25">
      <c r="A129" s="10">
        <v>40148</v>
      </c>
      <c r="B129" s="11">
        <v>18179</v>
      </c>
      <c r="C129" s="11" t="s">
        <v>5</v>
      </c>
      <c r="D129" s="1"/>
      <c r="F129" s="10">
        <v>39600</v>
      </c>
      <c r="G129" s="11">
        <v>50984</v>
      </c>
      <c r="H129" s="11" t="s">
        <v>16</v>
      </c>
      <c r="L129" s="3">
        <v>42095</v>
      </c>
      <c r="M129" s="5"/>
      <c r="N129" s="5"/>
      <c r="O129" s="5">
        <v>45767</v>
      </c>
      <c r="P129" s="5"/>
      <c r="Q129" s="5">
        <v>35016</v>
      </c>
      <c r="R129" s="5">
        <v>80783</v>
      </c>
      <c r="V129" s="3">
        <v>42095</v>
      </c>
      <c r="W129" s="5">
        <v>1910</v>
      </c>
      <c r="X129" s="5">
        <v>31125</v>
      </c>
      <c r="Y129" s="5">
        <v>47748</v>
      </c>
      <c r="Z129" s="5">
        <v>80783</v>
      </c>
      <c r="AD129" s="3"/>
    </row>
    <row r="130" spans="1:30" x14ac:dyDescent="0.25">
      <c r="A130" s="10">
        <v>40148</v>
      </c>
      <c r="B130" s="11">
        <v>26484</v>
      </c>
      <c r="C130" s="11" t="s">
        <v>4</v>
      </c>
      <c r="D130" s="1"/>
      <c r="F130" s="10">
        <v>39600</v>
      </c>
      <c r="G130" s="11">
        <v>1116</v>
      </c>
      <c r="H130" s="11" t="s">
        <v>14</v>
      </c>
      <c r="L130" s="3">
        <v>42125</v>
      </c>
      <c r="M130" s="5"/>
      <c r="N130" s="5"/>
      <c r="O130" s="5">
        <v>63289</v>
      </c>
      <c r="P130" s="5"/>
      <c r="Q130" s="5">
        <v>39618</v>
      </c>
      <c r="R130" s="5">
        <v>102907</v>
      </c>
      <c r="V130" s="3">
        <v>42125</v>
      </c>
      <c r="W130" s="5">
        <v>2171</v>
      </c>
      <c r="X130" s="5">
        <v>44496</v>
      </c>
      <c r="Y130" s="5">
        <v>56240</v>
      </c>
      <c r="Z130" s="5">
        <v>102907</v>
      </c>
      <c r="AD130" s="3"/>
    </row>
    <row r="131" spans="1:30" x14ac:dyDescent="0.25">
      <c r="A131" s="10">
        <v>40148</v>
      </c>
      <c r="B131" s="11">
        <v>62802</v>
      </c>
      <c r="C131" s="11" t="s">
        <v>2</v>
      </c>
      <c r="D131" s="1"/>
      <c r="F131" s="10">
        <v>39630</v>
      </c>
      <c r="G131" s="11">
        <v>54624</v>
      </c>
      <c r="H131" s="11" t="s">
        <v>15</v>
      </c>
      <c r="L131" s="3">
        <v>42156</v>
      </c>
      <c r="M131" s="5"/>
      <c r="N131" s="5"/>
      <c r="O131" s="5">
        <v>66830</v>
      </c>
      <c r="P131" s="5"/>
      <c r="Q131" s="5">
        <v>30540</v>
      </c>
      <c r="R131" s="5">
        <v>97370</v>
      </c>
      <c r="V131" s="3">
        <v>42156</v>
      </c>
      <c r="W131" s="5">
        <v>2004</v>
      </c>
      <c r="X131" s="5">
        <v>48719</v>
      </c>
      <c r="Y131" s="5">
        <v>46647</v>
      </c>
      <c r="Z131" s="5">
        <v>97370</v>
      </c>
      <c r="AD131" s="3"/>
    </row>
    <row r="132" spans="1:30" x14ac:dyDescent="0.25">
      <c r="A132" s="10">
        <v>40179</v>
      </c>
      <c r="B132" s="11">
        <v>60390</v>
      </c>
      <c r="C132" s="11" t="s">
        <v>2</v>
      </c>
      <c r="D132" s="1"/>
      <c r="F132" s="10">
        <v>39630</v>
      </c>
      <c r="G132" s="11">
        <v>697</v>
      </c>
      <c r="H132" s="11" t="s">
        <v>14</v>
      </c>
      <c r="L132" s="3">
        <v>42186</v>
      </c>
      <c r="M132" s="5"/>
      <c r="N132" s="5"/>
      <c r="O132" s="5">
        <v>70156</v>
      </c>
      <c r="P132" s="5"/>
      <c r="Q132" s="5">
        <v>26241</v>
      </c>
      <c r="R132" s="5">
        <v>96397</v>
      </c>
      <c r="V132" s="3">
        <v>42186</v>
      </c>
      <c r="W132" s="5">
        <v>1721</v>
      </c>
      <c r="X132" s="5">
        <v>53183</v>
      </c>
      <c r="Y132" s="5">
        <v>41493</v>
      </c>
      <c r="Z132" s="5">
        <v>96397</v>
      </c>
      <c r="AD132" s="3"/>
    </row>
    <row r="133" spans="1:30" x14ac:dyDescent="0.25">
      <c r="A133" s="10">
        <v>40179</v>
      </c>
      <c r="B133" s="11">
        <v>23590</v>
      </c>
      <c r="C133" s="11" t="s">
        <v>5</v>
      </c>
      <c r="D133" s="1"/>
      <c r="F133" s="10">
        <v>39630</v>
      </c>
      <c r="G133" s="11">
        <v>50075</v>
      </c>
      <c r="H133" s="11" t="s">
        <v>16</v>
      </c>
      <c r="L133" s="3">
        <v>42217</v>
      </c>
      <c r="M133" s="5"/>
      <c r="N133" s="5"/>
      <c r="O133" s="5">
        <v>73092</v>
      </c>
      <c r="P133" s="5"/>
      <c r="Q133" s="5">
        <v>21405</v>
      </c>
      <c r="R133" s="5">
        <v>94497</v>
      </c>
      <c r="V133" s="3">
        <v>42217</v>
      </c>
      <c r="W133" s="5">
        <v>1641</v>
      </c>
      <c r="X133" s="5">
        <v>57280</v>
      </c>
      <c r="Y133" s="5">
        <v>35576</v>
      </c>
      <c r="Z133" s="5">
        <v>94497</v>
      </c>
      <c r="AD133" s="3"/>
    </row>
    <row r="134" spans="1:30" x14ac:dyDescent="0.25">
      <c r="A134" s="10">
        <v>40179</v>
      </c>
      <c r="B134" s="11">
        <v>27562</v>
      </c>
      <c r="C134" s="11" t="s">
        <v>4</v>
      </c>
      <c r="D134" s="1"/>
      <c r="F134" s="10">
        <v>39661</v>
      </c>
      <c r="G134" s="11">
        <v>54723</v>
      </c>
      <c r="H134" s="11" t="s">
        <v>16</v>
      </c>
      <c r="L134" s="3">
        <v>42248</v>
      </c>
      <c r="M134" s="5"/>
      <c r="N134" s="5"/>
      <c r="O134" s="5">
        <v>71669</v>
      </c>
      <c r="P134" s="5"/>
      <c r="Q134" s="5">
        <v>17182</v>
      </c>
      <c r="R134" s="5">
        <v>88851</v>
      </c>
      <c r="V134" s="3">
        <v>42248</v>
      </c>
      <c r="W134" s="5">
        <v>1471</v>
      </c>
      <c r="X134" s="5">
        <v>56626</v>
      </c>
      <c r="Y134" s="5">
        <v>30754</v>
      </c>
      <c r="Z134" s="5">
        <v>88851</v>
      </c>
      <c r="AD134" s="3"/>
    </row>
    <row r="135" spans="1:30" x14ac:dyDescent="0.25">
      <c r="A135" s="10">
        <v>40210</v>
      </c>
      <c r="B135" s="11">
        <v>54738</v>
      </c>
      <c r="C135" s="11" t="s">
        <v>2</v>
      </c>
      <c r="D135" s="1"/>
      <c r="F135" s="10">
        <v>39661</v>
      </c>
      <c r="G135" s="11">
        <v>42929</v>
      </c>
      <c r="H135" s="11" t="s">
        <v>15</v>
      </c>
      <c r="L135" s="3">
        <v>42278</v>
      </c>
      <c r="M135" s="5"/>
      <c r="N135" s="5"/>
      <c r="O135" s="5">
        <v>69113</v>
      </c>
      <c r="P135" s="5"/>
      <c r="Q135" s="5">
        <v>16547</v>
      </c>
      <c r="R135" s="5">
        <v>85660</v>
      </c>
      <c r="V135" s="3">
        <v>42278</v>
      </c>
      <c r="W135" s="5">
        <v>1498</v>
      </c>
      <c r="X135" s="5">
        <v>54606</v>
      </c>
      <c r="Y135" s="5">
        <v>29556</v>
      </c>
      <c r="Z135" s="5">
        <v>85660</v>
      </c>
      <c r="AD135" s="3"/>
    </row>
    <row r="136" spans="1:30" x14ac:dyDescent="0.25">
      <c r="A136" s="10">
        <v>40210</v>
      </c>
      <c r="B136" s="11">
        <v>26564</v>
      </c>
      <c r="C136" s="11" t="s">
        <v>5</v>
      </c>
      <c r="D136" s="1"/>
      <c r="F136" s="10">
        <v>39661</v>
      </c>
      <c r="G136" s="11">
        <v>535</v>
      </c>
      <c r="H136" s="11" t="s">
        <v>14</v>
      </c>
      <c r="L136" s="3">
        <v>42309</v>
      </c>
      <c r="M136" s="5"/>
      <c r="N136" s="5"/>
      <c r="O136" s="5">
        <v>65422</v>
      </c>
      <c r="P136" s="5"/>
      <c r="Q136" s="5">
        <v>17651</v>
      </c>
      <c r="R136" s="5">
        <v>83073</v>
      </c>
      <c r="V136" s="3">
        <v>42309</v>
      </c>
      <c r="W136" s="5">
        <v>1459</v>
      </c>
      <c r="X136" s="5">
        <v>50002</v>
      </c>
      <c r="Y136" s="5">
        <v>31612</v>
      </c>
      <c r="Z136" s="5">
        <v>83073</v>
      </c>
      <c r="AD136" s="3"/>
    </row>
    <row r="137" spans="1:30" x14ac:dyDescent="0.25">
      <c r="A137" s="10">
        <v>40210</v>
      </c>
      <c r="B137" s="11">
        <v>29806</v>
      </c>
      <c r="C137" s="11" t="s">
        <v>4</v>
      </c>
      <c r="D137" s="1"/>
      <c r="F137" s="10">
        <v>39692</v>
      </c>
      <c r="G137" s="11">
        <v>333</v>
      </c>
      <c r="H137" s="11" t="s">
        <v>14</v>
      </c>
      <c r="L137" s="3">
        <v>42339</v>
      </c>
      <c r="M137" s="5"/>
      <c r="N137" s="5"/>
      <c r="O137" s="5">
        <v>62442</v>
      </c>
      <c r="P137" s="5"/>
      <c r="Q137" s="5">
        <v>18707</v>
      </c>
      <c r="R137" s="5">
        <v>81149</v>
      </c>
      <c r="V137" s="3">
        <v>42339</v>
      </c>
      <c r="W137" s="5">
        <v>1372</v>
      </c>
      <c r="X137" s="5">
        <v>46145</v>
      </c>
      <c r="Y137" s="5">
        <v>33632</v>
      </c>
      <c r="Z137" s="5">
        <v>81149</v>
      </c>
      <c r="AD137" s="3"/>
    </row>
    <row r="138" spans="1:30" x14ac:dyDescent="0.25">
      <c r="A138" s="10">
        <v>40238</v>
      </c>
      <c r="B138" s="11">
        <v>43730</v>
      </c>
      <c r="C138" s="11" t="s">
        <v>2</v>
      </c>
      <c r="D138" s="1"/>
      <c r="F138" s="10">
        <v>39692</v>
      </c>
      <c r="G138" s="11">
        <v>47681</v>
      </c>
      <c r="H138" s="11" t="s">
        <v>16</v>
      </c>
      <c r="L138" s="3">
        <v>42370</v>
      </c>
      <c r="M138" s="5"/>
      <c r="N138" s="5"/>
      <c r="O138" s="5">
        <v>48673</v>
      </c>
      <c r="P138" s="5"/>
      <c r="Q138" s="5">
        <v>16499</v>
      </c>
      <c r="R138" s="5">
        <v>65172</v>
      </c>
      <c r="V138" s="3">
        <v>42370</v>
      </c>
      <c r="W138" s="5">
        <v>1041</v>
      </c>
      <c r="X138" s="5">
        <v>34693</v>
      </c>
      <c r="Y138" s="5">
        <v>29438</v>
      </c>
      <c r="Z138" s="5">
        <v>65172</v>
      </c>
      <c r="AD138" s="3"/>
    </row>
    <row r="139" spans="1:30" x14ac:dyDescent="0.25">
      <c r="A139" s="10">
        <v>40238</v>
      </c>
      <c r="B139" s="11">
        <v>24648</v>
      </c>
      <c r="C139" s="11" t="s">
        <v>5</v>
      </c>
      <c r="D139" s="1"/>
      <c r="F139" s="10">
        <v>39692</v>
      </c>
      <c r="G139" s="11">
        <v>30786</v>
      </c>
      <c r="H139" s="11" t="s">
        <v>15</v>
      </c>
      <c r="L139" s="3">
        <v>42401</v>
      </c>
      <c r="M139" s="5"/>
      <c r="N139" s="5"/>
      <c r="O139" s="5">
        <v>31545</v>
      </c>
      <c r="P139" s="5"/>
      <c r="Q139" s="5">
        <v>9702</v>
      </c>
      <c r="R139" s="5">
        <v>41247</v>
      </c>
      <c r="V139" s="3">
        <v>42401</v>
      </c>
      <c r="W139" s="5">
        <v>780</v>
      </c>
      <c r="X139" s="5">
        <v>22945</v>
      </c>
      <c r="Y139" s="5">
        <v>17522</v>
      </c>
      <c r="Z139" s="5">
        <v>41247</v>
      </c>
      <c r="AD139" s="3"/>
    </row>
    <row r="140" spans="1:30" x14ac:dyDescent="0.25">
      <c r="A140" s="10">
        <v>40238</v>
      </c>
      <c r="B140" s="11">
        <v>25134</v>
      </c>
      <c r="C140" s="11" t="s">
        <v>4</v>
      </c>
      <c r="D140" s="1"/>
      <c r="F140" s="10">
        <v>39722</v>
      </c>
      <c r="G140" s="11">
        <v>19424</v>
      </c>
      <c r="H140" s="11" t="s">
        <v>15</v>
      </c>
      <c r="L140" s="3">
        <v>42430</v>
      </c>
      <c r="M140" s="5"/>
      <c r="N140" s="5"/>
      <c r="O140" s="5">
        <v>1503</v>
      </c>
      <c r="P140" s="5"/>
      <c r="Q140" s="5">
        <v>660</v>
      </c>
      <c r="R140" s="5">
        <v>2163</v>
      </c>
      <c r="V140" s="3">
        <v>42430</v>
      </c>
      <c r="W140" s="5">
        <v>77</v>
      </c>
      <c r="X140" s="5">
        <v>914</v>
      </c>
      <c r="Y140" s="5">
        <v>1172</v>
      </c>
      <c r="Z140" s="5">
        <v>2163</v>
      </c>
      <c r="AD140" s="3"/>
    </row>
    <row r="141" spans="1:30" x14ac:dyDescent="0.25">
      <c r="A141" s="10">
        <v>40269</v>
      </c>
      <c r="B141" s="11">
        <v>42612</v>
      </c>
      <c r="C141" s="11" t="s">
        <v>2</v>
      </c>
      <c r="D141" s="1"/>
      <c r="F141" s="10">
        <v>39722</v>
      </c>
      <c r="G141" s="11">
        <v>32670</v>
      </c>
      <c r="H141" s="11" t="s">
        <v>16</v>
      </c>
      <c r="L141" s="3" t="s">
        <v>9</v>
      </c>
      <c r="M141" s="5">
        <v>1054171</v>
      </c>
      <c r="N141" s="5">
        <v>1270061</v>
      </c>
      <c r="O141" s="5">
        <v>7720546</v>
      </c>
      <c r="P141" s="5">
        <v>1512868</v>
      </c>
      <c r="Q141" s="5">
        <v>456893</v>
      </c>
      <c r="R141" s="5">
        <v>12014539</v>
      </c>
      <c r="V141" s="3" t="s">
        <v>9</v>
      </c>
      <c r="W141" s="5">
        <v>742202</v>
      </c>
      <c r="X141" s="5">
        <v>4930242</v>
      </c>
      <c r="Y141" s="5">
        <v>6342095</v>
      </c>
      <c r="Z141" s="5">
        <v>12014539</v>
      </c>
    </row>
    <row r="142" spans="1:30" x14ac:dyDescent="0.25">
      <c r="A142" s="10">
        <v>40269</v>
      </c>
      <c r="B142" s="11">
        <v>17440</v>
      </c>
      <c r="C142" s="11" t="s">
        <v>5</v>
      </c>
      <c r="D142" s="1"/>
      <c r="F142" s="10">
        <v>39722</v>
      </c>
      <c r="G142" s="11">
        <v>226</v>
      </c>
      <c r="H142" s="11" t="s">
        <v>14</v>
      </c>
    </row>
    <row r="143" spans="1:30" x14ac:dyDescent="0.25">
      <c r="A143" s="10">
        <v>40269</v>
      </c>
      <c r="B143" s="11">
        <v>17800</v>
      </c>
      <c r="C143" s="11" t="s">
        <v>4</v>
      </c>
      <c r="D143" s="1"/>
      <c r="F143" s="10">
        <v>39753</v>
      </c>
      <c r="G143" s="11">
        <v>25213</v>
      </c>
      <c r="H143" s="11" t="s">
        <v>15</v>
      </c>
    </row>
    <row r="144" spans="1:30" x14ac:dyDescent="0.25">
      <c r="A144" s="10">
        <v>40299</v>
      </c>
      <c r="B144" s="11">
        <v>46376</v>
      </c>
      <c r="C144" s="11" t="s">
        <v>2</v>
      </c>
      <c r="D144" s="1"/>
      <c r="F144" s="10">
        <v>39753</v>
      </c>
      <c r="G144" s="11">
        <v>278</v>
      </c>
      <c r="H144" s="11" t="s">
        <v>14</v>
      </c>
    </row>
    <row r="145" spans="1:8" x14ac:dyDescent="0.25">
      <c r="A145" s="10">
        <v>40299</v>
      </c>
      <c r="B145" s="11">
        <v>21045</v>
      </c>
      <c r="C145" s="11" t="s">
        <v>5</v>
      </c>
      <c r="D145" s="1"/>
      <c r="F145" s="10">
        <v>39753</v>
      </c>
      <c r="G145" s="11">
        <v>35789</v>
      </c>
      <c r="H145" s="11" t="s">
        <v>16</v>
      </c>
    </row>
    <row r="146" spans="1:8" x14ac:dyDescent="0.25">
      <c r="A146" s="10">
        <v>40299</v>
      </c>
      <c r="B146" s="11">
        <v>16829</v>
      </c>
      <c r="C146" s="11" t="s">
        <v>4</v>
      </c>
      <c r="D146" s="1"/>
      <c r="F146" s="10">
        <v>39783</v>
      </c>
      <c r="G146" s="11">
        <v>33349</v>
      </c>
      <c r="H146" s="11" t="s">
        <v>16</v>
      </c>
    </row>
    <row r="147" spans="1:8" x14ac:dyDescent="0.25">
      <c r="A147" s="10">
        <v>40330</v>
      </c>
      <c r="B147" s="11">
        <v>14699</v>
      </c>
      <c r="C147" s="11" t="s">
        <v>4</v>
      </c>
      <c r="D147" s="1"/>
      <c r="F147" s="10">
        <v>39783</v>
      </c>
      <c r="G147" s="11">
        <v>34138</v>
      </c>
      <c r="H147" s="11" t="s">
        <v>15</v>
      </c>
    </row>
    <row r="148" spans="1:8" x14ac:dyDescent="0.25">
      <c r="A148" s="10">
        <v>40330</v>
      </c>
      <c r="B148" s="11">
        <v>49599</v>
      </c>
      <c r="C148" s="11" t="s">
        <v>2</v>
      </c>
      <c r="D148" s="1"/>
      <c r="F148" s="10">
        <v>39783</v>
      </c>
      <c r="G148" s="11">
        <v>438</v>
      </c>
      <c r="H148" s="11" t="s">
        <v>14</v>
      </c>
    </row>
    <row r="149" spans="1:8" x14ac:dyDescent="0.25">
      <c r="A149" s="10">
        <v>40330</v>
      </c>
      <c r="B149" s="11">
        <v>19445</v>
      </c>
      <c r="C149" s="11" t="s">
        <v>5</v>
      </c>
      <c r="D149" s="1"/>
      <c r="F149" s="10">
        <v>39814</v>
      </c>
      <c r="G149" s="11">
        <v>194</v>
      </c>
      <c r="H149" s="11" t="s">
        <v>14</v>
      </c>
    </row>
    <row r="150" spans="1:8" x14ac:dyDescent="0.25">
      <c r="A150" s="10">
        <v>40360</v>
      </c>
      <c r="B150" s="11">
        <v>15205</v>
      </c>
      <c r="C150" s="11" t="s">
        <v>5</v>
      </c>
      <c r="D150" s="1"/>
      <c r="F150" s="10">
        <v>39814</v>
      </c>
      <c r="G150" s="11">
        <v>22723</v>
      </c>
      <c r="H150" s="11" t="s">
        <v>16</v>
      </c>
    </row>
    <row r="151" spans="1:8" x14ac:dyDescent="0.25">
      <c r="A151" s="10">
        <v>40360</v>
      </c>
      <c r="B151" s="11">
        <v>11907</v>
      </c>
      <c r="C151" s="11" t="s">
        <v>4</v>
      </c>
      <c r="D151" s="1"/>
      <c r="F151" s="10">
        <v>39814</v>
      </c>
      <c r="G151" s="11">
        <v>17074</v>
      </c>
      <c r="H151" s="11" t="s">
        <v>15</v>
      </c>
    </row>
    <row r="152" spans="1:8" x14ac:dyDescent="0.25">
      <c r="A152" s="10">
        <v>40360</v>
      </c>
      <c r="B152" s="11">
        <v>51493</v>
      </c>
      <c r="C152" s="11" t="s">
        <v>2</v>
      </c>
      <c r="D152" s="1"/>
      <c r="F152" s="10">
        <v>39845</v>
      </c>
      <c r="G152" s="11">
        <v>31141</v>
      </c>
      <c r="H152" s="11" t="s">
        <v>16</v>
      </c>
    </row>
    <row r="153" spans="1:8" x14ac:dyDescent="0.25">
      <c r="A153" s="10">
        <v>40391</v>
      </c>
      <c r="B153" s="11">
        <v>21345</v>
      </c>
      <c r="C153" s="11" t="s">
        <v>5</v>
      </c>
      <c r="D153" s="1"/>
      <c r="F153" s="10">
        <v>39845</v>
      </c>
      <c r="G153" s="11">
        <v>52932</v>
      </c>
      <c r="H153" s="11" t="s">
        <v>15</v>
      </c>
    </row>
    <row r="154" spans="1:8" x14ac:dyDescent="0.25">
      <c r="A154" s="10">
        <v>40391</v>
      </c>
      <c r="B154" s="11">
        <v>16456</v>
      </c>
      <c r="C154" s="11" t="s">
        <v>4</v>
      </c>
      <c r="D154" s="1"/>
      <c r="F154" s="10">
        <v>39845</v>
      </c>
      <c r="G154" s="11">
        <v>720</v>
      </c>
      <c r="H154" s="11" t="s">
        <v>14</v>
      </c>
    </row>
    <row r="155" spans="1:8" x14ac:dyDescent="0.25">
      <c r="A155" s="10">
        <v>40391</v>
      </c>
      <c r="B155" s="11">
        <v>55048</v>
      </c>
      <c r="C155" s="11" t="s">
        <v>2</v>
      </c>
      <c r="D155" s="1"/>
      <c r="F155" s="10">
        <v>39873</v>
      </c>
      <c r="G155" s="11">
        <v>19666</v>
      </c>
      <c r="H155" s="11" t="s">
        <v>16</v>
      </c>
    </row>
    <row r="156" spans="1:8" x14ac:dyDescent="0.25">
      <c r="A156" s="10">
        <v>40422</v>
      </c>
      <c r="B156" s="11">
        <v>40328</v>
      </c>
      <c r="C156" s="11" t="s">
        <v>2</v>
      </c>
      <c r="D156" s="1"/>
      <c r="F156" s="10">
        <v>39873</v>
      </c>
      <c r="G156" s="11">
        <v>118198</v>
      </c>
      <c r="H156" s="11" t="s">
        <v>15</v>
      </c>
    </row>
    <row r="157" spans="1:8" x14ac:dyDescent="0.25">
      <c r="A157" s="10">
        <v>40422</v>
      </c>
      <c r="B157" s="11">
        <v>28168</v>
      </c>
      <c r="C157" s="11" t="s">
        <v>5</v>
      </c>
      <c r="D157" s="1"/>
      <c r="F157" s="10">
        <v>39873</v>
      </c>
      <c r="G157" s="11">
        <v>1767</v>
      </c>
      <c r="H157" s="11" t="s">
        <v>14</v>
      </c>
    </row>
    <row r="158" spans="1:8" x14ac:dyDescent="0.25">
      <c r="A158" s="10">
        <v>40422</v>
      </c>
      <c r="B158" s="11">
        <v>22322</v>
      </c>
      <c r="C158" s="11" t="s">
        <v>4</v>
      </c>
      <c r="D158" s="1"/>
      <c r="F158" s="10">
        <v>39904</v>
      </c>
      <c r="G158" s="11">
        <v>1958</v>
      </c>
      <c r="H158" s="11" t="s">
        <v>14</v>
      </c>
    </row>
    <row r="159" spans="1:8" x14ac:dyDescent="0.25">
      <c r="A159" s="10">
        <v>40452</v>
      </c>
      <c r="B159" s="11">
        <v>41549</v>
      </c>
      <c r="C159" s="11" t="s">
        <v>2</v>
      </c>
      <c r="D159" s="1"/>
      <c r="F159" s="10">
        <v>39904</v>
      </c>
      <c r="G159" s="11">
        <v>22054</v>
      </c>
      <c r="H159" s="11" t="s">
        <v>16</v>
      </c>
    </row>
    <row r="160" spans="1:8" x14ac:dyDescent="0.25">
      <c r="A160" s="10">
        <v>40452</v>
      </c>
      <c r="B160" s="11">
        <v>33340</v>
      </c>
      <c r="C160" s="11" t="s">
        <v>5</v>
      </c>
      <c r="D160" s="1"/>
      <c r="F160" s="10">
        <v>39904</v>
      </c>
      <c r="G160" s="11">
        <v>153128</v>
      </c>
      <c r="H160" s="11" t="s">
        <v>15</v>
      </c>
    </row>
    <row r="161" spans="1:8" x14ac:dyDescent="0.25">
      <c r="A161" s="10">
        <v>40452</v>
      </c>
      <c r="B161" s="11">
        <v>30002</v>
      </c>
      <c r="C161" s="11" t="s">
        <v>4</v>
      </c>
      <c r="D161" s="1"/>
      <c r="F161" s="10">
        <v>39934</v>
      </c>
      <c r="G161" s="11">
        <v>1844</v>
      </c>
      <c r="H161" s="11" t="s">
        <v>14</v>
      </c>
    </row>
    <row r="162" spans="1:8" x14ac:dyDescent="0.25">
      <c r="A162" s="10">
        <v>40483</v>
      </c>
      <c r="B162" s="11">
        <v>37451</v>
      </c>
      <c r="C162" s="11" t="s">
        <v>2</v>
      </c>
      <c r="D162" s="1"/>
      <c r="F162" s="10">
        <v>39934</v>
      </c>
      <c r="G162" s="11">
        <v>31459</v>
      </c>
      <c r="H162" s="11" t="s">
        <v>16</v>
      </c>
    </row>
    <row r="163" spans="1:8" x14ac:dyDescent="0.25">
      <c r="A163" s="10">
        <v>40483</v>
      </c>
      <c r="B163" s="11">
        <v>38106</v>
      </c>
      <c r="C163" s="11" t="s">
        <v>5</v>
      </c>
      <c r="D163" s="1"/>
      <c r="F163" s="10">
        <v>39934</v>
      </c>
      <c r="G163" s="11">
        <v>162867</v>
      </c>
      <c r="H163" s="11" t="s">
        <v>15</v>
      </c>
    </row>
    <row r="164" spans="1:8" x14ac:dyDescent="0.25">
      <c r="A164" s="10">
        <v>40483</v>
      </c>
      <c r="B164" s="11">
        <v>30869</v>
      </c>
      <c r="C164" s="11" t="s">
        <v>4</v>
      </c>
      <c r="D164" s="1"/>
      <c r="F164" s="10">
        <v>39965</v>
      </c>
      <c r="G164" s="11">
        <v>4272</v>
      </c>
      <c r="H164" s="11" t="s">
        <v>14</v>
      </c>
    </row>
    <row r="165" spans="1:8" x14ac:dyDescent="0.25">
      <c r="A165" s="10">
        <v>40513</v>
      </c>
      <c r="B165" s="11">
        <v>38965</v>
      </c>
      <c r="C165" s="11" t="s">
        <v>2</v>
      </c>
      <c r="D165" s="1"/>
      <c r="F165" s="10">
        <v>39965</v>
      </c>
      <c r="G165" s="11">
        <v>29540</v>
      </c>
      <c r="H165" s="11" t="s">
        <v>16</v>
      </c>
    </row>
    <row r="166" spans="1:8" x14ac:dyDescent="0.25">
      <c r="A166" s="10">
        <v>40513</v>
      </c>
      <c r="B166" s="11">
        <v>34888</v>
      </c>
      <c r="C166" s="11" t="s">
        <v>4</v>
      </c>
      <c r="D166" s="1"/>
      <c r="F166" s="10">
        <v>39965</v>
      </c>
      <c r="G166" s="11">
        <v>151860</v>
      </c>
      <c r="H166" s="11" t="s">
        <v>15</v>
      </c>
    </row>
    <row r="167" spans="1:8" x14ac:dyDescent="0.25">
      <c r="A167" s="10">
        <v>40513</v>
      </c>
      <c r="B167" s="11">
        <v>43237</v>
      </c>
      <c r="C167" s="11" t="s">
        <v>5</v>
      </c>
      <c r="D167" s="1"/>
      <c r="F167" s="10">
        <v>39995</v>
      </c>
      <c r="G167" s="11">
        <v>9557</v>
      </c>
      <c r="H167" s="11" t="s">
        <v>14</v>
      </c>
    </row>
    <row r="168" spans="1:8" x14ac:dyDescent="0.25">
      <c r="A168" s="10">
        <v>40544</v>
      </c>
      <c r="B168" s="11">
        <v>36931</v>
      </c>
      <c r="C168" s="11" t="s">
        <v>2</v>
      </c>
      <c r="D168" s="1"/>
      <c r="F168" s="10">
        <v>39995</v>
      </c>
      <c r="G168" s="11">
        <v>147454</v>
      </c>
      <c r="H168" s="11" t="s">
        <v>15</v>
      </c>
    </row>
    <row r="169" spans="1:8" x14ac:dyDescent="0.25">
      <c r="A169" s="10">
        <v>40544</v>
      </c>
      <c r="B169" s="11">
        <v>44477</v>
      </c>
      <c r="C169" s="11" t="s">
        <v>5</v>
      </c>
      <c r="D169" s="1"/>
      <c r="F169" s="10">
        <v>39995</v>
      </c>
      <c r="G169" s="11">
        <v>32401</v>
      </c>
      <c r="H169" s="11" t="s">
        <v>16</v>
      </c>
    </row>
    <row r="170" spans="1:8" x14ac:dyDescent="0.25">
      <c r="A170" s="10">
        <v>40544</v>
      </c>
      <c r="B170" s="11">
        <v>33215</v>
      </c>
      <c r="C170" s="11" t="s">
        <v>4</v>
      </c>
      <c r="D170" s="1"/>
      <c r="F170" s="10">
        <v>40026</v>
      </c>
      <c r="G170" s="11">
        <v>42327</v>
      </c>
      <c r="H170" s="11" t="s">
        <v>16</v>
      </c>
    </row>
    <row r="171" spans="1:8" x14ac:dyDescent="0.25">
      <c r="A171" s="10">
        <v>40575</v>
      </c>
      <c r="B171" s="11">
        <v>30768</v>
      </c>
      <c r="C171" s="11" t="s">
        <v>4</v>
      </c>
      <c r="D171" s="1"/>
      <c r="F171" s="10">
        <v>40026</v>
      </c>
      <c r="G171" s="11">
        <v>128536</v>
      </c>
      <c r="H171" s="11" t="s">
        <v>15</v>
      </c>
    </row>
    <row r="172" spans="1:8" x14ac:dyDescent="0.25">
      <c r="A172" s="10">
        <v>40575</v>
      </c>
      <c r="B172" s="11">
        <v>37323</v>
      </c>
      <c r="C172" s="11" t="s">
        <v>5</v>
      </c>
      <c r="D172" s="1"/>
      <c r="F172" s="10">
        <v>40026</v>
      </c>
      <c r="G172" s="11">
        <v>15810</v>
      </c>
      <c r="H172" s="11" t="s">
        <v>14</v>
      </c>
    </row>
    <row r="173" spans="1:8" x14ac:dyDescent="0.25">
      <c r="A173" s="10">
        <v>40575</v>
      </c>
      <c r="B173" s="11">
        <v>41383</v>
      </c>
      <c r="C173" s="11" t="s">
        <v>2</v>
      </c>
      <c r="D173" s="1"/>
      <c r="F173" s="10">
        <v>40057</v>
      </c>
      <c r="G173" s="11">
        <v>89680</v>
      </c>
      <c r="H173" s="11" t="s">
        <v>15</v>
      </c>
    </row>
    <row r="174" spans="1:8" x14ac:dyDescent="0.25">
      <c r="A174" s="10">
        <v>40603</v>
      </c>
      <c r="B174" s="11">
        <v>20081</v>
      </c>
      <c r="C174" s="11" t="s">
        <v>4</v>
      </c>
      <c r="D174" s="1"/>
      <c r="F174" s="10">
        <v>40057</v>
      </c>
      <c r="G174" s="11">
        <v>47389</v>
      </c>
      <c r="H174" s="11" t="s">
        <v>16</v>
      </c>
    </row>
    <row r="175" spans="1:8" x14ac:dyDescent="0.25">
      <c r="A175" s="10">
        <v>40603</v>
      </c>
      <c r="B175" s="11">
        <v>32289</v>
      </c>
      <c r="C175" s="11" t="s">
        <v>5</v>
      </c>
      <c r="D175" s="1"/>
      <c r="F175" s="10">
        <v>40057</v>
      </c>
      <c r="G175" s="11">
        <v>14494</v>
      </c>
      <c r="H175" s="11" t="s">
        <v>14</v>
      </c>
    </row>
    <row r="176" spans="1:8" x14ac:dyDescent="0.25">
      <c r="A176" s="10">
        <v>40603</v>
      </c>
      <c r="B176" s="11">
        <v>32412</v>
      </c>
      <c r="C176" s="11" t="s">
        <v>2</v>
      </c>
      <c r="D176" s="1"/>
      <c r="F176" s="10">
        <v>40087</v>
      </c>
      <c r="G176" s="11">
        <v>55895</v>
      </c>
      <c r="H176" s="11" t="s">
        <v>15</v>
      </c>
    </row>
    <row r="177" spans="1:8" x14ac:dyDescent="0.25">
      <c r="A177" s="10">
        <v>40634</v>
      </c>
      <c r="B177" s="11">
        <v>10793</v>
      </c>
      <c r="C177" s="11" t="s">
        <v>4</v>
      </c>
      <c r="D177" s="1"/>
      <c r="F177" s="10">
        <v>40087</v>
      </c>
      <c r="G177" s="11">
        <v>38662</v>
      </c>
      <c r="H177" s="11" t="s">
        <v>16</v>
      </c>
    </row>
    <row r="178" spans="1:8" x14ac:dyDescent="0.25">
      <c r="A178" s="10">
        <v>40634</v>
      </c>
      <c r="B178" s="11">
        <v>21224</v>
      </c>
      <c r="C178" s="11" t="s">
        <v>5</v>
      </c>
      <c r="D178" s="1"/>
      <c r="F178" s="10">
        <v>40087</v>
      </c>
      <c r="G178" s="11">
        <v>9396</v>
      </c>
      <c r="H178" s="11" t="s">
        <v>14</v>
      </c>
    </row>
    <row r="179" spans="1:8" x14ac:dyDescent="0.25">
      <c r="A179" s="10">
        <v>40634</v>
      </c>
      <c r="B179" s="11">
        <v>22609</v>
      </c>
      <c r="C179" s="11" t="s">
        <v>2</v>
      </c>
      <c r="D179" s="1"/>
      <c r="F179" s="10">
        <v>40118</v>
      </c>
      <c r="G179" s="11">
        <v>49514</v>
      </c>
      <c r="H179" s="11" t="s">
        <v>15</v>
      </c>
    </row>
    <row r="180" spans="1:8" x14ac:dyDescent="0.25">
      <c r="A180" s="10">
        <v>40664</v>
      </c>
      <c r="B180" s="11">
        <v>9553</v>
      </c>
      <c r="C180" s="11" t="s">
        <v>4</v>
      </c>
      <c r="D180" s="1"/>
      <c r="F180" s="10">
        <v>40118</v>
      </c>
      <c r="G180" s="11">
        <v>36327</v>
      </c>
      <c r="H180" s="11" t="s">
        <v>16</v>
      </c>
    </row>
    <row r="181" spans="1:8" x14ac:dyDescent="0.25">
      <c r="A181" s="10">
        <v>40664</v>
      </c>
      <c r="B181" s="11">
        <v>14491</v>
      </c>
      <c r="C181" s="11" t="s">
        <v>5</v>
      </c>
      <c r="D181" s="1"/>
      <c r="F181" s="10">
        <v>40118</v>
      </c>
      <c r="G181" s="11">
        <v>7014</v>
      </c>
      <c r="H181" s="11" t="s">
        <v>14</v>
      </c>
    </row>
    <row r="182" spans="1:8" x14ac:dyDescent="0.25">
      <c r="A182" s="10">
        <v>40664</v>
      </c>
      <c r="B182" s="11">
        <v>29812</v>
      </c>
      <c r="C182" s="11" t="s">
        <v>2</v>
      </c>
      <c r="D182" s="1"/>
      <c r="F182" s="10">
        <v>40148</v>
      </c>
      <c r="G182" s="11">
        <v>60023</v>
      </c>
      <c r="H182" s="11" t="s">
        <v>15</v>
      </c>
    </row>
    <row r="183" spans="1:8" x14ac:dyDescent="0.25">
      <c r="A183" s="10">
        <v>40695</v>
      </c>
      <c r="B183" s="11">
        <v>7592</v>
      </c>
      <c r="C183" s="11" t="s">
        <v>4</v>
      </c>
      <c r="D183" s="1"/>
      <c r="F183" s="10">
        <v>40148</v>
      </c>
      <c r="G183" s="11">
        <v>38253</v>
      </c>
      <c r="H183" s="11" t="s">
        <v>16</v>
      </c>
    </row>
    <row r="184" spans="1:8" x14ac:dyDescent="0.25">
      <c r="A184" s="10">
        <v>40695</v>
      </c>
      <c r="B184" s="11">
        <v>13261</v>
      </c>
      <c r="C184" s="11" t="s">
        <v>5</v>
      </c>
      <c r="D184" s="1"/>
      <c r="F184" s="10">
        <v>40148</v>
      </c>
      <c r="G184" s="11">
        <v>9189</v>
      </c>
      <c r="H184" s="11" t="s">
        <v>14</v>
      </c>
    </row>
    <row r="185" spans="1:8" x14ac:dyDescent="0.25">
      <c r="A185" s="10">
        <v>40695</v>
      </c>
      <c r="B185" s="11">
        <v>30453</v>
      </c>
      <c r="C185" s="11" t="s">
        <v>2</v>
      </c>
      <c r="D185" s="1"/>
      <c r="F185" s="10">
        <v>40179</v>
      </c>
      <c r="G185" s="11">
        <v>63995</v>
      </c>
      <c r="H185" s="11" t="s">
        <v>15</v>
      </c>
    </row>
    <row r="186" spans="1:8" x14ac:dyDescent="0.25">
      <c r="A186" s="10">
        <v>40725</v>
      </c>
      <c r="B186" s="11">
        <v>6380</v>
      </c>
      <c r="C186" s="11" t="s">
        <v>4</v>
      </c>
      <c r="D186" s="1"/>
      <c r="F186" s="10">
        <v>40179</v>
      </c>
      <c r="G186" s="11">
        <v>35825</v>
      </c>
      <c r="H186" s="11" t="s">
        <v>16</v>
      </c>
    </row>
    <row r="187" spans="1:8" x14ac:dyDescent="0.25">
      <c r="A187" s="10">
        <v>40725</v>
      </c>
      <c r="B187" s="11">
        <v>11117</v>
      </c>
      <c r="C187" s="11" t="s">
        <v>5</v>
      </c>
      <c r="D187" s="1"/>
      <c r="F187" s="10">
        <v>40179</v>
      </c>
      <c r="G187" s="11">
        <v>11722</v>
      </c>
      <c r="H187" s="11" t="s">
        <v>14</v>
      </c>
    </row>
    <row r="188" spans="1:8" x14ac:dyDescent="0.25">
      <c r="A188" s="10">
        <v>40725</v>
      </c>
      <c r="B188" s="11">
        <v>31434</v>
      </c>
      <c r="C188" s="11" t="s">
        <v>2</v>
      </c>
      <c r="D188" s="1"/>
      <c r="F188" s="10">
        <v>40210</v>
      </c>
      <c r="G188" s="11">
        <v>67686</v>
      </c>
      <c r="H188" s="11" t="s">
        <v>15</v>
      </c>
    </row>
    <row r="189" spans="1:8" x14ac:dyDescent="0.25">
      <c r="A189" s="10">
        <v>40756</v>
      </c>
      <c r="B189" s="11">
        <v>8952</v>
      </c>
      <c r="C189" s="11" t="s">
        <v>4</v>
      </c>
      <c r="D189" s="1"/>
      <c r="F189" s="10">
        <v>40210</v>
      </c>
      <c r="G189" s="11">
        <v>29685</v>
      </c>
      <c r="H189" s="11" t="s">
        <v>16</v>
      </c>
    </row>
    <row r="190" spans="1:8" x14ac:dyDescent="0.25">
      <c r="A190" s="10">
        <v>40756</v>
      </c>
      <c r="B190" s="11">
        <v>12492</v>
      </c>
      <c r="C190" s="11" t="s">
        <v>5</v>
      </c>
      <c r="D190" s="1"/>
      <c r="F190" s="10">
        <v>40210</v>
      </c>
      <c r="G190" s="11">
        <v>13737</v>
      </c>
      <c r="H190" s="11" t="s">
        <v>14</v>
      </c>
    </row>
    <row r="191" spans="1:8" x14ac:dyDescent="0.25">
      <c r="A191" s="10">
        <v>40756</v>
      </c>
      <c r="B191" s="11">
        <v>41640</v>
      </c>
      <c r="C191" s="11" t="s">
        <v>2</v>
      </c>
      <c r="D191" s="1"/>
      <c r="F191" s="10">
        <v>40238</v>
      </c>
      <c r="G191" s="11">
        <v>59145</v>
      </c>
      <c r="H191" s="11" t="s">
        <v>15</v>
      </c>
    </row>
    <row r="192" spans="1:8" x14ac:dyDescent="0.25">
      <c r="A192" s="10">
        <v>40787</v>
      </c>
      <c r="B192" s="11">
        <v>37088</v>
      </c>
      <c r="C192" s="11" t="s">
        <v>2</v>
      </c>
      <c r="D192" s="1"/>
      <c r="F192" s="10">
        <v>40238</v>
      </c>
      <c r="G192" s="11">
        <v>21691</v>
      </c>
      <c r="H192" s="11" t="s">
        <v>16</v>
      </c>
    </row>
    <row r="193" spans="1:8" x14ac:dyDescent="0.25">
      <c r="A193" s="10">
        <v>40787</v>
      </c>
      <c r="B193" s="11">
        <v>9875</v>
      </c>
      <c r="C193" s="11" t="s">
        <v>4</v>
      </c>
      <c r="D193" s="1"/>
      <c r="F193" s="10">
        <v>40238</v>
      </c>
      <c r="G193" s="11">
        <v>12676</v>
      </c>
      <c r="H193" s="11" t="s">
        <v>14</v>
      </c>
    </row>
    <row r="194" spans="1:8" x14ac:dyDescent="0.25">
      <c r="A194" s="10">
        <v>40787</v>
      </c>
      <c r="B194" s="11">
        <v>14123</v>
      </c>
      <c r="C194" s="11" t="s">
        <v>5</v>
      </c>
      <c r="D194" s="1"/>
      <c r="F194" s="10">
        <v>40269</v>
      </c>
      <c r="G194" s="11">
        <v>44370</v>
      </c>
      <c r="H194" s="11" t="s">
        <v>15</v>
      </c>
    </row>
    <row r="195" spans="1:8" x14ac:dyDescent="0.25">
      <c r="A195" s="10">
        <v>40817</v>
      </c>
      <c r="B195" s="11">
        <v>11433</v>
      </c>
      <c r="C195" s="11" t="s">
        <v>4</v>
      </c>
      <c r="D195" s="1"/>
      <c r="F195" s="10">
        <v>40269</v>
      </c>
      <c r="G195" s="11">
        <v>23919</v>
      </c>
      <c r="H195" s="11" t="s">
        <v>16</v>
      </c>
    </row>
    <row r="196" spans="1:8" x14ac:dyDescent="0.25">
      <c r="A196" s="10">
        <v>40817</v>
      </c>
      <c r="B196" s="11">
        <v>14085</v>
      </c>
      <c r="C196" s="11" t="s">
        <v>5</v>
      </c>
      <c r="D196" s="1"/>
      <c r="F196" s="10">
        <v>40269</v>
      </c>
      <c r="G196" s="11">
        <v>9563</v>
      </c>
      <c r="H196" s="11" t="s">
        <v>14</v>
      </c>
    </row>
    <row r="197" spans="1:8" x14ac:dyDescent="0.25">
      <c r="A197" s="10">
        <v>40817</v>
      </c>
      <c r="B197" s="11">
        <v>36313</v>
      </c>
      <c r="C197" s="11" t="s">
        <v>2</v>
      </c>
      <c r="D197" s="1"/>
      <c r="F197" s="10">
        <v>40299</v>
      </c>
      <c r="G197" s="11">
        <v>43986</v>
      </c>
      <c r="H197" s="11" t="s">
        <v>15</v>
      </c>
    </row>
    <row r="198" spans="1:8" x14ac:dyDescent="0.25">
      <c r="A198" s="10">
        <v>40848</v>
      </c>
      <c r="B198" s="11">
        <v>22206</v>
      </c>
      <c r="C198" s="11" t="s">
        <v>4</v>
      </c>
      <c r="D198" s="1"/>
      <c r="F198" s="10">
        <v>40299</v>
      </c>
      <c r="G198" s="11">
        <v>29020</v>
      </c>
      <c r="H198" s="11" t="s">
        <v>16</v>
      </c>
    </row>
    <row r="199" spans="1:8" x14ac:dyDescent="0.25">
      <c r="A199" s="10">
        <v>40848</v>
      </c>
      <c r="B199" s="11">
        <v>17552</v>
      </c>
      <c r="C199" s="11" t="s">
        <v>5</v>
      </c>
      <c r="D199" s="1"/>
      <c r="F199" s="10">
        <v>40299</v>
      </c>
      <c r="G199" s="11">
        <v>11244</v>
      </c>
      <c r="H199" s="11" t="s">
        <v>14</v>
      </c>
    </row>
    <row r="200" spans="1:8" x14ac:dyDescent="0.25">
      <c r="A200" s="10">
        <v>40848</v>
      </c>
      <c r="B200" s="11">
        <v>32247</v>
      </c>
      <c r="C200" s="11" t="s">
        <v>2</v>
      </c>
      <c r="D200" s="1"/>
      <c r="F200" s="10">
        <v>40330</v>
      </c>
      <c r="G200" s="11">
        <v>39492</v>
      </c>
      <c r="H200" s="11" t="s">
        <v>15</v>
      </c>
    </row>
    <row r="201" spans="1:8" x14ac:dyDescent="0.25">
      <c r="A201" s="10">
        <v>40878</v>
      </c>
      <c r="B201" s="11">
        <v>21822</v>
      </c>
      <c r="C201" s="11" t="s">
        <v>4</v>
      </c>
      <c r="D201" s="1"/>
      <c r="F201" s="10">
        <v>40330</v>
      </c>
      <c r="G201" s="11">
        <v>33891</v>
      </c>
      <c r="H201" s="11" t="s">
        <v>16</v>
      </c>
    </row>
    <row r="202" spans="1:8" x14ac:dyDescent="0.25">
      <c r="A202" s="10">
        <v>40878</v>
      </c>
      <c r="B202" s="11">
        <v>20154</v>
      </c>
      <c r="C202" s="11" t="s">
        <v>5</v>
      </c>
      <c r="D202" s="1"/>
      <c r="F202" s="10">
        <v>40330</v>
      </c>
      <c r="G202" s="11">
        <v>10360</v>
      </c>
      <c r="H202" s="11" t="s">
        <v>14</v>
      </c>
    </row>
    <row r="203" spans="1:8" x14ac:dyDescent="0.25">
      <c r="A203" s="10">
        <v>40878</v>
      </c>
      <c r="B203" s="11">
        <v>24463</v>
      </c>
      <c r="C203" s="11" t="s">
        <v>2</v>
      </c>
      <c r="D203" s="1"/>
      <c r="F203" s="10">
        <v>40360</v>
      </c>
      <c r="G203" s="11">
        <v>33600</v>
      </c>
      <c r="H203" s="11" t="s">
        <v>15</v>
      </c>
    </row>
    <row r="204" spans="1:8" x14ac:dyDescent="0.25">
      <c r="A204" s="10">
        <v>40909</v>
      </c>
      <c r="B204" s="11">
        <v>22762</v>
      </c>
      <c r="C204" s="11" t="s">
        <v>4</v>
      </c>
      <c r="D204" s="1"/>
      <c r="F204" s="10">
        <v>40360</v>
      </c>
      <c r="G204" s="11">
        <v>37061</v>
      </c>
      <c r="H204" s="11" t="s">
        <v>16</v>
      </c>
    </row>
    <row r="205" spans="1:8" x14ac:dyDescent="0.25">
      <c r="A205" s="10">
        <v>40909</v>
      </c>
      <c r="B205" s="11">
        <v>21858</v>
      </c>
      <c r="C205" s="11" t="s">
        <v>5</v>
      </c>
      <c r="D205" s="1"/>
      <c r="F205" s="10">
        <v>40360</v>
      </c>
      <c r="G205" s="11">
        <v>7944</v>
      </c>
      <c r="H205" s="11" t="s">
        <v>14</v>
      </c>
    </row>
    <row r="206" spans="1:8" x14ac:dyDescent="0.25">
      <c r="A206" s="10">
        <v>40909</v>
      </c>
      <c r="B206" s="11">
        <v>25528</v>
      </c>
      <c r="C206" s="11" t="s">
        <v>2</v>
      </c>
      <c r="D206" s="1"/>
      <c r="F206" s="10">
        <v>40391</v>
      </c>
      <c r="G206" s="11">
        <v>42749</v>
      </c>
      <c r="H206" s="11" t="s">
        <v>15</v>
      </c>
    </row>
    <row r="207" spans="1:8" x14ac:dyDescent="0.25">
      <c r="A207" s="10">
        <v>40940</v>
      </c>
      <c r="B207" s="11">
        <v>25465</v>
      </c>
      <c r="C207" s="11" t="s">
        <v>4</v>
      </c>
      <c r="D207" s="1"/>
      <c r="F207" s="10">
        <v>40391</v>
      </c>
      <c r="G207" s="11">
        <v>39929</v>
      </c>
      <c r="H207" s="11" t="s">
        <v>16</v>
      </c>
    </row>
    <row r="208" spans="1:8" x14ac:dyDescent="0.25">
      <c r="A208" s="10">
        <v>40940</v>
      </c>
      <c r="B208" s="11">
        <v>18923</v>
      </c>
      <c r="C208" s="11" t="s">
        <v>5</v>
      </c>
      <c r="D208" s="1"/>
      <c r="F208" s="10">
        <v>40391</v>
      </c>
      <c r="G208" s="11">
        <v>10171</v>
      </c>
      <c r="H208" s="11" t="s">
        <v>14</v>
      </c>
    </row>
    <row r="209" spans="1:8" x14ac:dyDescent="0.25">
      <c r="A209" s="10">
        <v>40940</v>
      </c>
      <c r="B209" s="11">
        <v>30766</v>
      </c>
      <c r="C209" s="11" t="s">
        <v>2</v>
      </c>
      <c r="D209" s="1"/>
      <c r="F209" s="10">
        <v>40422</v>
      </c>
      <c r="G209" s="11">
        <v>54269</v>
      </c>
      <c r="H209" s="11" t="s">
        <v>15</v>
      </c>
    </row>
    <row r="210" spans="1:8" x14ac:dyDescent="0.25">
      <c r="A210" s="10">
        <v>40969</v>
      </c>
      <c r="B210" s="11">
        <v>22392</v>
      </c>
      <c r="C210" s="11" t="s">
        <v>4</v>
      </c>
      <c r="D210" s="1"/>
      <c r="F210" s="10">
        <v>40422</v>
      </c>
      <c r="G210" s="11">
        <v>23941</v>
      </c>
      <c r="H210" s="11" t="s">
        <v>16</v>
      </c>
    </row>
    <row r="211" spans="1:8" x14ac:dyDescent="0.25">
      <c r="A211" s="10">
        <v>40969</v>
      </c>
      <c r="B211" s="11">
        <v>20650</v>
      </c>
      <c r="C211" s="11" t="s">
        <v>5</v>
      </c>
      <c r="D211" s="1"/>
      <c r="F211" s="10">
        <v>40422</v>
      </c>
      <c r="G211" s="11">
        <v>12608</v>
      </c>
      <c r="H211" s="11" t="s">
        <v>14</v>
      </c>
    </row>
    <row r="212" spans="1:8" x14ac:dyDescent="0.25">
      <c r="A212" s="10">
        <v>40969</v>
      </c>
      <c r="B212" s="11">
        <v>21030</v>
      </c>
      <c r="C212" s="11" t="s">
        <v>2</v>
      </c>
      <c r="D212" s="1"/>
      <c r="F212" s="10">
        <v>40452</v>
      </c>
      <c r="G212" s="11">
        <v>67597</v>
      </c>
      <c r="H212" s="11" t="s">
        <v>15</v>
      </c>
    </row>
    <row r="213" spans="1:8" x14ac:dyDescent="0.25">
      <c r="A213" s="10">
        <v>41000</v>
      </c>
      <c r="B213" s="11">
        <v>22169</v>
      </c>
      <c r="C213" s="11" t="s">
        <v>4</v>
      </c>
      <c r="D213" s="1"/>
      <c r="F213" s="10">
        <v>40452</v>
      </c>
      <c r="G213" s="11">
        <v>23089</v>
      </c>
      <c r="H213" s="11" t="s">
        <v>16</v>
      </c>
    </row>
    <row r="214" spans="1:8" x14ac:dyDescent="0.25">
      <c r="A214" s="10">
        <v>41000</v>
      </c>
      <c r="B214" s="11">
        <v>23750</v>
      </c>
      <c r="C214" s="11" t="s">
        <v>5</v>
      </c>
      <c r="D214" s="1"/>
      <c r="F214" s="10">
        <v>40452</v>
      </c>
      <c r="G214" s="11">
        <v>14205</v>
      </c>
      <c r="H214" s="11" t="s">
        <v>14</v>
      </c>
    </row>
    <row r="215" spans="1:8" x14ac:dyDescent="0.25">
      <c r="A215" s="10">
        <v>41000</v>
      </c>
      <c r="B215" s="11">
        <v>20238</v>
      </c>
      <c r="C215" s="11" t="s">
        <v>2</v>
      </c>
      <c r="D215" s="1"/>
      <c r="F215" s="10">
        <v>40483</v>
      </c>
      <c r="G215" s="11">
        <v>71244</v>
      </c>
      <c r="H215" s="11" t="s">
        <v>15</v>
      </c>
    </row>
    <row r="216" spans="1:8" x14ac:dyDescent="0.25">
      <c r="A216" s="10">
        <v>41030</v>
      </c>
      <c r="B216" s="11">
        <v>24409</v>
      </c>
      <c r="C216" s="11" t="s">
        <v>2</v>
      </c>
      <c r="D216" s="1"/>
      <c r="F216" s="10">
        <v>40483</v>
      </c>
      <c r="G216" s="11">
        <v>20137</v>
      </c>
      <c r="H216" s="11" t="s">
        <v>16</v>
      </c>
    </row>
    <row r="217" spans="1:8" x14ac:dyDescent="0.25">
      <c r="A217" s="10">
        <v>41030</v>
      </c>
      <c r="B217" s="11">
        <v>21904</v>
      </c>
      <c r="C217" s="11" t="s">
        <v>4</v>
      </c>
      <c r="D217" s="1"/>
      <c r="F217" s="10">
        <v>40483</v>
      </c>
      <c r="G217" s="11">
        <v>15045</v>
      </c>
      <c r="H217" s="11" t="s">
        <v>14</v>
      </c>
    </row>
    <row r="218" spans="1:8" x14ac:dyDescent="0.25">
      <c r="A218" s="10">
        <v>41030</v>
      </c>
      <c r="B218" s="11">
        <v>22147</v>
      </c>
      <c r="C218" s="11" t="s">
        <v>5</v>
      </c>
      <c r="D218" s="1"/>
      <c r="F218" s="10">
        <v>40513</v>
      </c>
      <c r="G218" s="11">
        <v>80117</v>
      </c>
      <c r="H218" s="11" t="s">
        <v>15</v>
      </c>
    </row>
    <row r="219" spans="1:8" x14ac:dyDescent="0.25">
      <c r="A219" s="10">
        <v>41061</v>
      </c>
      <c r="B219" s="11">
        <v>20132</v>
      </c>
      <c r="C219" s="11" t="s">
        <v>5</v>
      </c>
      <c r="D219" s="1"/>
      <c r="F219" s="10">
        <v>40513</v>
      </c>
      <c r="G219" s="11">
        <v>19919</v>
      </c>
      <c r="H219" s="11" t="s">
        <v>16</v>
      </c>
    </row>
    <row r="220" spans="1:8" x14ac:dyDescent="0.25">
      <c r="A220" s="10">
        <v>41061</v>
      </c>
      <c r="B220" s="11">
        <v>18591</v>
      </c>
      <c r="C220" s="11" t="s">
        <v>4</v>
      </c>
      <c r="D220" s="1"/>
      <c r="F220" s="10">
        <v>40513</v>
      </c>
      <c r="G220" s="11">
        <v>17054</v>
      </c>
      <c r="H220" s="11" t="s">
        <v>14</v>
      </c>
    </row>
    <row r="221" spans="1:8" x14ac:dyDescent="0.25">
      <c r="A221" s="10">
        <v>41061</v>
      </c>
      <c r="B221" s="11">
        <v>32503</v>
      </c>
      <c r="C221" s="11" t="s">
        <v>2</v>
      </c>
      <c r="D221" s="1"/>
      <c r="F221" s="10">
        <v>40544</v>
      </c>
      <c r="G221" s="11">
        <v>77152</v>
      </c>
      <c r="H221" s="11" t="s">
        <v>15</v>
      </c>
    </row>
    <row r="222" spans="1:8" x14ac:dyDescent="0.25">
      <c r="A222" s="10">
        <v>41091</v>
      </c>
      <c r="B222" s="11">
        <v>20169</v>
      </c>
      <c r="C222" s="11" t="s">
        <v>4</v>
      </c>
      <c r="D222" s="1"/>
      <c r="F222" s="10">
        <v>40544</v>
      </c>
      <c r="G222" s="11">
        <v>18969</v>
      </c>
      <c r="H222" s="11" t="s">
        <v>16</v>
      </c>
    </row>
    <row r="223" spans="1:8" x14ac:dyDescent="0.25">
      <c r="A223" s="10">
        <v>41091</v>
      </c>
      <c r="B223" s="11">
        <v>20818</v>
      </c>
      <c r="C223" s="11" t="s">
        <v>5</v>
      </c>
      <c r="D223" s="1"/>
      <c r="F223" s="10">
        <v>40544</v>
      </c>
      <c r="G223" s="11">
        <v>18502</v>
      </c>
      <c r="H223" s="11" t="s">
        <v>14</v>
      </c>
    </row>
    <row r="224" spans="1:8" x14ac:dyDescent="0.25">
      <c r="A224" s="10">
        <v>41091</v>
      </c>
      <c r="B224" s="11">
        <v>40917</v>
      </c>
      <c r="C224" s="11" t="s">
        <v>2</v>
      </c>
      <c r="D224" s="1"/>
      <c r="F224" s="10">
        <v>40575</v>
      </c>
      <c r="G224" s="11">
        <v>69315</v>
      </c>
      <c r="H224" s="11" t="s">
        <v>15</v>
      </c>
    </row>
    <row r="225" spans="1:8" x14ac:dyDescent="0.25">
      <c r="A225" s="10">
        <v>41122</v>
      </c>
      <c r="B225" s="11">
        <v>20467</v>
      </c>
      <c r="C225" s="11" t="s">
        <v>4</v>
      </c>
      <c r="D225" s="1"/>
      <c r="F225" s="10">
        <v>40575</v>
      </c>
      <c r="G225" s="11">
        <v>22763</v>
      </c>
      <c r="H225" s="11" t="s">
        <v>16</v>
      </c>
    </row>
    <row r="226" spans="1:8" x14ac:dyDescent="0.25">
      <c r="A226" s="10">
        <v>41122</v>
      </c>
      <c r="B226" s="11">
        <v>21157</v>
      </c>
      <c r="C226" s="11" t="s">
        <v>5</v>
      </c>
      <c r="D226" s="1"/>
      <c r="F226" s="10">
        <v>40575</v>
      </c>
      <c r="G226" s="11">
        <v>17396</v>
      </c>
      <c r="H226" s="11" t="s">
        <v>14</v>
      </c>
    </row>
    <row r="227" spans="1:8" x14ac:dyDescent="0.25">
      <c r="A227" s="10">
        <v>41122</v>
      </c>
      <c r="B227" s="11">
        <v>40189</v>
      </c>
      <c r="C227" s="11" t="s">
        <v>2</v>
      </c>
      <c r="D227" s="1"/>
      <c r="F227" s="10">
        <v>40603</v>
      </c>
      <c r="G227" s="11">
        <v>53055</v>
      </c>
      <c r="H227" s="11" t="s">
        <v>15</v>
      </c>
    </row>
    <row r="228" spans="1:8" x14ac:dyDescent="0.25">
      <c r="A228" s="10">
        <v>41153</v>
      </c>
      <c r="B228" s="11">
        <v>25359</v>
      </c>
      <c r="C228" s="11" t="s">
        <v>4</v>
      </c>
      <c r="D228" s="1"/>
      <c r="F228" s="10">
        <v>40603</v>
      </c>
      <c r="G228" s="11">
        <v>16514</v>
      </c>
      <c r="H228" s="11" t="s">
        <v>16</v>
      </c>
    </row>
    <row r="229" spans="1:8" x14ac:dyDescent="0.25">
      <c r="A229" s="10">
        <v>41153</v>
      </c>
      <c r="B229" s="11">
        <v>23362</v>
      </c>
      <c r="C229" s="11" t="s">
        <v>5</v>
      </c>
      <c r="D229" s="1"/>
      <c r="F229" s="10">
        <v>40603</v>
      </c>
      <c r="G229" s="11">
        <v>15213</v>
      </c>
      <c r="H229" s="11" t="s">
        <v>14</v>
      </c>
    </row>
    <row r="230" spans="1:8" x14ac:dyDescent="0.25">
      <c r="A230" s="10">
        <v>41153</v>
      </c>
      <c r="B230" s="11">
        <v>43003</v>
      </c>
      <c r="C230" s="11" t="s">
        <v>2</v>
      </c>
      <c r="D230" s="1"/>
      <c r="F230" s="10">
        <v>40634</v>
      </c>
      <c r="G230" s="11">
        <v>31632</v>
      </c>
      <c r="H230" s="11" t="s">
        <v>15</v>
      </c>
    </row>
    <row r="231" spans="1:8" x14ac:dyDescent="0.25">
      <c r="A231" s="10">
        <v>41183</v>
      </c>
      <c r="B231" s="11">
        <v>33904</v>
      </c>
      <c r="C231" s="11" t="s">
        <v>4</v>
      </c>
      <c r="D231" s="1"/>
      <c r="F231" s="10">
        <v>40634</v>
      </c>
      <c r="G231" s="11">
        <v>12401</v>
      </c>
      <c r="H231" s="11" t="s">
        <v>16</v>
      </c>
    </row>
    <row r="232" spans="1:8" x14ac:dyDescent="0.25">
      <c r="A232" s="10">
        <v>41183</v>
      </c>
      <c r="B232" s="11">
        <v>24936</v>
      </c>
      <c r="C232" s="11" t="s">
        <v>5</v>
      </c>
      <c r="D232" s="1"/>
      <c r="F232" s="10">
        <v>40634</v>
      </c>
      <c r="G232" s="11">
        <v>10593</v>
      </c>
      <c r="H232" s="11" t="s">
        <v>14</v>
      </c>
    </row>
    <row r="233" spans="1:8" x14ac:dyDescent="0.25">
      <c r="A233" s="10">
        <v>41183</v>
      </c>
      <c r="B233" s="11">
        <v>47014</v>
      </c>
      <c r="C233" s="11" t="s">
        <v>2</v>
      </c>
      <c r="D233" s="1"/>
      <c r="F233" s="10">
        <v>40664</v>
      </c>
      <c r="G233" s="11">
        <v>26881</v>
      </c>
      <c r="H233" s="11" t="s">
        <v>15</v>
      </c>
    </row>
    <row r="234" spans="1:8" x14ac:dyDescent="0.25">
      <c r="A234" s="10">
        <v>41214</v>
      </c>
      <c r="B234" s="11">
        <v>40037</v>
      </c>
      <c r="C234" s="11" t="s">
        <v>4</v>
      </c>
      <c r="D234" s="1"/>
      <c r="F234" s="10">
        <v>40664</v>
      </c>
      <c r="G234" s="11">
        <v>19555</v>
      </c>
      <c r="H234" s="11" t="s">
        <v>16</v>
      </c>
    </row>
    <row r="235" spans="1:8" x14ac:dyDescent="0.25">
      <c r="A235" s="10">
        <v>41214</v>
      </c>
      <c r="B235" s="11">
        <v>26328</v>
      </c>
      <c r="C235" s="11" t="s">
        <v>5</v>
      </c>
      <c r="D235" s="1"/>
      <c r="F235" s="10">
        <v>40664</v>
      </c>
      <c r="G235" s="11">
        <v>7420</v>
      </c>
      <c r="H235" s="11" t="s">
        <v>14</v>
      </c>
    </row>
    <row r="236" spans="1:8" x14ac:dyDescent="0.25">
      <c r="A236" s="10">
        <v>41214</v>
      </c>
      <c r="B236" s="11">
        <v>49818</v>
      </c>
      <c r="C236" s="11" t="s">
        <v>2</v>
      </c>
      <c r="D236" s="1"/>
      <c r="F236" s="10">
        <v>40695</v>
      </c>
      <c r="G236" s="11">
        <v>23083</v>
      </c>
      <c r="H236" s="11" t="s">
        <v>15</v>
      </c>
    </row>
    <row r="237" spans="1:8" x14ac:dyDescent="0.25">
      <c r="A237" s="10">
        <v>41244</v>
      </c>
      <c r="B237" s="11">
        <v>40485</v>
      </c>
      <c r="C237" s="11" t="s">
        <v>4</v>
      </c>
      <c r="D237" s="1"/>
      <c r="F237" s="10">
        <v>40695</v>
      </c>
      <c r="G237" s="11">
        <v>21847</v>
      </c>
      <c r="H237" s="11" t="s">
        <v>16</v>
      </c>
    </row>
    <row r="238" spans="1:8" x14ac:dyDescent="0.25">
      <c r="A238" s="10">
        <v>41244</v>
      </c>
      <c r="B238" s="11">
        <v>29752</v>
      </c>
      <c r="C238" s="11" t="s">
        <v>5</v>
      </c>
      <c r="D238" s="1"/>
      <c r="F238" s="10">
        <v>40695</v>
      </c>
      <c r="G238" s="11">
        <v>6376</v>
      </c>
      <c r="H238" s="11" t="s">
        <v>14</v>
      </c>
    </row>
    <row r="239" spans="1:8" x14ac:dyDescent="0.25">
      <c r="A239" s="10">
        <v>41244</v>
      </c>
      <c r="B239" s="11">
        <v>49998</v>
      </c>
      <c r="C239" s="11" t="s">
        <v>2</v>
      </c>
      <c r="D239" s="1"/>
      <c r="F239" s="10">
        <v>40725</v>
      </c>
      <c r="G239" s="11">
        <v>19773</v>
      </c>
      <c r="H239" s="11" t="s">
        <v>15</v>
      </c>
    </row>
    <row r="240" spans="1:8" x14ac:dyDescent="0.25">
      <c r="A240" s="10">
        <v>41275</v>
      </c>
      <c r="B240" s="11">
        <v>36497</v>
      </c>
      <c r="C240" s="11" t="s">
        <v>4</v>
      </c>
      <c r="D240" s="1"/>
      <c r="F240" s="10">
        <v>40725</v>
      </c>
      <c r="G240" s="11">
        <v>23634</v>
      </c>
      <c r="H240" s="11" t="s">
        <v>16</v>
      </c>
    </row>
    <row r="241" spans="1:8" x14ac:dyDescent="0.25">
      <c r="A241" s="10">
        <v>41275</v>
      </c>
      <c r="B241" s="11">
        <v>39738</v>
      </c>
      <c r="C241" s="11" t="s">
        <v>2</v>
      </c>
      <c r="D241" s="1"/>
      <c r="F241" s="10">
        <v>40725</v>
      </c>
      <c r="G241" s="11">
        <v>5524</v>
      </c>
      <c r="H241" s="11" t="s">
        <v>14</v>
      </c>
    </row>
    <row r="242" spans="1:8" x14ac:dyDescent="0.25">
      <c r="A242" s="10">
        <v>41275</v>
      </c>
      <c r="B242" s="11">
        <v>26821</v>
      </c>
      <c r="C242" s="11" t="s">
        <v>5</v>
      </c>
      <c r="D242" s="1"/>
      <c r="F242" s="10">
        <v>40756</v>
      </c>
      <c r="G242" s="11">
        <v>6163</v>
      </c>
      <c r="H242" s="11" t="s">
        <v>14</v>
      </c>
    </row>
    <row r="243" spans="1:8" x14ac:dyDescent="0.25">
      <c r="A243" s="10">
        <v>41306</v>
      </c>
      <c r="B243" s="11">
        <v>44263</v>
      </c>
      <c r="C243" s="11" t="s">
        <v>2</v>
      </c>
      <c r="D243" s="1"/>
      <c r="F243" s="10">
        <v>40756</v>
      </c>
      <c r="G243" s="11">
        <v>24868</v>
      </c>
      <c r="H243" s="11" t="s">
        <v>15</v>
      </c>
    </row>
    <row r="244" spans="1:8" x14ac:dyDescent="0.25">
      <c r="A244" s="10">
        <v>41306</v>
      </c>
      <c r="B244" s="11">
        <v>27440</v>
      </c>
      <c r="C244" s="11" t="s">
        <v>5</v>
      </c>
      <c r="D244" s="1"/>
      <c r="F244" s="10">
        <v>40756</v>
      </c>
      <c r="G244" s="11">
        <v>32053</v>
      </c>
      <c r="H244" s="11" t="s">
        <v>16</v>
      </c>
    </row>
    <row r="245" spans="1:8" x14ac:dyDescent="0.25">
      <c r="A245" s="10">
        <v>41306</v>
      </c>
      <c r="B245" s="11">
        <v>41281</v>
      </c>
      <c r="C245" s="11" t="s">
        <v>4</v>
      </c>
      <c r="D245" s="1"/>
      <c r="F245" s="10">
        <v>40787</v>
      </c>
      <c r="G245" s="11">
        <v>26315</v>
      </c>
      <c r="H245" s="11" t="s">
        <v>15</v>
      </c>
    </row>
    <row r="246" spans="1:8" x14ac:dyDescent="0.25">
      <c r="A246" s="10">
        <v>41334</v>
      </c>
      <c r="B246" s="11">
        <v>45862</v>
      </c>
      <c r="C246" s="11" t="s">
        <v>4</v>
      </c>
      <c r="D246" s="1"/>
      <c r="F246" s="10">
        <v>40787</v>
      </c>
      <c r="G246" s="11">
        <v>28163</v>
      </c>
      <c r="H246" s="11" t="s">
        <v>16</v>
      </c>
    </row>
    <row r="247" spans="1:8" x14ac:dyDescent="0.25">
      <c r="A247" s="10">
        <v>41334</v>
      </c>
      <c r="B247" s="11">
        <v>29625</v>
      </c>
      <c r="C247" s="11" t="s">
        <v>5</v>
      </c>
      <c r="D247" s="1"/>
      <c r="F247" s="10">
        <v>40787</v>
      </c>
      <c r="G247" s="11">
        <v>6608</v>
      </c>
      <c r="H247" s="11" t="s">
        <v>14</v>
      </c>
    </row>
    <row r="248" spans="1:8" x14ac:dyDescent="0.25">
      <c r="A248" s="10">
        <v>41334</v>
      </c>
      <c r="B248" s="11">
        <v>42588</v>
      </c>
      <c r="C248" s="11" t="s">
        <v>2</v>
      </c>
      <c r="D248" s="1"/>
      <c r="F248" s="10">
        <v>40817</v>
      </c>
      <c r="G248" s="11">
        <v>27782</v>
      </c>
      <c r="H248" s="11" t="s">
        <v>15</v>
      </c>
    </row>
    <row r="249" spans="1:8" x14ac:dyDescent="0.25">
      <c r="A249" s="10">
        <v>41365</v>
      </c>
      <c r="B249" s="11">
        <v>40421</v>
      </c>
      <c r="C249" s="11" t="s">
        <v>4</v>
      </c>
      <c r="D249" s="1"/>
      <c r="F249" s="10">
        <v>40817</v>
      </c>
      <c r="G249" s="11">
        <v>27235</v>
      </c>
      <c r="H249" s="11" t="s">
        <v>16</v>
      </c>
    </row>
    <row r="250" spans="1:8" x14ac:dyDescent="0.25">
      <c r="A250" s="10">
        <v>41365</v>
      </c>
      <c r="B250" s="11">
        <v>29886</v>
      </c>
      <c r="C250" s="11" t="s">
        <v>5</v>
      </c>
      <c r="D250" s="1"/>
      <c r="F250" s="10">
        <v>40817</v>
      </c>
      <c r="G250" s="11">
        <v>6814</v>
      </c>
      <c r="H250" s="11" t="s">
        <v>14</v>
      </c>
    </row>
    <row r="251" spans="1:8" x14ac:dyDescent="0.25">
      <c r="A251" s="10">
        <v>41365</v>
      </c>
      <c r="B251" s="11">
        <v>46379</v>
      </c>
      <c r="C251" s="11" t="s">
        <v>2</v>
      </c>
      <c r="D251" s="1"/>
      <c r="F251" s="10">
        <v>40848</v>
      </c>
      <c r="G251" s="11">
        <v>42023</v>
      </c>
      <c r="H251" s="11" t="s">
        <v>15</v>
      </c>
    </row>
    <row r="252" spans="1:8" x14ac:dyDescent="0.25">
      <c r="A252" s="10">
        <v>41395</v>
      </c>
      <c r="B252" s="11">
        <v>30711</v>
      </c>
      <c r="C252" s="11" t="s">
        <v>4</v>
      </c>
      <c r="D252" s="1"/>
      <c r="F252" s="10">
        <v>40848</v>
      </c>
      <c r="G252" s="11">
        <v>22085</v>
      </c>
      <c r="H252" s="11" t="s">
        <v>16</v>
      </c>
    </row>
    <row r="253" spans="1:8" x14ac:dyDescent="0.25">
      <c r="A253" s="10">
        <v>41395</v>
      </c>
      <c r="B253" s="11">
        <v>30221</v>
      </c>
      <c r="C253" s="11" t="s">
        <v>5</v>
      </c>
      <c r="D253" s="1"/>
      <c r="F253" s="10">
        <v>40848</v>
      </c>
      <c r="G253" s="11">
        <v>7897</v>
      </c>
      <c r="H253" s="11" t="s">
        <v>14</v>
      </c>
    </row>
    <row r="254" spans="1:8" x14ac:dyDescent="0.25">
      <c r="A254" s="10">
        <v>41395</v>
      </c>
      <c r="B254" s="11">
        <v>47961</v>
      </c>
      <c r="C254" s="11" t="s">
        <v>2</v>
      </c>
      <c r="D254" s="1"/>
      <c r="F254" s="10">
        <v>40878</v>
      </c>
      <c r="G254" s="11">
        <v>41786</v>
      </c>
      <c r="H254" s="11" t="s">
        <v>15</v>
      </c>
    </row>
    <row r="255" spans="1:8" x14ac:dyDescent="0.25">
      <c r="A255" s="10">
        <v>41426</v>
      </c>
      <c r="B255" s="11">
        <v>26806</v>
      </c>
      <c r="C255" s="11" t="s">
        <v>4</v>
      </c>
      <c r="D255" s="1"/>
      <c r="F255" s="10">
        <v>40878</v>
      </c>
      <c r="G255" s="11">
        <v>15408</v>
      </c>
      <c r="H255" s="11" t="s">
        <v>16</v>
      </c>
    </row>
    <row r="256" spans="1:8" x14ac:dyDescent="0.25">
      <c r="A256" s="10">
        <v>41426</v>
      </c>
      <c r="B256" s="11">
        <v>28245</v>
      </c>
      <c r="C256" s="11" t="s">
        <v>5</v>
      </c>
      <c r="D256" s="1"/>
      <c r="F256" s="10">
        <v>40878</v>
      </c>
      <c r="G256" s="11">
        <v>9245</v>
      </c>
      <c r="H256" s="11" t="s">
        <v>14</v>
      </c>
    </row>
    <row r="257" spans="1:8" x14ac:dyDescent="0.25">
      <c r="A257" s="10">
        <v>41426</v>
      </c>
      <c r="B257" s="11">
        <v>48520</v>
      </c>
      <c r="C257" s="11" t="s">
        <v>2</v>
      </c>
      <c r="D257" s="1"/>
      <c r="F257" s="10">
        <v>40909</v>
      </c>
      <c r="G257" s="11">
        <v>44694</v>
      </c>
      <c r="H257" s="11" t="s">
        <v>15</v>
      </c>
    </row>
    <row r="258" spans="1:8" x14ac:dyDescent="0.25">
      <c r="A258" s="10">
        <v>41456</v>
      </c>
      <c r="B258" s="11">
        <v>32722</v>
      </c>
      <c r="C258" s="11" t="s">
        <v>4</v>
      </c>
      <c r="D258" s="1"/>
      <c r="F258" s="10">
        <v>40909</v>
      </c>
      <c r="G258" s="11">
        <v>15623</v>
      </c>
      <c r="H258" s="11" t="s">
        <v>16</v>
      </c>
    </row>
    <row r="259" spans="1:8" x14ac:dyDescent="0.25">
      <c r="A259" s="10">
        <v>41456</v>
      </c>
      <c r="B259" s="11">
        <v>26789</v>
      </c>
      <c r="C259" s="11" t="s">
        <v>5</v>
      </c>
      <c r="D259" s="1"/>
      <c r="F259" s="10">
        <v>40909</v>
      </c>
      <c r="G259" s="11">
        <v>9831</v>
      </c>
      <c r="H259" s="11" t="s">
        <v>14</v>
      </c>
    </row>
    <row r="260" spans="1:8" x14ac:dyDescent="0.25">
      <c r="A260" s="10">
        <v>41456</v>
      </c>
      <c r="B260" s="11">
        <v>62247</v>
      </c>
      <c r="C260" s="11" t="s">
        <v>2</v>
      </c>
      <c r="D260" s="1"/>
      <c r="F260" s="10">
        <v>40940</v>
      </c>
      <c r="G260" s="11">
        <v>47406</v>
      </c>
      <c r="H260" s="11" t="s">
        <v>15</v>
      </c>
    </row>
    <row r="261" spans="1:8" x14ac:dyDescent="0.25">
      <c r="A261" s="10">
        <v>41487</v>
      </c>
      <c r="B261" s="11">
        <v>27485</v>
      </c>
      <c r="C261" s="11" t="s">
        <v>4</v>
      </c>
      <c r="D261" s="1"/>
      <c r="F261" s="10">
        <v>40940</v>
      </c>
      <c r="G261" s="11">
        <v>18666</v>
      </c>
      <c r="H261" s="11" t="s">
        <v>16</v>
      </c>
    </row>
    <row r="262" spans="1:8" x14ac:dyDescent="0.25">
      <c r="A262" s="10">
        <v>41487</v>
      </c>
      <c r="B262" s="11">
        <v>23013</v>
      </c>
      <c r="C262" s="11" t="s">
        <v>5</v>
      </c>
      <c r="D262" s="1"/>
      <c r="F262" s="10">
        <v>40940</v>
      </c>
      <c r="G262" s="11">
        <v>9082</v>
      </c>
      <c r="H262" s="11" t="s">
        <v>14</v>
      </c>
    </row>
    <row r="263" spans="1:8" x14ac:dyDescent="0.25">
      <c r="A263" s="10">
        <v>41487</v>
      </c>
      <c r="B263" s="11">
        <v>60521</v>
      </c>
      <c r="C263" s="11" t="s">
        <v>2</v>
      </c>
      <c r="D263" s="1"/>
      <c r="F263" s="10">
        <v>40969</v>
      </c>
      <c r="G263" s="11">
        <v>41648</v>
      </c>
      <c r="H263" s="11" t="s">
        <v>15</v>
      </c>
    </row>
    <row r="264" spans="1:8" x14ac:dyDescent="0.25">
      <c r="A264" s="10">
        <v>41518</v>
      </c>
      <c r="B264" s="11">
        <v>19112</v>
      </c>
      <c r="C264" s="11" t="s">
        <v>4</v>
      </c>
      <c r="D264" s="1"/>
      <c r="F264" s="10">
        <v>40969</v>
      </c>
      <c r="G264" s="11">
        <v>11423</v>
      </c>
      <c r="H264" s="11" t="s">
        <v>16</v>
      </c>
    </row>
    <row r="265" spans="1:8" x14ac:dyDescent="0.25">
      <c r="A265" s="10">
        <v>41518</v>
      </c>
      <c r="B265" s="11">
        <v>20542</v>
      </c>
      <c r="C265" s="11" t="s">
        <v>5</v>
      </c>
      <c r="D265" s="1"/>
      <c r="F265" s="10">
        <v>40969</v>
      </c>
      <c r="G265" s="11">
        <v>11001</v>
      </c>
      <c r="H265" s="11" t="s">
        <v>14</v>
      </c>
    </row>
    <row r="266" spans="1:8" x14ac:dyDescent="0.25">
      <c r="A266" s="10">
        <v>41518</v>
      </c>
      <c r="B266" s="11">
        <v>56084</v>
      </c>
      <c r="C266" s="11" t="s">
        <v>2</v>
      </c>
      <c r="D266" s="1"/>
      <c r="F266" s="10">
        <v>41000</v>
      </c>
      <c r="G266" s="11">
        <v>40605</v>
      </c>
      <c r="H266" s="11" t="s">
        <v>15</v>
      </c>
    </row>
    <row r="267" spans="1:8" x14ac:dyDescent="0.25">
      <c r="A267" s="10">
        <v>41548</v>
      </c>
      <c r="B267" s="11">
        <v>49158</v>
      </c>
      <c r="C267" s="11" t="s">
        <v>2</v>
      </c>
      <c r="D267" s="1"/>
      <c r="F267" s="10">
        <v>41000</v>
      </c>
      <c r="G267" s="11">
        <v>11472</v>
      </c>
      <c r="H267" s="11" t="s">
        <v>16</v>
      </c>
    </row>
    <row r="268" spans="1:8" x14ac:dyDescent="0.25">
      <c r="A268" s="10">
        <v>41548</v>
      </c>
      <c r="B268" s="11">
        <v>15993</v>
      </c>
      <c r="C268" s="11" t="s">
        <v>5</v>
      </c>
      <c r="D268" s="1"/>
      <c r="F268" s="10">
        <v>41000</v>
      </c>
      <c r="G268" s="11">
        <v>14080</v>
      </c>
      <c r="H268" s="11" t="s">
        <v>14</v>
      </c>
    </row>
    <row r="269" spans="1:8" x14ac:dyDescent="0.25">
      <c r="A269" s="10">
        <v>41548</v>
      </c>
      <c r="B269" s="11">
        <v>11604</v>
      </c>
      <c r="C269" s="11" t="s">
        <v>4</v>
      </c>
      <c r="D269" s="1"/>
      <c r="F269" s="10">
        <v>41030</v>
      </c>
      <c r="G269" s="11">
        <v>13189</v>
      </c>
      <c r="H269" s="11" t="s">
        <v>14</v>
      </c>
    </row>
    <row r="270" spans="1:8" x14ac:dyDescent="0.25">
      <c r="A270" s="10">
        <v>41579</v>
      </c>
      <c r="B270" s="11">
        <v>41648</v>
      </c>
      <c r="C270" s="11" t="s">
        <v>2</v>
      </c>
      <c r="D270" s="1"/>
      <c r="F270" s="10">
        <v>41030</v>
      </c>
      <c r="G270" s="11">
        <v>40102</v>
      </c>
      <c r="H270" s="11" t="s">
        <v>15</v>
      </c>
    </row>
    <row r="271" spans="1:8" x14ac:dyDescent="0.25">
      <c r="A271" s="10">
        <v>41579</v>
      </c>
      <c r="B271" s="11">
        <v>12082</v>
      </c>
      <c r="C271" s="11" t="s">
        <v>5</v>
      </c>
      <c r="D271" s="1"/>
      <c r="F271" s="10">
        <v>41030</v>
      </c>
      <c r="G271" s="11">
        <v>15169</v>
      </c>
      <c r="H271" s="11" t="s">
        <v>16</v>
      </c>
    </row>
    <row r="272" spans="1:8" x14ac:dyDescent="0.25">
      <c r="A272" s="10">
        <v>41579</v>
      </c>
      <c r="B272" s="11">
        <v>7900</v>
      </c>
      <c r="C272" s="11" t="s">
        <v>4</v>
      </c>
      <c r="D272" s="1"/>
      <c r="F272" s="10">
        <v>41061</v>
      </c>
      <c r="G272" s="11">
        <v>35485</v>
      </c>
      <c r="H272" s="11" t="s">
        <v>15</v>
      </c>
    </row>
    <row r="273" spans="1:8" x14ac:dyDescent="0.25">
      <c r="A273" s="10">
        <v>41609</v>
      </c>
      <c r="B273" s="11">
        <v>8033</v>
      </c>
      <c r="C273" s="11" t="s">
        <v>4</v>
      </c>
      <c r="D273" s="1"/>
      <c r="F273" s="10">
        <v>41061</v>
      </c>
      <c r="G273" s="11">
        <v>23359</v>
      </c>
      <c r="H273" s="11" t="s">
        <v>16</v>
      </c>
    </row>
    <row r="274" spans="1:8" x14ac:dyDescent="0.25">
      <c r="A274" s="10">
        <v>41609</v>
      </c>
      <c r="B274" s="11">
        <v>45669</v>
      </c>
      <c r="C274" s="11" t="s">
        <v>2</v>
      </c>
      <c r="D274" s="1"/>
      <c r="F274" s="10">
        <v>41061</v>
      </c>
      <c r="G274" s="11">
        <v>12382</v>
      </c>
      <c r="H274" s="11" t="s">
        <v>14</v>
      </c>
    </row>
    <row r="275" spans="1:8" x14ac:dyDescent="0.25">
      <c r="A275" s="10">
        <v>41609</v>
      </c>
      <c r="B275" s="11">
        <v>10922</v>
      </c>
      <c r="C275" s="11" t="s">
        <v>5</v>
      </c>
      <c r="D275" s="1"/>
      <c r="F275" s="10">
        <v>41091</v>
      </c>
      <c r="G275" s="11">
        <v>38211</v>
      </c>
      <c r="H275" s="11" t="s">
        <v>15</v>
      </c>
    </row>
    <row r="276" spans="1:8" x14ac:dyDescent="0.25">
      <c r="A276" s="10">
        <v>41640</v>
      </c>
      <c r="B276" s="11">
        <v>9752</v>
      </c>
      <c r="C276" s="11" t="s">
        <v>5</v>
      </c>
      <c r="D276" s="1"/>
      <c r="F276" s="10">
        <v>41091</v>
      </c>
      <c r="G276" s="11">
        <v>30515</v>
      </c>
      <c r="H276" s="11" t="s">
        <v>16</v>
      </c>
    </row>
    <row r="277" spans="1:8" x14ac:dyDescent="0.25">
      <c r="A277" s="10">
        <v>41640</v>
      </c>
      <c r="B277" s="11">
        <v>9674</v>
      </c>
      <c r="C277" s="11" t="s">
        <v>4</v>
      </c>
      <c r="D277" s="1"/>
      <c r="F277" s="10">
        <v>41091</v>
      </c>
      <c r="G277" s="11">
        <v>13178</v>
      </c>
      <c r="H277" s="11" t="s">
        <v>14</v>
      </c>
    </row>
    <row r="278" spans="1:8" x14ac:dyDescent="0.25">
      <c r="A278" s="10">
        <v>41640</v>
      </c>
      <c r="B278" s="11">
        <v>45743</v>
      </c>
      <c r="C278" s="11" t="s">
        <v>2</v>
      </c>
      <c r="D278" s="1"/>
      <c r="F278" s="10">
        <v>41122</v>
      </c>
      <c r="G278" s="11">
        <v>38387</v>
      </c>
      <c r="H278" s="11" t="s">
        <v>15</v>
      </c>
    </row>
    <row r="279" spans="1:8" x14ac:dyDescent="0.25">
      <c r="A279" s="10">
        <v>41671</v>
      </c>
      <c r="B279" s="11">
        <v>48084</v>
      </c>
      <c r="C279" s="11" t="s">
        <v>2</v>
      </c>
      <c r="D279" s="1"/>
      <c r="F279" s="10">
        <v>41122</v>
      </c>
      <c r="G279" s="11">
        <v>30334</v>
      </c>
      <c r="H279" s="11" t="s">
        <v>16</v>
      </c>
    </row>
    <row r="280" spans="1:8" x14ac:dyDescent="0.25">
      <c r="A280" s="10">
        <v>41671</v>
      </c>
      <c r="B280" s="11">
        <v>9671</v>
      </c>
      <c r="C280" s="11" t="s">
        <v>5</v>
      </c>
      <c r="D280" s="1"/>
      <c r="F280" s="10">
        <v>41122</v>
      </c>
      <c r="G280" s="11">
        <v>13092</v>
      </c>
      <c r="H280" s="11" t="s">
        <v>14</v>
      </c>
    </row>
    <row r="281" spans="1:8" x14ac:dyDescent="0.25">
      <c r="A281" s="10">
        <v>41671</v>
      </c>
      <c r="B281" s="11">
        <v>9770</v>
      </c>
      <c r="C281" s="11" t="s">
        <v>4</v>
      </c>
      <c r="D281" s="1"/>
      <c r="F281" s="10">
        <v>41153</v>
      </c>
      <c r="G281" s="11">
        <v>47476</v>
      </c>
      <c r="H281" s="11" t="s">
        <v>15</v>
      </c>
    </row>
    <row r="282" spans="1:8" x14ac:dyDescent="0.25">
      <c r="A282" s="10">
        <v>41699</v>
      </c>
      <c r="B282" s="11">
        <v>6582</v>
      </c>
      <c r="C282" s="11" t="s">
        <v>4</v>
      </c>
      <c r="D282" s="1"/>
      <c r="F282" s="10">
        <v>41153</v>
      </c>
      <c r="G282" s="11">
        <v>31002</v>
      </c>
      <c r="H282" s="11" t="s">
        <v>16</v>
      </c>
    </row>
    <row r="283" spans="1:8" x14ac:dyDescent="0.25">
      <c r="A283" s="10">
        <v>41699</v>
      </c>
      <c r="B283" s="11">
        <v>32181</v>
      </c>
      <c r="C283" s="11" t="s">
        <v>2</v>
      </c>
      <c r="D283" s="1"/>
      <c r="F283" s="10">
        <v>41153</v>
      </c>
      <c r="G283" s="11">
        <v>13246</v>
      </c>
      <c r="H283" s="11" t="s">
        <v>14</v>
      </c>
    </row>
    <row r="284" spans="1:8" x14ac:dyDescent="0.25">
      <c r="A284" s="10">
        <v>41699</v>
      </c>
      <c r="B284" s="11">
        <v>6</v>
      </c>
      <c r="C284" s="11" t="s">
        <v>6</v>
      </c>
      <c r="D284" s="1"/>
      <c r="F284" s="10">
        <v>41183</v>
      </c>
      <c r="G284" s="11">
        <v>59486</v>
      </c>
      <c r="H284" s="11" t="s">
        <v>15</v>
      </c>
    </row>
    <row r="285" spans="1:8" x14ac:dyDescent="0.25">
      <c r="A285" s="10">
        <v>41699</v>
      </c>
      <c r="B285" s="11">
        <v>8095</v>
      </c>
      <c r="C285" s="11" t="s">
        <v>5</v>
      </c>
      <c r="D285" s="1"/>
      <c r="F285" s="10">
        <v>41183</v>
      </c>
      <c r="G285" s="11">
        <v>32300</v>
      </c>
      <c r="H285" s="11" t="s">
        <v>16</v>
      </c>
    </row>
    <row r="286" spans="1:8" x14ac:dyDescent="0.25">
      <c r="A286" s="10">
        <v>41730</v>
      </c>
      <c r="B286" s="11">
        <v>34463</v>
      </c>
      <c r="C286" s="11" t="s">
        <v>2</v>
      </c>
      <c r="D286" s="1"/>
      <c r="F286" s="10">
        <v>41183</v>
      </c>
      <c r="G286" s="11">
        <v>14068</v>
      </c>
      <c r="H286" s="11" t="s">
        <v>14</v>
      </c>
    </row>
    <row r="287" spans="1:8" x14ac:dyDescent="0.25">
      <c r="A287" s="10">
        <v>41730</v>
      </c>
      <c r="B287" s="11">
        <v>12788</v>
      </c>
      <c r="C287" s="11" t="s">
        <v>6</v>
      </c>
      <c r="D287" s="1"/>
      <c r="F287" s="10">
        <v>41214</v>
      </c>
      <c r="G287" s="11">
        <v>70185</v>
      </c>
      <c r="H287" s="11" t="s">
        <v>15</v>
      </c>
    </row>
    <row r="288" spans="1:8" x14ac:dyDescent="0.25">
      <c r="A288" s="10">
        <v>41760</v>
      </c>
      <c r="B288" s="11">
        <v>46338</v>
      </c>
      <c r="C288" s="11" t="s">
        <v>2</v>
      </c>
      <c r="D288" s="1"/>
      <c r="F288" s="10">
        <v>41214</v>
      </c>
      <c r="G288" s="11">
        <v>32682</v>
      </c>
      <c r="H288" s="11" t="s">
        <v>16</v>
      </c>
    </row>
    <row r="289" spans="1:8" x14ac:dyDescent="0.25">
      <c r="A289" s="10">
        <v>41760</v>
      </c>
      <c r="B289" s="11">
        <v>14986</v>
      </c>
      <c r="C289" s="11" t="s">
        <v>6</v>
      </c>
      <c r="D289" s="1"/>
      <c r="F289" s="10">
        <v>41214</v>
      </c>
      <c r="G289" s="11">
        <v>13316</v>
      </c>
      <c r="H289" s="11" t="s">
        <v>14</v>
      </c>
    </row>
    <row r="290" spans="1:8" x14ac:dyDescent="0.25">
      <c r="A290" s="10">
        <v>41791</v>
      </c>
      <c r="B290" s="11">
        <v>14482</v>
      </c>
      <c r="C290" s="11" t="s">
        <v>6</v>
      </c>
      <c r="D290" s="1"/>
      <c r="F290" s="10">
        <v>41244</v>
      </c>
      <c r="G290" s="11">
        <v>72899</v>
      </c>
      <c r="H290" s="11" t="s">
        <v>15</v>
      </c>
    </row>
    <row r="291" spans="1:8" x14ac:dyDescent="0.25">
      <c r="A291" s="10">
        <v>41791</v>
      </c>
      <c r="B291" s="11">
        <v>49506</v>
      </c>
      <c r="C291" s="11" t="s">
        <v>2</v>
      </c>
      <c r="D291" s="1"/>
      <c r="F291" s="10">
        <v>41244</v>
      </c>
      <c r="G291" s="11">
        <v>31400</v>
      </c>
      <c r="H291" s="11" t="s">
        <v>16</v>
      </c>
    </row>
    <row r="292" spans="1:8" x14ac:dyDescent="0.25">
      <c r="A292" s="10">
        <v>41821</v>
      </c>
      <c r="B292" s="11">
        <v>13324</v>
      </c>
      <c r="C292" s="11" t="s">
        <v>6</v>
      </c>
      <c r="D292" s="1"/>
      <c r="F292" s="10">
        <v>41244</v>
      </c>
      <c r="G292" s="11">
        <v>15936</v>
      </c>
      <c r="H292" s="11" t="s">
        <v>14</v>
      </c>
    </row>
    <row r="293" spans="1:8" x14ac:dyDescent="0.25">
      <c r="A293" s="10">
        <v>41821</v>
      </c>
      <c r="B293" s="11">
        <v>55296</v>
      </c>
      <c r="C293" s="11" t="s">
        <v>2</v>
      </c>
      <c r="D293" s="1"/>
      <c r="F293" s="10">
        <v>41275</v>
      </c>
      <c r="G293" s="11">
        <v>64392</v>
      </c>
      <c r="H293" s="11" t="s">
        <v>15</v>
      </c>
    </row>
    <row r="294" spans="1:8" x14ac:dyDescent="0.25">
      <c r="A294" s="10">
        <v>41852</v>
      </c>
      <c r="B294" s="11">
        <v>65987</v>
      </c>
      <c r="C294" s="11" t="s">
        <v>2</v>
      </c>
      <c r="D294" s="1"/>
      <c r="F294" s="10">
        <v>41275</v>
      </c>
      <c r="G294" s="11">
        <v>13955</v>
      </c>
      <c r="H294" s="11" t="s">
        <v>14</v>
      </c>
    </row>
    <row r="295" spans="1:8" x14ac:dyDescent="0.25">
      <c r="A295" s="10">
        <v>41852</v>
      </c>
      <c r="B295" s="11">
        <v>15877</v>
      </c>
      <c r="C295" s="11" t="s">
        <v>6</v>
      </c>
      <c r="D295" s="1"/>
      <c r="F295" s="10">
        <v>41275</v>
      </c>
      <c r="G295" s="11">
        <v>24709</v>
      </c>
      <c r="H295" s="11" t="s">
        <v>16</v>
      </c>
    </row>
    <row r="296" spans="1:8" x14ac:dyDescent="0.25">
      <c r="A296" s="10">
        <v>41883</v>
      </c>
      <c r="B296" s="11">
        <v>16493</v>
      </c>
      <c r="C296" s="11" t="s">
        <v>6</v>
      </c>
      <c r="D296" s="1"/>
      <c r="F296" s="10">
        <v>41306</v>
      </c>
      <c r="G296" s="11">
        <v>14118</v>
      </c>
      <c r="H296" s="11" t="s">
        <v>14</v>
      </c>
    </row>
    <row r="297" spans="1:8" x14ac:dyDescent="0.25">
      <c r="A297" s="10">
        <v>41883</v>
      </c>
      <c r="B297" s="11">
        <v>67292</v>
      </c>
      <c r="C297" s="11" t="s">
        <v>2</v>
      </c>
      <c r="D297" s="1"/>
      <c r="F297" s="10">
        <v>41306</v>
      </c>
      <c r="G297" s="11">
        <v>26705</v>
      </c>
      <c r="H297" s="11" t="s">
        <v>16</v>
      </c>
    </row>
    <row r="298" spans="1:8" x14ac:dyDescent="0.25">
      <c r="A298" s="10">
        <v>41913</v>
      </c>
      <c r="B298" s="11">
        <v>63700</v>
      </c>
      <c r="C298" s="11" t="s">
        <v>2</v>
      </c>
      <c r="D298" s="1"/>
      <c r="F298" s="10">
        <v>41306</v>
      </c>
      <c r="G298" s="11">
        <v>72161</v>
      </c>
      <c r="H298" s="11" t="s">
        <v>15</v>
      </c>
    </row>
    <row r="299" spans="1:8" x14ac:dyDescent="0.25">
      <c r="A299" s="10">
        <v>41913</v>
      </c>
      <c r="B299" s="11">
        <v>16731</v>
      </c>
      <c r="C299" s="11" t="s">
        <v>6</v>
      </c>
      <c r="D299" s="1"/>
      <c r="F299" s="10">
        <v>41334</v>
      </c>
      <c r="G299" s="11">
        <v>78725</v>
      </c>
      <c r="H299" s="11" t="s">
        <v>15</v>
      </c>
    </row>
    <row r="300" spans="1:8" x14ac:dyDescent="0.25">
      <c r="A300" s="10">
        <v>41944</v>
      </c>
      <c r="B300" s="11">
        <v>59685</v>
      </c>
      <c r="C300" s="11" t="s">
        <v>2</v>
      </c>
      <c r="D300" s="1"/>
      <c r="F300" s="10">
        <v>41334</v>
      </c>
      <c r="G300" s="11">
        <v>24177</v>
      </c>
      <c r="H300" s="11" t="s">
        <v>16</v>
      </c>
    </row>
    <row r="301" spans="1:8" x14ac:dyDescent="0.25">
      <c r="A301" s="10">
        <v>41944</v>
      </c>
      <c r="B301" s="11">
        <v>17725</v>
      </c>
      <c r="C301" s="11" t="s">
        <v>6</v>
      </c>
      <c r="D301" s="1"/>
      <c r="F301" s="10">
        <v>41334</v>
      </c>
      <c r="G301" s="11">
        <v>15173</v>
      </c>
      <c r="H301" s="11" t="s">
        <v>14</v>
      </c>
    </row>
    <row r="302" spans="1:8" x14ac:dyDescent="0.25">
      <c r="A302" s="10">
        <v>41974</v>
      </c>
      <c r="B302" s="11">
        <v>18168</v>
      </c>
      <c r="C302" s="11" t="s">
        <v>6</v>
      </c>
      <c r="D302" s="1"/>
      <c r="F302" s="10">
        <v>41365</v>
      </c>
      <c r="G302" s="11">
        <v>72758</v>
      </c>
      <c r="H302" s="11" t="s">
        <v>15</v>
      </c>
    </row>
    <row r="303" spans="1:8" x14ac:dyDescent="0.25">
      <c r="A303" s="10">
        <v>41974</v>
      </c>
      <c r="B303" s="11">
        <v>54342</v>
      </c>
      <c r="C303" s="11" t="s">
        <v>2</v>
      </c>
      <c r="D303" s="1"/>
      <c r="F303" s="10">
        <v>41365</v>
      </c>
      <c r="G303" s="11">
        <v>28670</v>
      </c>
      <c r="H303" s="11" t="s">
        <v>16</v>
      </c>
    </row>
    <row r="304" spans="1:8" x14ac:dyDescent="0.25">
      <c r="A304" s="10">
        <v>42005</v>
      </c>
      <c r="B304" s="11">
        <v>47250</v>
      </c>
      <c r="C304" s="11" t="s">
        <v>2</v>
      </c>
      <c r="D304" s="1"/>
      <c r="F304" s="10">
        <v>41365</v>
      </c>
      <c r="G304" s="11">
        <v>15258</v>
      </c>
      <c r="H304" s="11" t="s">
        <v>14</v>
      </c>
    </row>
    <row r="305" spans="1:8" x14ac:dyDescent="0.25">
      <c r="A305" s="10">
        <v>42005</v>
      </c>
      <c r="B305" s="11">
        <v>21476</v>
      </c>
      <c r="C305" s="11" t="s">
        <v>6</v>
      </c>
      <c r="D305" s="1"/>
      <c r="F305" s="10">
        <v>41395</v>
      </c>
      <c r="G305" s="11">
        <v>61545</v>
      </c>
      <c r="H305" s="11" t="s">
        <v>15</v>
      </c>
    </row>
    <row r="306" spans="1:8" x14ac:dyDescent="0.25">
      <c r="A306" s="10">
        <v>42036</v>
      </c>
      <c r="B306" s="11">
        <v>50078</v>
      </c>
      <c r="C306" s="11" t="s">
        <v>2</v>
      </c>
      <c r="D306" s="1"/>
      <c r="F306" s="10">
        <v>41395</v>
      </c>
      <c r="G306" s="11">
        <v>31809</v>
      </c>
      <c r="H306" s="11" t="s">
        <v>16</v>
      </c>
    </row>
    <row r="307" spans="1:8" x14ac:dyDescent="0.25">
      <c r="A307" s="10">
        <v>42036</v>
      </c>
      <c r="B307" s="11">
        <v>20938</v>
      </c>
      <c r="C307" s="11" t="s">
        <v>6</v>
      </c>
      <c r="D307" s="1"/>
      <c r="F307" s="10">
        <v>41395</v>
      </c>
      <c r="G307" s="11">
        <v>15539</v>
      </c>
      <c r="H307" s="11" t="s">
        <v>14</v>
      </c>
    </row>
    <row r="308" spans="1:8" x14ac:dyDescent="0.25">
      <c r="A308" s="10">
        <v>42064</v>
      </c>
      <c r="B308" s="11">
        <v>24131</v>
      </c>
      <c r="C308" s="11" t="s">
        <v>6</v>
      </c>
      <c r="D308" s="1"/>
      <c r="F308" s="10">
        <v>41426</v>
      </c>
      <c r="G308" s="11">
        <v>55305</v>
      </c>
      <c r="H308" s="11" t="s">
        <v>15</v>
      </c>
    </row>
    <row r="309" spans="1:8" x14ac:dyDescent="0.25">
      <c r="A309" s="10">
        <v>42064</v>
      </c>
      <c r="B309" s="11">
        <v>39431</v>
      </c>
      <c r="C309" s="11" t="s">
        <v>2</v>
      </c>
      <c r="D309" s="1"/>
      <c r="F309" s="10">
        <v>41426</v>
      </c>
      <c r="G309" s="11">
        <v>33675</v>
      </c>
      <c r="H309" s="11" t="s">
        <v>16</v>
      </c>
    </row>
    <row r="310" spans="1:8" x14ac:dyDescent="0.25">
      <c r="A310" s="10">
        <v>42095</v>
      </c>
      <c r="B310" s="11">
        <v>45767</v>
      </c>
      <c r="C310" s="11" t="s">
        <v>2</v>
      </c>
      <c r="D310" s="1"/>
      <c r="F310" s="10">
        <v>41426</v>
      </c>
      <c r="G310" s="11">
        <v>14591</v>
      </c>
      <c r="H310" s="11" t="s">
        <v>14</v>
      </c>
    </row>
    <row r="311" spans="1:8" x14ac:dyDescent="0.25">
      <c r="A311" s="10">
        <v>42095</v>
      </c>
      <c r="B311" s="11">
        <v>35016</v>
      </c>
      <c r="C311" s="11" t="s">
        <v>6</v>
      </c>
      <c r="D311" s="1"/>
      <c r="F311" s="10">
        <v>41456</v>
      </c>
      <c r="G311" s="11">
        <v>63236</v>
      </c>
      <c r="H311" s="11" t="s">
        <v>15</v>
      </c>
    </row>
    <row r="312" spans="1:8" x14ac:dyDescent="0.25">
      <c r="A312" s="10">
        <v>42125</v>
      </c>
      <c r="B312" s="11">
        <v>63289</v>
      </c>
      <c r="C312" s="11" t="s">
        <v>2</v>
      </c>
      <c r="D312" s="1"/>
      <c r="F312" s="10">
        <v>41456</v>
      </c>
      <c r="G312" s="11">
        <v>45214</v>
      </c>
      <c r="H312" s="11" t="s">
        <v>16</v>
      </c>
    </row>
    <row r="313" spans="1:8" x14ac:dyDescent="0.25">
      <c r="A313" s="10">
        <v>42125</v>
      </c>
      <c r="B313" s="11">
        <v>39618</v>
      </c>
      <c r="C313" s="11" t="s">
        <v>6</v>
      </c>
      <c r="D313" s="1"/>
      <c r="F313" s="10">
        <v>41456</v>
      </c>
      <c r="G313" s="11">
        <v>13308</v>
      </c>
      <c r="H313" s="11" t="s">
        <v>14</v>
      </c>
    </row>
    <row r="314" spans="1:8" x14ac:dyDescent="0.25">
      <c r="A314" s="10">
        <v>42156</v>
      </c>
      <c r="B314" s="11">
        <v>30540</v>
      </c>
      <c r="C314" s="11" t="s">
        <v>6</v>
      </c>
      <c r="D314" s="1"/>
      <c r="F314" s="10">
        <v>41487</v>
      </c>
      <c r="G314" s="11">
        <v>54209</v>
      </c>
      <c r="H314" s="11" t="s">
        <v>15</v>
      </c>
    </row>
    <row r="315" spans="1:8" x14ac:dyDescent="0.25">
      <c r="A315" s="10">
        <v>42156</v>
      </c>
      <c r="B315" s="11">
        <v>66830</v>
      </c>
      <c r="C315" s="11" t="s">
        <v>2</v>
      </c>
      <c r="D315" s="1"/>
      <c r="F315" s="10">
        <v>41487</v>
      </c>
      <c r="G315" s="11">
        <v>45299</v>
      </c>
      <c r="H315" s="11" t="s">
        <v>16</v>
      </c>
    </row>
    <row r="316" spans="1:8" x14ac:dyDescent="0.25">
      <c r="A316" s="10">
        <v>42186</v>
      </c>
      <c r="B316" s="11">
        <v>70156</v>
      </c>
      <c r="C316" s="11" t="s">
        <v>2</v>
      </c>
      <c r="D316" s="1"/>
      <c r="F316" s="10">
        <v>41487</v>
      </c>
      <c r="G316" s="11">
        <v>11511</v>
      </c>
      <c r="H316" s="11" t="s">
        <v>14</v>
      </c>
    </row>
    <row r="317" spans="1:8" x14ac:dyDescent="0.25">
      <c r="A317" s="10">
        <v>42186</v>
      </c>
      <c r="B317" s="11">
        <v>26241</v>
      </c>
      <c r="C317" s="11" t="s">
        <v>6</v>
      </c>
      <c r="D317" s="1"/>
      <c r="F317" s="10">
        <v>41518</v>
      </c>
      <c r="G317" s="11">
        <v>42482</v>
      </c>
      <c r="H317" s="11" t="s">
        <v>15</v>
      </c>
    </row>
    <row r="318" spans="1:8" x14ac:dyDescent="0.25">
      <c r="A318" s="10">
        <v>42217</v>
      </c>
      <c r="B318" s="11">
        <v>73092</v>
      </c>
      <c r="C318" s="11" t="s">
        <v>2</v>
      </c>
      <c r="D318" s="1"/>
      <c r="F318" s="10">
        <v>41518</v>
      </c>
      <c r="G318" s="11">
        <v>42667</v>
      </c>
      <c r="H318" s="11" t="s">
        <v>16</v>
      </c>
    </row>
    <row r="319" spans="1:8" x14ac:dyDescent="0.25">
      <c r="A319" s="10">
        <v>42217</v>
      </c>
      <c r="B319" s="11">
        <v>21405</v>
      </c>
      <c r="C319" s="11" t="s">
        <v>6</v>
      </c>
      <c r="D319" s="1"/>
      <c r="F319" s="10">
        <v>41518</v>
      </c>
      <c r="G319" s="11">
        <v>10589</v>
      </c>
      <c r="H319" s="11" t="s">
        <v>14</v>
      </c>
    </row>
    <row r="320" spans="1:8" x14ac:dyDescent="0.25">
      <c r="A320" s="10">
        <v>42248</v>
      </c>
      <c r="B320" s="11">
        <v>71669</v>
      </c>
      <c r="C320" s="11" t="s">
        <v>2</v>
      </c>
      <c r="D320" s="1"/>
      <c r="F320" s="10">
        <v>41548</v>
      </c>
      <c r="G320" s="11">
        <v>8489</v>
      </c>
      <c r="H320" s="11" t="s">
        <v>14</v>
      </c>
    </row>
    <row r="321" spans="1:8" x14ac:dyDescent="0.25">
      <c r="A321" s="10">
        <v>42248</v>
      </c>
      <c r="B321" s="11">
        <v>17182</v>
      </c>
      <c r="C321" s="11" t="s">
        <v>6</v>
      </c>
      <c r="D321" s="1"/>
      <c r="F321" s="10">
        <v>41548</v>
      </c>
      <c r="G321" s="11">
        <v>39145</v>
      </c>
      <c r="H321" s="11" t="s">
        <v>16</v>
      </c>
    </row>
    <row r="322" spans="1:8" x14ac:dyDescent="0.25">
      <c r="A322" s="10">
        <v>42278</v>
      </c>
      <c r="B322" s="11">
        <v>16547</v>
      </c>
      <c r="C322" s="11" t="s">
        <v>6</v>
      </c>
      <c r="D322" s="1"/>
      <c r="F322" s="10">
        <v>41548</v>
      </c>
      <c r="G322" s="11">
        <v>29121</v>
      </c>
      <c r="H322" s="11" t="s">
        <v>15</v>
      </c>
    </row>
    <row r="323" spans="1:8" x14ac:dyDescent="0.25">
      <c r="A323" s="10">
        <v>42278</v>
      </c>
      <c r="B323" s="11">
        <v>69113</v>
      </c>
      <c r="C323" s="11" t="s">
        <v>2</v>
      </c>
      <c r="D323" s="1"/>
      <c r="F323" s="10">
        <v>41579</v>
      </c>
      <c r="G323" s="11">
        <v>6264</v>
      </c>
      <c r="H323" s="11" t="s">
        <v>14</v>
      </c>
    </row>
    <row r="324" spans="1:8" x14ac:dyDescent="0.25">
      <c r="A324" s="10">
        <v>42309</v>
      </c>
      <c r="B324" s="11">
        <v>65422</v>
      </c>
      <c r="C324" s="11" t="s">
        <v>2</v>
      </c>
      <c r="D324" s="1"/>
      <c r="F324" s="10">
        <v>41579</v>
      </c>
      <c r="G324" s="11">
        <v>33360</v>
      </c>
      <c r="H324" s="11" t="s">
        <v>16</v>
      </c>
    </row>
    <row r="325" spans="1:8" x14ac:dyDescent="0.25">
      <c r="A325" s="10">
        <v>42309</v>
      </c>
      <c r="B325" s="11">
        <v>17651</v>
      </c>
      <c r="C325" s="11" t="s">
        <v>6</v>
      </c>
      <c r="D325" s="1"/>
      <c r="F325" s="10">
        <v>41579</v>
      </c>
      <c r="G325" s="11">
        <v>22006</v>
      </c>
      <c r="H325" s="11" t="s">
        <v>15</v>
      </c>
    </row>
    <row r="326" spans="1:8" x14ac:dyDescent="0.25">
      <c r="A326" s="10">
        <v>42339</v>
      </c>
      <c r="B326" s="11">
        <v>18707</v>
      </c>
      <c r="C326" s="11" t="s">
        <v>6</v>
      </c>
      <c r="D326" s="1"/>
      <c r="F326" s="10">
        <v>41609</v>
      </c>
      <c r="G326" s="11">
        <v>22505</v>
      </c>
      <c r="H326" s="11" t="s">
        <v>15</v>
      </c>
    </row>
    <row r="327" spans="1:8" x14ac:dyDescent="0.25">
      <c r="A327" s="10">
        <v>42339</v>
      </c>
      <c r="B327" s="11">
        <v>62442</v>
      </c>
      <c r="C327" s="11" t="s">
        <v>2</v>
      </c>
      <c r="D327" s="1"/>
      <c r="F327" s="10">
        <v>41609</v>
      </c>
      <c r="G327" s="11">
        <v>5421</v>
      </c>
      <c r="H327" s="11" t="s">
        <v>14</v>
      </c>
    </row>
    <row r="328" spans="1:8" x14ac:dyDescent="0.25">
      <c r="A328" s="10">
        <v>42370</v>
      </c>
      <c r="B328" s="11">
        <v>48673</v>
      </c>
      <c r="C328" s="11" t="s">
        <v>2</v>
      </c>
      <c r="D328" s="1"/>
      <c r="F328" s="10">
        <v>41609</v>
      </c>
      <c r="G328" s="11">
        <v>36698</v>
      </c>
      <c r="H328" s="11" t="s">
        <v>16</v>
      </c>
    </row>
    <row r="329" spans="1:8" x14ac:dyDescent="0.25">
      <c r="A329" s="10">
        <v>42370</v>
      </c>
      <c r="B329" s="11">
        <v>16499</v>
      </c>
      <c r="C329" s="11" t="s">
        <v>6</v>
      </c>
      <c r="D329" s="1"/>
      <c r="F329" s="10">
        <v>41640</v>
      </c>
      <c r="G329" s="11">
        <v>36127</v>
      </c>
      <c r="H329" s="11" t="s">
        <v>16</v>
      </c>
    </row>
    <row r="330" spans="1:8" x14ac:dyDescent="0.25">
      <c r="A330" s="10">
        <v>42401</v>
      </c>
      <c r="B330" s="11">
        <v>9702</v>
      </c>
      <c r="C330" s="11" t="s">
        <v>6</v>
      </c>
      <c r="D330" s="1"/>
      <c r="F330" s="10">
        <v>41640</v>
      </c>
      <c r="G330" s="11">
        <v>24289</v>
      </c>
      <c r="H330" s="11" t="s">
        <v>15</v>
      </c>
    </row>
    <row r="331" spans="1:8" x14ac:dyDescent="0.25">
      <c r="A331" s="10">
        <v>42401</v>
      </c>
      <c r="B331" s="11">
        <v>31545</v>
      </c>
      <c r="C331" s="11" t="s">
        <v>2</v>
      </c>
      <c r="D331" s="1"/>
      <c r="F331" s="10">
        <v>41640</v>
      </c>
      <c r="G331" s="11">
        <v>4753</v>
      </c>
      <c r="H331" s="11" t="s">
        <v>14</v>
      </c>
    </row>
    <row r="332" spans="1:8" x14ac:dyDescent="0.25">
      <c r="A332" s="10">
        <v>42430</v>
      </c>
      <c r="B332" s="11">
        <v>660</v>
      </c>
      <c r="C332" s="11" t="s">
        <v>6</v>
      </c>
      <c r="D332" s="1"/>
      <c r="F332" s="10">
        <v>41671</v>
      </c>
      <c r="G332" s="11">
        <v>38048</v>
      </c>
      <c r="H332" s="11" t="s">
        <v>16</v>
      </c>
    </row>
    <row r="333" spans="1:8" x14ac:dyDescent="0.25">
      <c r="A333" s="10">
        <v>42430</v>
      </c>
      <c r="B333" s="11">
        <v>1503</v>
      </c>
      <c r="C333" s="11" t="s">
        <v>2</v>
      </c>
      <c r="D333" s="1"/>
      <c r="F333" s="10">
        <v>41671</v>
      </c>
      <c r="G333" s="11">
        <v>24666</v>
      </c>
      <c r="H333" s="11" t="s">
        <v>15</v>
      </c>
    </row>
    <row r="334" spans="1:8" x14ac:dyDescent="0.25">
      <c r="D334" s="1"/>
      <c r="F334" s="10">
        <v>41671</v>
      </c>
      <c r="G334" s="11">
        <v>4811</v>
      </c>
      <c r="H334" s="11" t="s">
        <v>14</v>
      </c>
    </row>
    <row r="335" spans="1:8" x14ac:dyDescent="0.25">
      <c r="D335" s="1"/>
      <c r="F335" s="10">
        <v>41699</v>
      </c>
      <c r="G335" s="11">
        <v>3966</v>
      </c>
      <c r="H335" s="11" t="s">
        <v>14</v>
      </c>
    </row>
    <row r="336" spans="1:8" x14ac:dyDescent="0.25">
      <c r="D336" s="1"/>
      <c r="F336" s="10">
        <v>41699</v>
      </c>
      <c r="G336" s="11">
        <v>25079</v>
      </c>
      <c r="H336" s="11" t="s">
        <v>16</v>
      </c>
    </row>
    <row r="337" spans="4:8" x14ac:dyDescent="0.25">
      <c r="D337" s="1"/>
      <c r="F337" s="10">
        <v>41699</v>
      </c>
      <c r="G337" s="11">
        <v>17819</v>
      </c>
      <c r="H337" s="11" t="s">
        <v>15</v>
      </c>
    </row>
    <row r="338" spans="4:8" x14ac:dyDescent="0.25">
      <c r="D338" s="1"/>
      <c r="F338" s="10">
        <v>41730</v>
      </c>
      <c r="G338" s="11">
        <v>3315</v>
      </c>
      <c r="H338" s="11" t="s">
        <v>14</v>
      </c>
    </row>
    <row r="339" spans="4:8" x14ac:dyDescent="0.25">
      <c r="D339" s="1"/>
      <c r="F339" s="10">
        <v>41730</v>
      </c>
      <c r="G339" s="11">
        <v>27579</v>
      </c>
      <c r="H339" s="11" t="s">
        <v>16</v>
      </c>
    </row>
    <row r="340" spans="4:8" x14ac:dyDescent="0.25">
      <c r="D340" s="1"/>
      <c r="F340" s="10">
        <v>41730</v>
      </c>
      <c r="G340" s="11">
        <v>16357</v>
      </c>
      <c r="H340" s="11" t="s">
        <v>15</v>
      </c>
    </row>
    <row r="341" spans="4:8" x14ac:dyDescent="0.25">
      <c r="D341" s="1"/>
      <c r="F341" s="10">
        <v>41760</v>
      </c>
      <c r="G341" s="11">
        <v>3393</v>
      </c>
      <c r="H341" s="11" t="s">
        <v>14</v>
      </c>
    </row>
    <row r="342" spans="4:8" x14ac:dyDescent="0.25">
      <c r="D342" s="1"/>
      <c r="F342" s="10">
        <v>41760</v>
      </c>
      <c r="G342" s="11">
        <v>37584</v>
      </c>
      <c r="H342" s="11" t="s">
        <v>16</v>
      </c>
    </row>
    <row r="343" spans="4:8" x14ac:dyDescent="0.25">
      <c r="D343" s="1"/>
      <c r="F343" s="10">
        <v>41760</v>
      </c>
      <c r="G343" s="11">
        <v>20347</v>
      </c>
      <c r="H343" s="11" t="s">
        <v>15</v>
      </c>
    </row>
    <row r="344" spans="4:8" x14ac:dyDescent="0.25">
      <c r="D344" s="1"/>
      <c r="F344" s="10">
        <v>41791</v>
      </c>
      <c r="G344" s="11">
        <v>20043</v>
      </c>
      <c r="H344" s="11" t="s">
        <v>15</v>
      </c>
    </row>
    <row r="345" spans="4:8" x14ac:dyDescent="0.25">
      <c r="D345" s="1"/>
      <c r="F345" s="10">
        <v>41791</v>
      </c>
      <c r="G345" s="11">
        <v>40696</v>
      </c>
      <c r="H345" s="11" t="s">
        <v>16</v>
      </c>
    </row>
    <row r="346" spans="4:8" x14ac:dyDescent="0.25">
      <c r="D346" s="1"/>
      <c r="F346" s="10">
        <v>41791</v>
      </c>
      <c r="G346" s="11">
        <v>3249</v>
      </c>
      <c r="H346" s="11" t="s">
        <v>14</v>
      </c>
    </row>
    <row r="347" spans="4:8" x14ac:dyDescent="0.25">
      <c r="D347" s="1"/>
      <c r="F347" s="10">
        <v>41821</v>
      </c>
      <c r="G347" s="11">
        <v>19257</v>
      </c>
      <c r="H347" s="11" t="s">
        <v>15</v>
      </c>
    </row>
    <row r="348" spans="4:8" x14ac:dyDescent="0.25">
      <c r="D348" s="1"/>
      <c r="F348" s="10">
        <v>41821</v>
      </c>
      <c r="G348" s="11">
        <v>46579</v>
      </c>
      <c r="H348" s="11" t="s">
        <v>16</v>
      </c>
    </row>
    <row r="349" spans="4:8" x14ac:dyDescent="0.25">
      <c r="D349" s="1"/>
      <c r="F349" s="10">
        <v>41821</v>
      </c>
      <c r="G349" s="11">
        <v>2784</v>
      </c>
      <c r="H349" s="11" t="s">
        <v>14</v>
      </c>
    </row>
    <row r="350" spans="4:8" x14ac:dyDescent="0.25">
      <c r="D350" s="1"/>
      <c r="F350" s="10">
        <v>41852</v>
      </c>
      <c r="G350" s="11">
        <v>23862</v>
      </c>
      <c r="H350" s="11" t="s">
        <v>15</v>
      </c>
    </row>
    <row r="351" spans="4:8" x14ac:dyDescent="0.25">
      <c r="D351" s="1"/>
      <c r="F351" s="10">
        <v>41852</v>
      </c>
      <c r="G351" s="11">
        <v>55585</v>
      </c>
      <c r="H351" s="11" t="s">
        <v>16</v>
      </c>
    </row>
    <row r="352" spans="4:8" x14ac:dyDescent="0.25">
      <c r="D352" s="1"/>
      <c r="F352" s="10">
        <v>41852</v>
      </c>
      <c r="G352" s="11">
        <v>2417</v>
      </c>
      <c r="H352" s="11" t="s">
        <v>14</v>
      </c>
    </row>
    <row r="353" spans="4:8" x14ac:dyDescent="0.25">
      <c r="D353" s="1"/>
      <c r="F353" s="10">
        <v>41883</v>
      </c>
      <c r="G353" s="11">
        <v>25411</v>
      </c>
      <c r="H353" s="11" t="s">
        <v>15</v>
      </c>
    </row>
    <row r="354" spans="4:8" x14ac:dyDescent="0.25">
      <c r="D354" s="1"/>
      <c r="F354" s="10">
        <v>41883</v>
      </c>
      <c r="G354" s="11">
        <v>56062</v>
      </c>
      <c r="H354" s="11" t="s">
        <v>16</v>
      </c>
    </row>
    <row r="355" spans="4:8" x14ac:dyDescent="0.25">
      <c r="D355" s="1"/>
      <c r="F355" s="10">
        <v>41883</v>
      </c>
      <c r="G355" s="11">
        <v>2312</v>
      </c>
      <c r="H355" s="11" t="s">
        <v>14</v>
      </c>
    </row>
    <row r="356" spans="4:8" x14ac:dyDescent="0.25">
      <c r="D356" s="1"/>
      <c r="F356" s="10">
        <v>41913</v>
      </c>
      <c r="G356" s="11">
        <v>25865</v>
      </c>
      <c r="H356" s="11" t="s">
        <v>15</v>
      </c>
    </row>
    <row r="357" spans="4:8" x14ac:dyDescent="0.25">
      <c r="D357" s="1"/>
      <c r="F357" s="10">
        <v>41913</v>
      </c>
      <c r="G357" s="11">
        <v>52186</v>
      </c>
      <c r="H357" s="11" t="s">
        <v>16</v>
      </c>
    </row>
    <row r="358" spans="4:8" x14ac:dyDescent="0.25">
      <c r="D358" s="1"/>
      <c r="F358" s="10">
        <v>41913</v>
      </c>
      <c r="G358" s="11">
        <v>2380</v>
      </c>
      <c r="H358" s="11" t="s">
        <v>14</v>
      </c>
    </row>
    <row r="359" spans="4:8" x14ac:dyDescent="0.25">
      <c r="D359" s="1"/>
      <c r="F359" s="10">
        <v>41944</v>
      </c>
      <c r="G359" s="11">
        <v>27846</v>
      </c>
      <c r="H359" s="11" t="s">
        <v>15</v>
      </c>
    </row>
    <row r="360" spans="4:8" x14ac:dyDescent="0.25">
      <c r="D360" s="1"/>
      <c r="F360" s="10">
        <v>41944</v>
      </c>
      <c r="G360" s="11">
        <v>47183</v>
      </c>
      <c r="H360" s="11" t="s">
        <v>16</v>
      </c>
    </row>
    <row r="361" spans="4:8" x14ac:dyDescent="0.25">
      <c r="D361" s="1"/>
      <c r="F361" s="10">
        <v>41944</v>
      </c>
      <c r="G361" s="11">
        <v>2381</v>
      </c>
      <c r="H361" s="11" t="s">
        <v>14</v>
      </c>
    </row>
    <row r="362" spans="4:8" x14ac:dyDescent="0.25">
      <c r="D362" s="1"/>
      <c r="F362" s="10">
        <v>41974</v>
      </c>
      <c r="G362" s="11">
        <v>27876</v>
      </c>
      <c r="H362" s="11" t="s">
        <v>15</v>
      </c>
    </row>
    <row r="363" spans="4:8" x14ac:dyDescent="0.25">
      <c r="D363" s="1"/>
      <c r="F363" s="10">
        <v>41974</v>
      </c>
      <c r="G363" s="11">
        <v>42357</v>
      </c>
      <c r="H363" s="11" t="s">
        <v>16</v>
      </c>
    </row>
    <row r="364" spans="4:8" x14ac:dyDescent="0.25">
      <c r="D364" s="1"/>
      <c r="F364" s="10">
        <v>41974</v>
      </c>
      <c r="G364" s="11">
        <v>2277</v>
      </c>
      <c r="H364" s="11" t="s">
        <v>14</v>
      </c>
    </row>
    <row r="365" spans="4:8" x14ac:dyDescent="0.25">
      <c r="D365" s="1"/>
      <c r="F365" s="10">
        <v>42005</v>
      </c>
      <c r="G365" s="11">
        <v>31217</v>
      </c>
      <c r="H365" s="11" t="s">
        <v>15</v>
      </c>
    </row>
    <row r="366" spans="4:8" x14ac:dyDescent="0.25">
      <c r="D366" s="1"/>
      <c r="F366" s="10">
        <v>42005</v>
      </c>
      <c r="G366" s="11">
        <v>1976</v>
      </c>
      <c r="H366" s="11" t="s">
        <v>14</v>
      </c>
    </row>
    <row r="367" spans="4:8" x14ac:dyDescent="0.25">
      <c r="D367" s="1"/>
      <c r="F367" s="10">
        <v>42005</v>
      </c>
      <c r="G367" s="11">
        <v>35533</v>
      </c>
      <c r="H367" s="11" t="s">
        <v>16</v>
      </c>
    </row>
    <row r="368" spans="4:8" x14ac:dyDescent="0.25">
      <c r="D368" s="1"/>
      <c r="F368" s="10">
        <v>42036</v>
      </c>
      <c r="G368" s="11">
        <v>2128</v>
      </c>
      <c r="H368" s="11" t="s">
        <v>14</v>
      </c>
    </row>
    <row r="369" spans="4:8" x14ac:dyDescent="0.25">
      <c r="D369" s="1"/>
      <c r="F369" s="10">
        <v>42036</v>
      </c>
      <c r="G369" s="11">
        <v>37562</v>
      </c>
      <c r="H369" s="11" t="s">
        <v>16</v>
      </c>
    </row>
    <row r="370" spans="4:8" x14ac:dyDescent="0.25">
      <c r="D370" s="1"/>
      <c r="F370" s="10">
        <v>42036</v>
      </c>
      <c r="G370" s="11">
        <v>31326</v>
      </c>
      <c r="H370" s="11" t="s">
        <v>15</v>
      </c>
    </row>
    <row r="371" spans="4:8" x14ac:dyDescent="0.25">
      <c r="D371" s="1"/>
      <c r="F371" s="10">
        <v>42064</v>
      </c>
      <c r="G371" s="11">
        <v>34316</v>
      </c>
      <c r="H371" s="11" t="s">
        <v>15</v>
      </c>
    </row>
    <row r="372" spans="4:8" x14ac:dyDescent="0.25">
      <c r="D372" s="1"/>
      <c r="F372" s="10">
        <v>42064</v>
      </c>
      <c r="G372" s="11">
        <v>27394</v>
      </c>
      <c r="H372" s="11" t="s">
        <v>16</v>
      </c>
    </row>
    <row r="373" spans="4:8" x14ac:dyDescent="0.25">
      <c r="D373" s="1"/>
      <c r="F373" s="10">
        <v>42064</v>
      </c>
      <c r="G373" s="11">
        <v>1852</v>
      </c>
      <c r="H373" s="11" t="s">
        <v>14</v>
      </c>
    </row>
    <row r="374" spans="4:8" x14ac:dyDescent="0.25">
      <c r="D374" s="1"/>
      <c r="F374" s="10">
        <v>42095</v>
      </c>
      <c r="G374" s="11">
        <v>47748</v>
      </c>
      <c r="H374" s="11" t="s">
        <v>15</v>
      </c>
    </row>
    <row r="375" spans="4:8" x14ac:dyDescent="0.25">
      <c r="D375" s="1"/>
      <c r="F375" s="10">
        <v>42095</v>
      </c>
      <c r="G375" s="11">
        <v>31125</v>
      </c>
      <c r="H375" s="11" t="s">
        <v>16</v>
      </c>
    </row>
    <row r="376" spans="4:8" x14ac:dyDescent="0.25">
      <c r="D376" s="1"/>
      <c r="F376" s="10">
        <v>42095</v>
      </c>
      <c r="G376" s="11">
        <v>1910</v>
      </c>
      <c r="H376" s="11" t="s">
        <v>14</v>
      </c>
    </row>
    <row r="377" spans="4:8" x14ac:dyDescent="0.25">
      <c r="D377" s="1"/>
      <c r="F377" s="10">
        <v>42125</v>
      </c>
      <c r="G377" s="11">
        <v>56240</v>
      </c>
      <c r="H377" s="11" t="s">
        <v>15</v>
      </c>
    </row>
    <row r="378" spans="4:8" x14ac:dyDescent="0.25">
      <c r="D378" s="1"/>
      <c r="F378" s="10">
        <v>42125</v>
      </c>
      <c r="G378" s="11">
        <v>44496</v>
      </c>
      <c r="H378" s="11" t="s">
        <v>16</v>
      </c>
    </row>
    <row r="379" spans="4:8" x14ac:dyDescent="0.25">
      <c r="D379" s="1"/>
      <c r="F379" s="10">
        <v>42125</v>
      </c>
      <c r="G379" s="11">
        <v>2171</v>
      </c>
      <c r="H379" s="11" t="s">
        <v>14</v>
      </c>
    </row>
    <row r="380" spans="4:8" x14ac:dyDescent="0.25">
      <c r="D380" s="1"/>
      <c r="F380" s="10">
        <v>42156</v>
      </c>
      <c r="G380" s="11">
        <v>46647</v>
      </c>
      <c r="H380" s="11" t="s">
        <v>15</v>
      </c>
    </row>
    <row r="381" spans="4:8" x14ac:dyDescent="0.25">
      <c r="D381" s="1"/>
      <c r="F381" s="10">
        <v>42156</v>
      </c>
      <c r="G381" s="11">
        <v>48719</v>
      </c>
      <c r="H381" s="11" t="s">
        <v>16</v>
      </c>
    </row>
    <row r="382" spans="4:8" x14ac:dyDescent="0.25">
      <c r="D382" s="1"/>
      <c r="F382" s="10">
        <v>42156</v>
      </c>
      <c r="G382" s="11">
        <v>2004</v>
      </c>
      <c r="H382" s="11" t="s">
        <v>14</v>
      </c>
    </row>
    <row r="383" spans="4:8" x14ac:dyDescent="0.25">
      <c r="D383" s="1"/>
      <c r="F383" s="10">
        <v>42186</v>
      </c>
      <c r="G383" s="11">
        <v>41493</v>
      </c>
      <c r="H383" s="11" t="s">
        <v>15</v>
      </c>
    </row>
    <row r="384" spans="4:8" x14ac:dyDescent="0.25">
      <c r="D384" s="1"/>
      <c r="F384" s="10">
        <v>42186</v>
      </c>
      <c r="G384" s="11">
        <v>53183</v>
      </c>
      <c r="H384" s="11" t="s">
        <v>16</v>
      </c>
    </row>
    <row r="385" spans="4:8" x14ac:dyDescent="0.25">
      <c r="D385" s="1"/>
      <c r="F385" s="10">
        <v>42186</v>
      </c>
      <c r="G385" s="11">
        <v>1721</v>
      </c>
      <c r="H385" s="11" t="s">
        <v>14</v>
      </c>
    </row>
    <row r="386" spans="4:8" x14ac:dyDescent="0.25">
      <c r="D386" s="1"/>
      <c r="F386" s="10">
        <v>42217</v>
      </c>
      <c r="G386" s="11">
        <v>35576</v>
      </c>
      <c r="H386" s="11" t="s">
        <v>15</v>
      </c>
    </row>
    <row r="387" spans="4:8" x14ac:dyDescent="0.25">
      <c r="D387" s="1"/>
      <c r="F387" s="10">
        <v>42217</v>
      </c>
      <c r="G387" s="11">
        <v>57280</v>
      </c>
      <c r="H387" s="11" t="s">
        <v>16</v>
      </c>
    </row>
    <row r="388" spans="4:8" x14ac:dyDescent="0.25">
      <c r="D388" s="1"/>
      <c r="F388" s="10">
        <v>42217</v>
      </c>
      <c r="G388" s="11">
        <v>1641</v>
      </c>
      <c r="H388" s="11" t="s">
        <v>14</v>
      </c>
    </row>
    <row r="389" spans="4:8" x14ac:dyDescent="0.25">
      <c r="D389" s="1"/>
      <c r="F389" s="10">
        <v>42248</v>
      </c>
      <c r="G389" s="11">
        <v>30754</v>
      </c>
      <c r="H389" s="11" t="s">
        <v>15</v>
      </c>
    </row>
    <row r="390" spans="4:8" x14ac:dyDescent="0.25">
      <c r="D390" s="1"/>
      <c r="F390" s="10">
        <v>42248</v>
      </c>
      <c r="G390" s="11">
        <v>56626</v>
      </c>
      <c r="H390" s="11" t="s">
        <v>16</v>
      </c>
    </row>
    <row r="391" spans="4:8" x14ac:dyDescent="0.25">
      <c r="D391" s="1"/>
      <c r="F391" s="10">
        <v>42248</v>
      </c>
      <c r="G391" s="11">
        <v>1471</v>
      </c>
      <c r="H391" s="11" t="s">
        <v>14</v>
      </c>
    </row>
    <row r="392" spans="4:8" x14ac:dyDescent="0.25">
      <c r="D392" s="1"/>
      <c r="F392" s="10">
        <v>42278</v>
      </c>
      <c r="G392" s="11">
        <v>29556</v>
      </c>
      <c r="H392" s="11" t="s">
        <v>15</v>
      </c>
    </row>
    <row r="393" spans="4:8" x14ac:dyDescent="0.25">
      <c r="D393" s="1"/>
      <c r="F393" s="10">
        <v>42278</v>
      </c>
      <c r="G393" s="11">
        <v>54606</v>
      </c>
      <c r="H393" s="11" t="s">
        <v>16</v>
      </c>
    </row>
    <row r="394" spans="4:8" x14ac:dyDescent="0.25">
      <c r="D394" s="1"/>
      <c r="F394" s="10">
        <v>42278</v>
      </c>
      <c r="G394" s="11">
        <v>1498</v>
      </c>
      <c r="H394" s="11" t="s">
        <v>14</v>
      </c>
    </row>
    <row r="395" spans="4:8" x14ac:dyDescent="0.25">
      <c r="D395" s="1"/>
      <c r="F395" s="10">
        <v>42309</v>
      </c>
      <c r="G395" s="11">
        <v>50002</v>
      </c>
      <c r="H395" s="11" t="s">
        <v>16</v>
      </c>
    </row>
    <row r="396" spans="4:8" x14ac:dyDescent="0.25">
      <c r="D396" s="1"/>
      <c r="F396" s="10">
        <v>42309</v>
      </c>
      <c r="G396" s="11">
        <v>1459</v>
      </c>
      <c r="H396" s="11" t="s">
        <v>14</v>
      </c>
    </row>
    <row r="397" spans="4:8" x14ac:dyDescent="0.25">
      <c r="D397" s="1"/>
      <c r="F397" s="10">
        <v>42309</v>
      </c>
      <c r="G397" s="11">
        <v>31612</v>
      </c>
      <c r="H397" s="11" t="s">
        <v>15</v>
      </c>
    </row>
    <row r="398" spans="4:8" x14ac:dyDescent="0.25">
      <c r="D398" s="1"/>
      <c r="F398" s="10">
        <v>42339</v>
      </c>
      <c r="G398" s="11">
        <v>1372</v>
      </c>
      <c r="H398" s="11" t="s">
        <v>14</v>
      </c>
    </row>
    <row r="399" spans="4:8" x14ac:dyDescent="0.25">
      <c r="D399" s="1"/>
      <c r="F399" s="10">
        <v>42339</v>
      </c>
      <c r="G399" s="11">
        <v>46145</v>
      </c>
      <c r="H399" s="11" t="s">
        <v>16</v>
      </c>
    </row>
    <row r="400" spans="4:8" x14ac:dyDescent="0.25">
      <c r="D400" s="1"/>
      <c r="F400" s="10">
        <v>42339</v>
      </c>
      <c r="G400" s="11">
        <v>33632</v>
      </c>
      <c r="H400" s="11" t="s">
        <v>15</v>
      </c>
    </row>
    <row r="401" spans="4:8" x14ac:dyDescent="0.25">
      <c r="D401" s="1"/>
      <c r="F401" s="10">
        <v>42370</v>
      </c>
      <c r="G401" s="11">
        <v>29438</v>
      </c>
      <c r="H401" s="11" t="s">
        <v>15</v>
      </c>
    </row>
    <row r="402" spans="4:8" x14ac:dyDescent="0.25">
      <c r="D402" s="1"/>
      <c r="F402" s="10">
        <v>42370</v>
      </c>
      <c r="G402" s="11">
        <v>1041</v>
      </c>
      <c r="H402" s="11" t="s">
        <v>14</v>
      </c>
    </row>
    <row r="403" spans="4:8" x14ac:dyDescent="0.25">
      <c r="D403" s="1"/>
      <c r="F403" s="10">
        <v>42370</v>
      </c>
      <c r="G403" s="11">
        <v>34693</v>
      </c>
      <c r="H403" s="11" t="s">
        <v>16</v>
      </c>
    </row>
    <row r="404" spans="4:8" x14ac:dyDescent="0.25">
      <c r="D404" s="1"/>
      <c r="F404" s="10">
        <v>42401</v>
      </c>
      <c r="G404" s="11">
        <v>780</v>
      </c>
      <c r="H404" s="11" t="s">
        <v>14</v>
      </c>
    </row>
    <row r="405" spans="4:8" x14ac:dyDescent="0.25">
      <c r="D405" s="1"/>
      <c r="F405" s="10">
        <v>42401</v>
      </c>
      <c r="G405" s="11">
        <v>22945</v>
      </c>
      <c r="H405" s="11" t="s">
        <v>16</v>
      </c>
    </row>
    <row r="406" spans="4:8" x14ac:dyDescent="0.25">
      <c r="D406" s="1"/>
      <c r="F406" s="10">
        <v>42401</v>
      </c>
      <c r="G406" s="11">
        <v>17522</v>
      </c>
      <c r="H406" s="11" t="s">
        <v>15</v>
      </c>
    </row>
    <row r="407" spans="4:8" x14ac:dyDescent="0.25">
      <c r="D407" s="1"/>
      <c r="F407" s="10">
        <v>42430</v>
      </c>
      <c r="G407" s="11">
        <v>77</v>
      </c>
      <c r="H407" s="11" t="s">
        <v>14</v>
      </c>
    </row>
    <row r="408" spans="4:8" x14ac:dyDescent="0.25">
      <c r="D408" s="1"/>
      <c r="F408" s="10">
        <v>42430</v>
      </c>
      <c r="G408" s="11">
        <v>914</v>
      </c>
      <c r="H408" s="11" t="s">
        <v>16</v>
      </c>
    </row>
    <row r="409" spans="4:8" x14ac:dyDescent="0.25">
      <c r="D409" s="1"/>
      <c r="F409" s="10">
        <v>42430</v>
      </c>
      <c r="G409" s="11">
        <v>1172</v>
      </c>
      <c r="H409" s="11" t="s">
        <v>15</v>
      </c>
    </row>
    <row r="410" spans="4:8" x14ac:dyDescent="0.25">
      <c r="D410" s="1"/>
    </row>
    <row r="411" spans="4:8" x14ac:dyDescent="0.25">
      <c r="D411" s="1"/>
    </row>
    <row r="412" spans="4:8" x14ac:dyDescent="0.25">
      <c r="D412" s="1"/>
    </row>
    <row r="413" spans="4:8" x14ac:dyDescent="0.25">
      <c r="D413" s="1"/>
    </row>
    <row r="414" spans="4:8" x14ac:dyDescent="0.25">
      <c r="D414" s="1"/>
    </row>
    <row r="415" spans="4:8" x14ac:dyDescent="0.25">
      <c r="D415" s="1"/>
    </row>
    <row r="416" spans="4:8" x14ac:dyDescent="0.25">
      <c r="D416" s="1"/>
    </row>
    <row r="417" spans="4:4" x14ac:dyDescent="0.25">
      <c r="D417" s="1"/>
    </row>
    <row r="418" spans="4:4" x14ac:dyDescent="0.25">
      <c r="D418" s="1"/>
    </row>
    <row r="419" spans="4:4" x14ac:dyDescent="0.25">
      <c r="D419" s="1"/>
    </row>
    <row r="420" spans="4:4" x14ac:dyDescent="0.25">
      <c r="D420" s="1"/>
    </row>
    <row r="421" spans="4:4" x14ac:dyDescent="0.25">
      <c r="D421" s="1"/>
    </row>
    <row r="422" spans="4:4" x14ac:dyDescent="0.25">
      <c r="D422" s="1"/>
    </row>
    <row r="423" spans="4:4" x14ac:dyDescent="0.25">
      <c r="D423" s="1"/>
    </row>
    <row r="424" spans="4:4" x14ac:dyDescent="0.25">
      <c r="D424" s="1"/>
    </row>
    <row r="425" spans="4:4" x14ac:dyDescent="0.25">
      <c r="D425" s="1"/>
    </row>
    <row r="426" spans="4:4" x14ac:dyDescent="0.25">
      <c r="D426" s="1"/>
    </row>
    <row r="427" spans="4:4" x14ac:dyDescent="0.25">
      <c r="D427" s="1"/>
    </row>
    <row r="428" spans="4:4" x14ac:dyDescent="0.25">
      <c r="D428" s="1"/>
    </row>
    <row r="429" spans="4:4" x14ac:dyDescent="0.25">
      <c r="D429" s="1"/>
    </row>
    <row r="430" spans="4:4" x14ac:dyDescent="0.25">
      <c r="D430" s="1"/>
    </row>
    <row r="431" spans="4:4" x14ac:dyDescent="0.25">
      <c r="D431" s="1"/>
    </row>
    <row r="432" spans="4:4" x14ac:dyDescent="0.25">
      <c r="D432" s="1"/>
    </row>
    <row r="433" spans="4:4" x14ac:dyDescent="0.25">
      <c r="D433" s="1"/>
    </row>
    <row r="434" spans="4:4" x14ac:dyDescent="0.25">
      <c r="D434" s="1"/>
    </row>
    <row r="435" spans="4:4" x14ac:dyDescent="0.25">
      <c r="D435" s="1"/>
    </row>
    <row r="436" spans="4:4" x14ac:dyDescent="0.25">
      <c r="D436" s="1"/>
    </row>
    <row r="437" spans="4:4" x14ac:dyDescent="0.25">
      <c r="D437" s="1"/>
    </row>
    <row r="438" spans="4:4" x14ac:dyDescent="0.25">
      <c r="D438" s="1"/>
    </row>
    <row r="439" spans="4:4" x14ac:dyDescent="0.25">
      <c r="D439" s="1"/>
    </row>
    <row r="440" spans="4:4" x14ac:dyDescent="0.25">
      <c r="D440" s="1"/>
    </row>
    <row r="441" spans="4:4" x14ac:dyDescent="0.25">
      <c r="D441" s="1"/>
    </row>
    <row r="442" spans="4:4" x14ac:dyDescent="0.25">
      <c r="D442" s="1"/>
    </row>
    <row r="443" spans="4:4" x14ac:dyDescent="0.25">
      <c r="D443" s="1"/>
    </row>
    <row r="444" spans="4:4" x14ac:dyDescent="0.25">
      <c r="D444" s="1"/>
    </row>
    <row r="445" spans="4:4" x14ac:dyDescent="0.25">
      <c r="D445" s="1"/>
    </row>
    <row r="446" spans="4:4" x14ac:dyDescent="0.25">
      <c r="D446" s="1"/>
    </row>
    <row r="447" spans="4:4" x14ac:dyDescent="0.25">
      <c r="D447" s="1"/>
    </row>
    <row r="448" spans="4:4" x14ac:dyDescent="0.25">
      <c r="D448" s="1"/>
    </row>
    <row r="449" spans="4:4" x14ac:dyDescent="0.25">
      <c r="D449" s="1"/>
    </row>
    <row r="450" spans="4:4" x14ac:dyDescent="0.25">
      <c r="D450" s="1"/>
    </row>
    <row r="451" spans="4:4" x14ac:dyDescent="0.25">
      <c r="D451" s="1"/>
    </row>
    <row r="452" spans="4:4" x14ac:dyDescent="0.25">
      <c r="D452" s="1"/>
    </row>
    <row r="453" spans="4:4" x14ac:dyDescent="0.25">
      <c r="D453" s="1"/>
    </row>
    <row r="454" spans="4:4" x14ac:dyDescent="0.25">
      <c r="D454" s="1"/>
    </row>
    <row r="455" spans="4:4" x14ac:dyDescent="0.25">
      <c r="D455" s="1"/>
    </row>
    <row r="456" spans="4:4" x14ac:dyDescent="0.25">
      <c r="D456" s="1"/>
    </row>
    <row r="457" spans="4:4" x14ac:dyDescent="0.25">
      <c r="D457" s="1"/>
    </row>
    <row r="458" spans="4:4" x14ac:dyDescent="0.25">
      <c r="D458" s="1"/>
    </row>
    <row r="459" spans="4:4" x14ac:dyDescent="0.25">
      <c r="D459" s="1"/>
    </row>
    <row r="460" spans="4:4" x14ac:dyDescent="0.25">
      <c r="D460" s="1"/>
    </row>
    <row r="461" spans="4:4" x14ac:dyDescent="0.25">
      <c r="D461" s="1"/>
    </row>
    <row r="462" spans="4:4" x14ac:dyDescent="0.25">
      <c r="D462" s="1"/>
    </row>
    <row r="463" spans="4:4" x14ac:dyDescent="0.25">
      <c r="D463" s="1"/>
    </row>
    <row r="464" spans="4:4" x14ac:dyDescent="0.25">
      <c r="D464" s="1"/>
    </row>
    <row r="465" spans="4:4" x14ac:dyDescent="0.25">
      <c r="D465" s="1"/>
    </row>
    <row r="466" spans="4:4" x14ac:dyDescent="0.25">
      <c r="D466" s="1"/>
    </row>
    <row r="467" spans="4:4" x14ac:dyDescent="0.25">
      <c r="D467" s="1"/>
    </row>
    <row r="468" spans="4:4" x14ac:dyDescent="0.25">
      <c r="D468" s="1"/>
    </row>
    <row r="469" spans="4:4" x14ac:dyDescent="0.25">
      <c r="D469" s="1"/>
    </row>
    <row r="470" spans="4:4" x14ac:dyDescent="0.25">
      <c r="D470" s="1"/>
    </row>
    <row r="471" spans="4:4" x14ac:dyDescent="0.25">
      <c r="D471" s="1"/>
    </row>
    <row r="472" spans="4:4" x14ac:dyDescent="0.25">
      <c r="D472" s="1"/>
    </row>
    <row r="473" spans="4:4" x14ac:dyDescent="0.25">
      <c r="D473" s="1"/>
    </row>
    <row r="474" spans="4:4" x14ac:dyDescent="0.25">
      <c r="D474" s="1"/>
    </row>
    <row r="475" spans="4:4" x14ac:dyDescent="0.25">
      <c r="D475" s="1"/>
    </row>
    <row r="476" spans="4:4" x14ac:dyDescent="0.25">
      <c r="D476" s="1"/>
    </row>
    <row r="477" spans="4:4" x14ac:dyDescent="0.25">
      <c r="D477" s="1"/>
    </row>
    <row r="478" spans="4:4" x14ac:dyDescent="0.25">
      <c r="D478" s="1"/>
    </row>
    <row r="479" spans="4:4" x14ac:dyDescent="0.25">
      <c r="D479" s="1"/>
    </row>
    <row r="480" spans="4:4" x14ac:dyDescent="0.25">
      <c r="D480" s="1"/>
    </row>
    <row r="481" spans="4:4" x14ac:dyDescent="0.25">
      <c r="D481" s="1"/>
    </row>
    <row r="482" spans="4:4" x14ac:dyDescent="0.25">
      <c r="D482" s="1"/>
    </row>
    <row r="483" spans="4:4" x14ac:dyDescent="0.25">
      <c r="D483" s="1"/>
    </row>
    <row r="484" spans="4:4" x14ac:dyDescent="0.25">
      <c r="D484" s="1"/>
    </row>
    <row r="485" spans="4:4" x14ac:dyDescent="0.25">
      <c r="D485" s="1"/>
    </row>
    <row r="486" spans="4:4" x14ac:dyDescent="0.25">
      <c r="D486" s="1"/>
    </row>
    <row r="487" spans="4:4" x14ac:dyDescent="0.25">
      <c r="D487" s="1"/>
    </row>
    <row r="488" spans="4:4" x14ac:dyDescent="0.25">
      <c r="D488" s="1"/>
    </row>
    <row r="489" spans="4:4" x14ac:dyDescent="0.25">
      <c r="D489" s="1"/>
    </row>
    <row r="490" spans="4:4" x14ac:dyDescent="0.25">
      <c r="D490" s="1"/>
    </row>
    <row r="491" spans="4:4" x14ac:dyDescent="0.25">
      <c r="D491" s="1"/>
    </row>
    <row r="492" spans="4:4" x14ac:dyDescent="0.25">
      <c r="D492" s="1"/>
    </row>
    <row r="493" spans="4:4" x14ac:dyDescent="0.25">
      <c r="D493" s="1"/>
    </row>
    <row r="494" spans="4:4" x14ac:dyDescent="0.25">
      <c r="D494" s="1"/>
    </row>
    <row r="495" spans="4:4" x14ac:dyDescent="0.25">
      <c r="D495" s="1"/>
    </row>
    <row r="496" spans="4:4" x14ac:dyDescent="0.25">
      <c r="D496" s="1"/>
    </row>
    <row r="497" spans="4:4" x14ac:dyDescent="0.25">
      <c r="D497" s="1"/>
    </row>
    <row r="498" spans="4:4" x14ac:dyDescent="0.25">
      <c r="D498" s="1"/>
    </row>
    <row r="499" spans="4:4" x14ac:dyDescent="0.25">
      <c r="D499" s="1"/>
    </row>
    <row r="500" spans="4:4" x14ac:dyDescent="0.25">
      <c r="D500" s="1"/>
    </row>
    <row r="501" spans="4:4" x14ac:dyDescent="0.25">
      <c r="D501" s="1"/>
    </row>
    <row r="502" spans="4:4" x14ac:dyDescent="0.25">
      <c r="D502" s="1"/>
    </row>
    <row r="503" spans="4:4" x14ac:dyDescent="0.25">
      <c r="D503" s="1"/>
    </row>
    <row r="504" spans="4:4" x14ac:dyDescent="0.25">
      <c r="D504" s="1"/>
    </row>
    <row r="505" spans="4:4" x14ac:dyDescent="0.25">
      <c r="D505" s="1"/>
    </row>
    <row r="506" spans="4:4" x14ac:dyDescent="0.25">
      <c r="D506" s="1"/>
    </row>
    <row r="507" spans="4:4" x14ac:dyDescent="0.25">
      <c r="D507" s="1"/>
    </row>
    <row r="508" spans="4:4" x14ac:dyDescent="0.25">
      <c r="D508" s="1"/>
    </row>
    <row r="509" spans="4:4" x14ac:dyDescent="0.25">
      <c r="D509" s="1"/>
    </row>
    <row r="510" spans="4:4" x14ac:dyDescent="0.25">
      <c r="D510" s="1"/>
    </row>
    <row r="511" spans="4:4" x14ac:dyDescent="0.25">
      <c r="D511" s="1"/>
    </row>
    <row r="512" spans="4:4" x14ac:dyDescent="0.25">
      <c r="D512" s="1"/>
    </row>
    <row r="513" spans="4:4" x14ac:dyDescent="0.25">
      <c r="D513" s="1"/>
    </row>
    <row r="514" spans="4:4" x14ac:dyDescent="0.25">
      <c r="D514" s="1"/>
    </row>
    <row r="515" spans="4:4" x14ac:dyDescent="0.25">
      <c r="D515" s="1"/>
    </row>
    <row r="516" spans="4:4" x14ac:dyDescent="0.25">
      <c r="D516" s="1"/>
    </row>
    <row r="517" spans="4:4" x14ac:dyDescent="0.25">
      <c r="D517" s="1"/>
    </row>
    <row r="518" spans="4:4" x14ac:dyDescent="0.25">
      <c r="D518" s="1"/>
    </row>
    <row r="519" spans="4:4" x14ac:dyDescent="0.25">
      <c r="D519" s="1"/>
    </row>
    <row r="520" spans="4:4" x14ac:dyDescent="0.25">
      <c r="D520" s="1"/>
    </row>
    <row r="521" spans="4:4" x14ac:dyDescent="0.25">
      <c r="D521" s="1"/>
    </row>
    <row r="522" spans="4:4" x14ac:dyDescent="0.25">
      <c r="D522" s="1"/>
    </row>
    <row r="523" spans="4:4" x14ac:dyDescent="0.25">
      <c r="D523" s="1"/>
    </row>
    <row r="524" spans="4:4" x14ac:dyDescent="0.25">
      <c r="D524" s="1"/>
    </row>
    <row r="525" spans="4:4" x14ac:dyDescent="0.25">
      <c r="D525" s="1"/>
    </row>
    <row r="526" spans="4:4" x14ac:dyDescent="0.25">
      <c r="D526" s="1"/>
    </row>
    <row r="527" spans="4:4" x14ac:dyDescent="0.25">
      <c r="D527" s="1"/>
    </row>
    <row r="528" spans="4:4" x14ac:dyDescent="0.25">
      <c r="D528" s="1"/>
    </row>
    <row r="529" spans="4:4" x14ac:dyDescent="0.25">
      <c r="D529" s="1"/>
    </row>
    <row r="530" spans="4:4" x14ac:dyDescent="0.25">
      <c r="D530" s="1"/>
    </row>
    <row r="531" spans="4:4" x14ac:dyDescent="0.25">
      <c r="D531" s="1"/>
    </row>
    <row r="532" spans="4:4" x14ac:dyDescent="0.25">
      <c r="D532" s="1"/>
    </row>
    <row r="533" spans="4:4" x14ac:dyDescent="0.25">
      <c r="D533" s="1"/>
    </row>
    <row r="534" spans="4:4" x14ac:dyDescent="0.25">
      <c r="D534" s="1"/>
    </row>
    <row r="535" spans="4:4" x14ac:dyDescent="0.25">
      <c r="D535" s="1"/>
    </row>
    <row r="536" spans="4:4" x14ac:dyDescent="0.25">
      <c r="D536" s="1"/>
    </row>
    <row r="537" spans="4:4" x14ac:dyDescent="0.25">
      <c r="D537" s="1"/>
    </row>
    <row r="538" spans="4:4" x14ac:dyDescent="0.25">
      <c r="D538" s="1"/>
    </row>
    <row r="539" spans="4:4" x14ac:dyDescent="0.25">
      <c r="D539" s="1"/>
    </row>
    <row r="540" spans="4:4" x14ac:dyDescent="0.25">
      <c r="D540" s="1"/>
    </row>
    <row r="541" spans="4:4" x14ac:dyDescent="0.25">
      <c r="D541" s="1"/>
    </row>
    <row r="542" spans="4:4" x14ac:dyDescent="0.25">
      <c r="D542" s="1"/>
    </row>
    <row r="543" spans="4:4" x14ac:dyDescent="0.25">
      <c r="D543" s="1"/>
    </row>
    <row r="544" spans="4:4" x14ac:dyDescent="0.25">
      <c r="D544" s="1"/>
    </row>
    <row r="545" spans="4:4" x14ac:dyDescent="0.25">
      <c r="D545" s="1"/>
    </row>
    <row r="546" spans="4:4" x14ac:dyDescent="0.25">
      <c r="D546" s="1"/>
    </row>
    <row r="547" spans="4:4" x14ac:dyDescent="0.25">
      <c r="D547" s="1"/>
    </row>
    <row r="548" spans="4:4" x14ac:dyDescent="0.25">
      <c r="D548" s="1"/>
    </row>
    <row r="549" spans="4:4" x14ac:dyDescent="0.25">
      <c r="D549" s="1"/>
    </row>
    <row r="550" spans="4:4" x14ac:dyDescent="0.25">
      <c r="D550" s="1"/>
    </row>
    <row r="551" spans="4:4" x14ac:dyDescent="0.25">
      <c r="D551" s="1"/>
    </row>
    <row r="552" spans="4:4" x14ac:dyDescent="0.25">
      <c r="D552" s="1"/>
    </row>
    <row r="553" spans="4:4" x14ac:dyDescent="0.25">
      <c r="D553" s="1"/>
    </row>
    <row r="554" spans="4:4" x14ac:dyDescent="0.25">
      <c r="D554" s="1"/>
    </row>
    <row r="555" spans="4:4" x14ac:dyDescent="0.25">
      <c r="D555" s="1"/>
    </row>
    <row r="556" spans="4:4" x14ac:dyDescent="0.25">
      <c r="D556" s="1"/>
    </row>
    <row r="557" spans="4:4" x14ac:dyDescent="0.25">
      <c r="D557" s="1"/>
    </row>
    <row r="558" spans="4:4" x14ac:dyDescent="0.25">
      <c r="D558" s="1"/>
    </row>
    <row r="559" spans="4:4" x14ac:dyDescent="0.25">
      <c r="D559" s="1"/>
    </row>
    <row r="560" spans="4:4" x14ac:dyDescent="0.25">
      <c r="D560" s="1"/>
    </row>
    <row r="561" spans="4:4" x14ac:dyDescent="0.25">
      <c r="D561" s="1"/>
    </row>
    <row r="562" spans="4:4" x14ac:dyDescent="0.25">
      <c r="D562" s="1"/>
    </row>
    <row r="563" spans="4:4" x14ac:dyDescent="0.25">
      <c r="D563" s="1"/>
    </row>
    <row r="564" spans="4:4" x14ac:dyDescent="0.25">
      <c r="D564" s="1"/>
    </row>
    <row r="565" spans="4:4" x14ac:dyDescent="0.25">
      <c r="D565" s="1"/>
    </row>
    <row r="566" spans="4:4" x14ac:dyDescent="0.25">
      <c r="D566" s="1"/>
    </row>
    <row r="567" spans="4:4" x14ac:dyDescent="0.25">
      <c r="D567" s="1"/>
    </row>
    <row r="568" spans="4:4" x14ac:dyDescent="0.25">
      <c r="D568" s="1"/>
    </row>
    <row r="569" spans="4:4" x14ac:dyDescent="0.25">
      <c r="D569" s="1"/>
    </row>
    <row r="570" spans="4:4" x14ac:dyDescent="0.25">
      <c r="D570" s="1"/>
    </row>
    <row r="571" spans="4:4" x14ac:dyDescent="0.25">
      <c r="D571" s="1"/>
    </row>
    <row r="572" spans="4:4" x14ac:dyDescent="0.25">
      <c r="D572" s="1"/>
    </row>
    <row r="573" spans="4:4" x14ac:dyDescent="0.25">
      <c r="D573" s="1"/>
    </row>
    <row r="574" spans="4:4" x14ac:dyDescent="0.25">
      <c r="D574" s="1"/>
    </row>
    <row r="575" spans="4:4" x14ac:dyDescent="0.25">
      <c r="D575" s="1"/>
    </row>
    <row r="576" spans="4:4" x14ac:dyDescent="0.25">
      <c r="D576" s="1"/>
    </row>
    <row r="577" spans="4:4" x14ac:dyDescent="0.25">
      <c r="D577" s="1"/>
    </row>
    <row r="578" spans="4:4" x14ac:dyDescent="0.25">
      <c r="D578" s="1"/>
    </row>
    <row r="579" spans="4:4" x14ac:dyDescent="0.25">
      <c r="D579" s="1"/>
    </row>
    <row r="580" spans="4:4" x14ac:dyDescent="0.25">
      <c r="D580" s="1"/>
    </row>
    <row r="581" spans="4:4" x14ac:dyDescent="0.25">
      <c r="D581" s="1"/>
    </row>
    <row r="582" spans="4:4" x14ac:dyDescent="0.25">
      <c r="D582" s="1"/>
    </row>
    <row r="583" spans="4:4" x14ac:dyDescent="0.25">
      <c r="D583" s="1"/>
    </row>
    <row r="584" spans="4:4" x14ac:dyDescent="0.25">
      <c r="D584" s="1"/>
    </row>
    <row r="585" spans="4:4" x14ac:dyDescent="0.25">
      <c r="D585" s="1"/>
    </row>
    <row r="586" spans="4:4" x14ac:dyDescent="0.25">
      <c r="D586" s="1"/>
    </row>
    <row r="587" spans="4:4" x14ac:dyDescent="0.25">
      <c r="D587" s="1"/>
    </row>
    <row r="588" spans="4:4" x14ac:dyDescent="0.25">
      <c r="D588" s="1"/>
    </row>
    <row r="589" spans="4:4" x14ac:dyDescent="0.25">
      <c r="D589" s="1"/>
    </row>
    <row r="590" spans="4:4" x14ac:dyDescent="0.25">
      <c r="D590" s="1"/>
    </row>
    <row r="591" spans="4:4" x14ac:dyDescent="0.25">
      <c r="D591" s="1"/>
    </row>
    <row r="592" spans="4:4" x14ac:dyDescent="0.25">
      <c r="D592" s="1"/>
    </row>
    <row r="593" spans="4:4" x14ac:dyDescent="0.25">
      <c r="D593" s="1"/>
    </row>
    <row r="594" spans="4:4" x14ac:dyDescent="0.25">
      <c r="D594" s="1"/>
    </row>
    <row r="595" spans="4:4" x14ac:dyDescent="0.25">
      <c r="D595" s="1"/>
    </row>
    <row r="596" spans="4:4" x14ac:dyDescent="0.25">
      <c r="D596" s="1"/>
    </row>
    <row r="597" spans="4:4" x14ac:dyDescent="0.25">
      <c r="D597" s="1"/>
    </row>
    <row r="598" spans="4:4" x14ac:dyDescent="0.25">
      <c r="D598" s="1"/>
    </row>
    <row r="599" spans="4:4" x14ac:dyDescent="0.25">
      <c r="D599" s="1"/>
    </row>
    <row r="600" spans="4:4" x14ac:dyDescent="0.25">
      <c r="D600" s="1"/>
    </row>
    <row r="601" spans="4:4" x14ac:dyDescent="0.25">
      <c r="D601" s="1"/>
    </row>
    <row r="602" spans="4:4" x14ac:dyDescent="0.25">
      <c r="D602" s="1"/>
    </row>
    <row r="603" spans="4:4" x14ac:dyDescent="0.25">
      <c r="D603" s="1"/>
    </row>
    <row r="604" spans="4:4" x14ac:dyDescent="0.25">
      <c r="D604" s="1"/>
    </row>
    <row r="605" spans="4:4" x14ac:dyDescent="0.25">
      <c r="D605" s="1"/>
    </row>
    <row r="606" spans="4:4" x14ac:dyDescent="0.25">
      <c r="D606" s="1"/>
    </row>
    <row r="607" spans="4:4" x14ac:dyDescent="0.25">
      <c r="D607" s="1"/>
    </row>
    <row r="608" spans="4:4" x14ac:dyDescent="0.25">
      <c r="D608" s="1"/>
    </row>
    <row r="609" spans="4:4" x14ac:dyDescent="0.25">
      <c r="D609" s="1"/>
    </row>
    <row r="610" spans="4:4" x14ac:dyDescent="0.25">
      <c r="D610" s="1"/>
    </row>
    <row r="611" spans="4:4" x14ac:dyDescent="0.25">
      <c r="D611" s="1"/>
    </row>
    <row r="612" spans="4:4" x14ac:dyDescent="0.25">
      <c r="D612" s="1"/>
    </row>
    <row r="613" spans="4:4" x14ac:dyDescent="0.25">
      <c r="D613" s="1"/>
    </row>
    <row r="614" spans="4:4" x14ac:dyDescent="0.25">
      <c r="D614" s="1"/>
    </row>
    <row r="615" spans="4:4" x14ac:dyDescent="0.25">
      <c r="D615" s="1"/>
    </row>
    <row r="616" spans="4:4" x14ac:dyDescent="0.25">
      <c r="D616" s="1"/>
    </row>
    <row r="617" spans="4:4" x14ac:dyDescent="0.25">
      <c r="D617" s="1"/>
    </row>
    <row r="618" spans="4:4" x14ac:dyDescent="0.25">
      <c r="D618" s="1"/>
    </row>
    <row r="619" spans="4:4" x14ac:dyDescent="0.25">
      <c r="D619" s="1"/>
    </row>
    <row r="620" spans="4:4" x14ac:dyDescent="0.25">
      <c r="D620" s="1"/>
    </row>
    <row r="621" spans="4:4" x14ac:dyDescent="0.25">
      <c r="D621" s="1"/>
    </row>
    <row r="622" spans="4:4" x14ac:dyDescent="0.25">
      <c r="D622" s="1"/>
    </row>
    <row r="623" spans="4:4" x14ac:dyDescent="0.25">
      <c r="D623" s="1"/>
    </row>
    <row r="624" spans="4:4" x14ac:dyDescent="0.25">
      <c r="D624" s="1"/>
    </row>
    <row r="625" spans="4:4" x14ac:dyDescent="0.25">
      <c r="D625" s="1"/>
    </row>
    <row r="626" spans="4:4" x14ac:dyDescent="0.25">
      <c r="D626" s="1"/>
    </row>
    <row r="627" spans="4:4" x14ac:dyDescent="0.25">
      <c r="D627" s="1"/>
    </row>
    <row r="628" spans="4:4" x14ac:dyDescent="0.25">
      <c r="D628" s="1"/>
    </row>
    <row r="629" spans="4:4" x14ac:dyDescent="0.25">
      <c r="D629" s="1"/>
    </row>
    <row r="630" spans="4:4" x14ac:dyDescent="0.25">
      <c r="D630" s="1"/>
    </row>
    <row r="631" spans="4:4" x14ac:dyDescent="0.25">
      <c r="D631" s="1"/>
    </row>
    <row r="632" spans="4:4" x14ac:dyDescent="0.25">
      <c r="D632" s="1"/>
    </row>
    <row r="633" spans="4:4" x14ac:dyDescent="0.25">
      <c r="D633" s="1"/>
    </row>
    <row r="634" spans="4:4" x14ac:dyDescent="0.25">
      <c r="D634" s="1"/>
    </row>
    <row r="635" spans="4:4" x14ac:dyDescent="0.25">
      <c r="D635" s="1"/>
    </row>
    <row r="636" spans="4:4" x14ac:dyDescent="0.25">
      <c r="D636" s="1"/>
    </row>
    <row r="637" spans="4:4" x14ac:dyDescent="0.25">
      <c r="D637" s="1"/>
    </row>
    <row r="638" spans="4:4" x14ac:dyDescent="0.25">
      <c r="D638" s="1"/>
    </row>
    <row r="639" spans="4:4" x14ac:dyDescent="0.25">
      <c r="D639" s="1"/>
    </row>
    <row r="640" spans="4:4" x14ac:dyDescent="0.25">
      <c r="D640" s="1"/>
    </row>
    <row r="641" spans="4:4" x14ac:dyDescent="0.25">
      <c r="D641" s="1"/>
    </row>
    <row r="642" spans="4:4" x14ac:dyDescent="0.25">
      <c r="D642" s="1"/>
    </row>
    <row r="643" spans="4:4" x14ac:dyDescent="0.25">
      <c r="D643" s="1"/>
    </row>
    <row r="644" spans="4:4" x14ac:dyDescent="0.25">
      <c r="D644" s="1"/>
    </row>
    <row r="645" spans="4:4" x14ac:dyDescent="0.25">
      <c r="D645" s="1"/>
    </row>
    <row r="646" spans="4:4" x14ac:dyDescent="0.25">
      <c r="D646" s="1"/>
    </row>
    <row r="647" spans="4:4" x14ac:dyDescent="0.25">
      <c r="D647" s="1"/>
    </row>
    <row r="648" spans="4:4" x14ac:dyDescent="0.25">
      <c r="D648" s="1"/>
    </row>
    <row r="649" spans="4:4" x14ac:dyDescent="0.25">
      <c r="D649" s="1"/>
    </row>
    <row r="650" spans="4:4" x14ac:dyDescent="0.25">
      <c r="D650" s="1"/>
    </row>
    <row r="651" spans="4:4" x14ac:dyDescent="0.25">
      <c r="D651" s="1"/>
    </row>
    <row r="652" spans="4:4" x14ac:dyDescent="0.25">
      <c r="D652" s="1"/>
    </row>
    <row r="653" spans="4:4" x14ac:dyDescent="0.25">
      <c r="D653" s="1"/>
    </row>
    <row r="654" spans="4:4" x14ac:dyDescent="0.25">
      <c r="D654" s="1"/>
    </row>
    <row r="655" spans="4:4" x14ac:dyDescent="0.25">
      <c r="D655" s="1"/>
    </row>
    <row r="656" spans="4:4" x14ac:dyDescent="0.25">
      <c r="D656" s="1"/>
    </row>
    <row r="657" spans="4:4" x14ac:dyDescent="0.25">
      <c r="D657" s="1"/>
    </row>
    <row r="658" spans="4:4" x14ac:dyDescent="0.25">
      <c r="D658" s="1"/>
    </row>
    <row r="659" spans="4:4" x14ac:dyDescent="0.25">
      <c r="D659" s="1"/>
    </row>
    <row r="660" spans="4:4" x14ac:dyDescent="0.25">
      <c r="D660" s="1"/>
    </row>
    <row r="661" spans="4:4" x14ac:dyDescent="0.25">
      <c r="D661" s="1"/>
    </row>
    <row r="662" spans="4:4" x14ac:dyDescent="0.25">
      <c r="D662" s="1"/>
    </row>
    <row r="663" spans="4:4" x14ac:dyDescent="0.25">
      <c r="D663" s="1"/>
    </row>
    <row r="664" spans="4:4" x14ac:dyDescent="0.25">
      <c r="D664" s="1"/>
    </row>
    <row r="665" spans="4:4" x14ac:dyDescent="0.25">
      <c r="D665" s="1"/>
    </row>
    <row r="666" spans="4:4" x14ac:dyDescent="0.25">
      <c r="D666" s="1"/>
    </row>
    <row r="667" spans="4:4" x14ac:dyDescent="0.25">
      <c r="D667" s="1"/>
    </row>
    <row r="668" spans="4:4" x14ac:dyDescent="0.25">
      <c r="D668" s="1"/>
    </row>
    <row r="669" spans="4:4" x14ac:dyDescent="0.25">
      <c r="D669" s="1"/>
    </row>
    <row r="670" spans="4:4" x14ac:dyDescent="0.25">
      <c r="D670" s="1"/>
    </row>
    <row r="671" spans="4:4" x14ac:dyDescent="0.25">
      <c r="D671" s="1"/>
    </row>
    <row r="672" spans="4:4" x14ac:dyDescent="0.25">
      <c r="D672" s="1"/>
    </row>
    <row r="673" spans="4:4" x14ac:dyDescent="0.25">
      <c r="D673" s="1"/>
    </row>
    <row r="674" spans="4:4" x14ac:dyDescent="0.25">
      <c r="D674" s="1"/>
    </row>
    <row r="675" spans="4:4" x14ac:dyDescent="0.25">
      <c r="D675" s="1"/>
    </row>
    <row r="676" spans="4:4" x14ac:dyDescent="0.25">
      <c r="D676" s="1"/>
    </row>
    <row r="677" spans="4:4" x14ac:dyDescent="0.25">
      <c r="D677" s="1"/>
    </row>
    <row r="678" spans="4:4" x14ac:dyDescent="0.25">
      <c r="D678" s="1"/>
    </row>
    <row r="679" spans="4:4" x14ac:dyDescent="0.25">
      <c r="D679" s="1"/>
    </row>
    <row r="680" spans="4:4" x14ac:dyDescent="0.25">
      <c r="D680" s="1"/>
    </row>
    <row r="681" spans="4:4" x14ac:dyDescent="0.25">
      <c r="D681" s="1"/>
    </row>
    <row r="682" spans="4:4" x14ac:dyDescent="0.25">
      <c r="D682" s="1"/>
    </row>
    <row r="683" spans="4:4" x14ac:dyDescent="0.25">
      <c r="D683" s="1"/>
    </row>
    <row r="684" spans="4:4" x14ac:dyDescent="0.25">
      <c r="D684" s="1"/>
    </row>
    <row r="685" spans="4:4" x14ac:dyDescent="0.25">
      <c r="D685" s="1"/>
    </row>
    <row r="686" spans="4:4" x14ac:dyDescent="0.25">
      <c r="D686" s="1"/>
    </row>
    <row r="687" spans="4:4" x14ac:dyDescent="0.25">
      <c r="D687" s="1"/>
    </row>
    <row r="688" spans="4:4" x14ac:dyDescent="0.25">
      <c r="D688" s="1"/>
    </row>
    <row r="689" spans="4:4" x14ac:dyDescent="0.25">
      <c r="D689" s="1"/>
    </row>
    <row r="690" spans="4:4" x14ac:dyDescent="0.25">
      <c r="D690" s="1"/>
    </row>
    <row r="691" spans="4:4" x14ac:dyDescent="0.25">
      <c r="D691" s="1"/>
    </row>
    <row r="692" spans="4:4" x14ac:dyDescent="0.25">
      <c r="D692" s="1"/>
    </row>
    <row r="693" spans="4:4" x14ac:dyDescent="0.25">
      <c r="D693" s="1"/>
    </row>
    <row r="694" spans="4:4" x14ac:dyDescent="0.25">
      <c r="D694" s="1"/>
    </row>
    <row r="695" spans="4:4" x14ac:dyDescent="0.25">
      <c r="D695" s="1"/>
    </row>
    <row r="696" spans="4:4" x14ac:dyDescent="0.25">
      <c r="D696" s="1"/>
    </row>
    <row r="697" spans="4:4" x14ac:dyDescent="0.25">
      <c r="D697" s="1"/>
    </row>
    <row r="698" spans="4:4" x14ac:dyDescent="0.25">
      <c r="D698" s="1"/>
    </row>
    <row r="699" spans="4:4" x14ac:dyDescent="0.25">
      <c r="D699" s="1"/>
    </row>
    <row r="700" spans="4:4" x14ac:dyDescent="0.25">
      <c r="D700" s="1"/>
    </row>
    <row r="701" spans="4:4" x14ac:dyDescent="0.25">
      <c r="D701" s="1"/>
    </row>
    <row r="702" spans="4:4" x14ac:dyDescent="0.25">
      <c r="D702" s="1"/>
    </row>
    <row r="703" spans="4:4" x14ac:dyDescent="0.25">
      <c r="D703" s="1"/>
    </row>
    <row r="704" spans="4:4" x14ac:dyDescent="0.25">
      <c r="D704" s="1"/>
    </row>
    <row r="705" spans="4:4" x14ac:dyDescent="0.25">
      <c r="D705" s="1"/>
    </row>
    <row r="706" spans="4:4" x14ac:dyDescent="0.25">
      <c r="D706" s="1"/>
    </row>
    <row r="707" spans="4:4" x14ac:dyDescent="0.25">
      <c r="D707" s="1"/>
    </row>
    <row r="708" spans="4:4" x14ac:dyDescent="0.25">
      <c r="D708" s="1"/>
    </row>
    <row r="709" spans="4:4" x14ac:dyDescent="0.25">
      <c r="D709" s="1"/>
    </row>
    <row r="710" spans="4:4" x14ac:dyDescent="0.25">
      <c r="D710" s="1"/>
    </row>
    <row r="711" spans="4:4" x14ac:dyDescent="0.25">
      <c r="D711" s="1"/>
    </row>
    <row r="712" spans="4:4" x14ac:dyDescent="0.25">
      <c r="D712" s="1"/>
    </row>
    <row r="713" spans="4:4" x14ac:dyDescent="0.25">
      <c r="D713" s="1"/>
    </row>
    <row r="714" spans="4:4" x14ac:dyDescent="0.25">
      <c r="D714" s="1"/>
    </row>
    <row r="715" spans="4:4" x14ac:dyDescent="0.25">
      <c r="D715" s="1"/>
    </row>
    <row r="716" spans="4:4" x14ac:dyDescent="0.25">
      <c r="D716" s="1"/>
    </row>
    <row r="717" spans="4:4" x14ac:dyDescent="0.25">
      <c r="D717" s="1"/>
    </row>
    <row r="718" spans="4:4" x14ac:dyDescent="0.25">
      <c r="D718" s="1"/>
    </row>
    <row r="719" spans="4:4" x14ac:dyDescent="0.25">
      <c r="D719" s="1"/>
    </row>
    <row r="720" spans="4:4" x14ac:dyDescent="0.25">
      <c r="D720" s="1"/>
    </row>
    <row r="721" spans="4:4" x14ac:dyDescent="0.25">
      <c r="D721" s="1"/>
    </row>
    <row r="722" spans="4:4" x14ac:dyDescent="0.25">
      <c r="D722" s="1"/>
    </row>
    <row r="723" spans="4:4" x14ac:dyDescent="0.25">
      <c r="D723" s="1"/>
    </row>
    <row r="724" spans="4:4" x14ac:dyDescent="0.25">
      <c r="D724" s="1"/>
    </row>
    <row r="725" spans="4:4" x14ac:dyDescent="0.25">
      <c r="D725" s="1"/>
    </row>
    <row r="726" spans="4:4" x14ac:dyDescent="0.25">
      <c r="D726" s="1"/>
    </row>
    <row r="727" spans="4:4" x14ac:dyDescent="0.25">
      <c r="D727" s="1"/>
    </row>
    <row r="728" spans="4:4" x14ac:dyDescent="0.25">
      <c r="D728" s="1"/>
    </row>
    <row r="729" spans="4:4" x14ac:dyDescent="0.25">
      <c r="D729" s="1"/>
    </row>
    <row r="730" spans="4:4" x14ac:dyDescent="0.25">
      <c r="D730" s="1"/>
    </row>
    <row r="731" spans="4:4" x14ac:dyDescent="0.25">
      <c r="D731" s="1"/>
    </row>
    <row r="732" spans="4:4" x14ac:dyDescent="0.25">
      <c r="D732" s="1"/>
    </row>
    <row r="733" spans="4:4" x14ac:dyDescent="0.25">
      <c r="D733" s="1"/>
    </row>
    <row r="734" spans="4:4" x14ac:dyDescent="0.25">
      <c r="D734" s="1"/>
    </row>
    <row r="735" spans="4:4" x14ac:dyDescent="0.25">
      <c r="D735" s="1"/>
    </row>
    <row r="736" spans="4:4" x14ac:dyDescent="0.25">
      <c r="D736" s="1"/>
    </row>
    <row r="737" spans="4:4" x14ac:dyDescent="0.25">
      <c r="D737" s="1"/>
    </row>
    <row r="738" spans="4:4" x14ac:dyDescent="0.25">
      <c r="D738" s="1"/>
    </row>
    <row r="739" spans="4:4" x14ac:dyDescent="0.25">
      <c r="D739" s="1"/>
    </row>
    <row r="740" spans="4:4" x14ac:dyDescent="0.25">
      <c r="D740" s="1"/>
    </row>
    <row r="741" spans="4:4" x14ac:dyDescent="0.25">
      <c r="D741" s="1"/>
    </row>
    <row r="742" spans="4:4" x14ac:dyDescent="0.25">
      <c r="D742" s="1"/>
    </row>
    <row r="743" spans="4:4" x14ac:dyDescent="0.25">
      <c r="D743" s="1"/>
    </row>
    <row r="744" spans="4:4" x14ac:dyDescent="0.25">
      <c r="D744" s="1"/>
    </row>
    <row r="745" spans="4:4" x14ac:dyDescent="0.25">
      <c r="D745" s="1"/>
    </row>
    <row r="746" spans="4:4" x14ac:dyDescent="0.25">
      <c r="D746" s="1"/>
    </row>
    <row r="747" spans="4:4" x14ac:dyDescent="0.25">
      <c r="D747" s="1"/>
    </row>
    <row r="748" spans="4:4" x14ac:dyDescent="0.25">
      <c r="D748" s="1"/>
    </row>
    <row r="749" spans="4:4" x14ac:dyDescent="0.25">
      <c r="D749" s="1"/>
    </row>
    <row r="750" spans="4:4" x14ac:dyDescent="0.25">
      <c r="D750" s="1"/>
    </row>
    <row r="751" spans="4:4" x14ac:dyDescent="0.25">
      <c r="D751" s="1"/>
    </row>
    <row r="752" spans="4:4" x14ac:dyDescent="0.25">
      <c r="D752" s="1"/>
    </row>
    <row r="753" spans="4:4" x14ac:dyDescent="0.25">
      <c r="D753" s="1"/>
    </row>
    <row r="754" spans="4:4" x14ac:dyDescent="0.25">
      <c r="D754" s="1"/>
    </row>
    <row r="755" spans="4:4" x14ac:dyDescent="0.25">
      <c r="D755" s="1"/>
    </row>
    <row r="756" spans="4:4" x14ac:dyDescent="0.25">
      <c r="D756" s="1"/>
    </row>
    <row r="757" spans="4:4" x14ac:dyDescent="0.25">
      <c r="D757" s="1"/>
    </row>
    <row r="758" spans="4:4" x14ac:dyDescent="0.25">
      <c r="D758" s="1"/>
    </row>
    <row r="759" spans="4:4" x14ac:dyDescent="0.25">
      <c r="D759" s="1"/>
    </row>
    <row r="760" spans="4:4" x14ac:dyDescent="0.25">
      <c r="D760" s="1"/>
    </row>
    <row r="761" spans="4:4" x14ac:dyDescent="0.25">
      <c r="D761" s="1"/>
    </row>
    <row r="762" spans="4:4" x14ac:dyDescent="0.25">
      <c r="D762" s="1"/>
    </row>
    <row r="763" spans="4:4" x14ac:dyDescent="0.25">
      <c r="D763" s="1"/>
    </row>
    <row r="764" spans="4:4" x14ac:dyDescent="0.25">
      <c r="D764" s="1"/>
    </row>
    <row r="765" spans="4:4" x14ac:dyDescent="0.25">
      <c r="D765" s="1"/>
    </row>
    <row r="766" spans="4:4" x14ac:dyDescent="0.25">
      <c r="D766" s="1"/>
    </row>
    <row r="767" spans="4:4" x14ac:dyDescent="0.25">
      <c r="D767" s="1"/>
    </row>
    <row r="768" spans="4:4" x14ac:dyDescent="0.25">
      <c r="D768" s="1"/>
    </row>
    <row r="769" spans="4:4" x14ac:dyDescent="0.25">
      <c r="D769" s="1"/>
    </row>
    <row r="770" spans="4:4" x14ac:dyDescent="0.25">
      <c r="D770" s="1"/>
    </row>
    <row r="771" spans="4:4" x14ac:dyDescent="0.25">
      <c r="D771" s="1"/>
    </row>
    <row r="772" spans="4:4" x14ac:dyDescent="0.25">
      <c r="D772" s="1"/>
    </row>
    <row r="773" spans="4:4" x14ac:dyDescent="0.25">
      <c r="D773" s="1"/>
    </row>
    <row r="774" spans="4:4" x14ac:dyDescent="0.25">
      <c r="D774" s="1"/>
    </row>
    <row r="775" spans="4:4" x14ac:dyDescent="0.25">
      <c r="D775" s="1"/>
    </row>
    <row r="776" spans="4:4" x14ac:dyDescent="0.25">
      <c r="D776" s="1"/>
    </row>
    <row r="777" spans="4:4" x14ac:dyDescent="0.25">
      <c r="D777" s="1"/>
    </row>
    <row r="778" spans="4:4" x14ac:dyDescent="0.25">
      <c r="D778" s="1"/>
    </row>
    <row r="779" spans="4:4" x14ac:dyDescent="0.25">
      <c r="D779" s="1"/>
    </row>
    <row r="780" spans="4:4" x14ac:dyDescent="0.25">
      <c r="D780" s="1"/>
    </row>
    <row r="781" spans="4:4" x14ac:dyDescent="0.25">
      <c r="D781" s="1"/>
    </row>
    <row r="782" spans="4:4" x14ac:dyDescent="0.25">
      <c r="D782" s="1"/>
    </row>
    <row r="783" spans="4:4" x14ac:dyDescent="0.25">
      <c r="D783" s="1"/>
    </row>
    <row r="784" spans="4:4" x14ac:dyDescent="0.25">
      <c r="D784" s="1"/>
    </row>
    <row r="785" spans="4:4" x14ac:dyDescent="0.25">
      <c r="D785" s="1"/>
    </row>
    <row r="786" spans="4:4" x14ac:dyDescent="0.25">
      <c r="D786" s="1"/>
    </row>
    <row r="787" spans="4:4" x14ac:dyDescent="0.25">
      <c r="D787" s="1"/>
    </row>
    <row r="788" spans="4:4" x14ac:dyDescent="0.25">
      <c r="D788" s="1"/>
    </row>
    <row r="789" spans="4:4" x14ac:dyDescent="0.25">
      <c r="D789" s="1"/>
    </row>
    <row r="790" spans="4:4" x14ac:dyDescent="0.25">
      <c r="D790" s="1"/>
    </row>
    <row r="791" spans="4:4" x14ac:dyDescent="0.25">
      <c r="D791" s="1"/>
    </row>
    <row r="792" spans="4:4" x14ac:dyDescent="0.25">
      <c r="D792" s="1"/>
    </row>
    <row r="793" spans="4:4" x14ac:dyDescent="0.25">
      <c r="D793" s="1"/>
    </row>
    <row r="794" spans="4:4" x14ac:dyDescent="0.25">
      <c r="D794" s="1"/>
    </row>
    <row r="795" spans="4:4" x14ac:dyDescent="0.25">
      <c r="D795" s="1"/>
    </row>
    <row r="796" spans="4:4" x14ac:dyDescent="0.25">
      <c r="D796" s="1"/>
    </row>
    <row r="797" spans="4:4" x14ac:dyDescent="0.25">
      <c r="D797" s="1"/>
    </row>
    <row r="798" spans="4:4" x14ac:dyDescent="0.25">
      <c r="D798" s="1"/>
    </row>
    <row r="799" spans="4:4" x14ac:dyDescent="0.25">
      <c r="D799" s="1"/>
    </row>
    <row r="800" spans="4:4" x14ac:dyDescent="0.25">
      <c r="D800" s="1"/>
    </row>
    <row r="801" spans="4:4" x14ac:dyDescent="0.25">
      <c r="D801" s="1"/>
    </row>
    <row r="802" spans="4:4" x14ac:dyDescent="0.25">
      <c r="D802" s="1"/>
    </row>
    <row r="803" spans="4:4" x14ac:dyDescent="0.25">
      <c r="D803" s="1"/>
    </row>
    <row r="804" spans="4:4" x14ac:dyDescent="0.25">
      <c r="D804" s="1"/>
    </row>
    <row r="805" spans="4:4" x14ac:dyDescent="0.25">
      <c r="D805" s="1"/>
    </row>
    <row r="806" spans="4:4" x14ac:dyDescent="0.25">
      <c r="D806" s="1"/>
    </row>
    <row r="807" spans="4:4" x14ac:dyDescent="0.25">
      <c r="D807" s="1"/>
    </row>
    <row r="808" spans="4:4" x14ac:dyDescent="0.25">
      <c r="D808" s="1"/>
    </row>
    <row r="809" spans="4:4" x14ac:dyDescent="0.25">
      <c r="D809" s="1"/>
    </row>
    <row r="810" spans="4:4" x14ac:dyDescent="0.25">
      <c r="D810" s="1"/>
    </row>
    <row r="811" spans="4:4" x14ac:dyDescent="0.25">
      <c r="D811" s="1"/>
    </row>
    <row r="812" spans="4:4" x14ac:dyDescent="0.25">
      <c r="D812" s="1"/>
    </row>
    <row r="813" spans="4:4" x14ac:dyDescent="0.25">
      <c r="D813" s="1"/>
    </row>
    <row r="814" spans="4:4" x14ac:dyDescent="0.25">
      <c r="D814" s="1"/>
    </row>
    <row r="815" spans="4:4" x14ac:dyDescent="0.25">
      <c r="D815" s="1"/>
    </row>
    <row r="816" spans="4:4" x14ac:dyDescent="0.25">
      <c r="D816" s="1"/>
    </row>
    <row r="817" spans="4:4" x14ac:dyDescent="0.25">
      <c r="D817" s="1"/>
    </row>
    <row r="818" spans="4:4" x14ac:dyDescent="0.25">
      <c r="D818" s="1"/>
    </row>
    <row r="819" spans="4:4" x14ac:dyDescent="0.25">
      <c r="D819" s="1"/>
    </row>
    <row r="820" spans="4:4" x14ac:dyDescent="0.25">
      <c r="D820" s="1"/>
    </row>
    <row r="821" spans="4:4" x14ac:dyDescent="0.25">
      <c r="D821" s="1"/>
    </row>
    <row r="822" spans="4:4" x14ac:dyDescent="0.25">
      <c r="D822" s="1"/>
    </row>
    <row r="823" spans="4:4" x14ac:dyDescent="0.25">
      <c r="D823" s="1"/>
    </row>
    <row r="824" spans="4:4" x14ac:dyDescent="0.25">
      <c r="D824" s="1"/>
    </row>
    <row r="825" spans="4:4" x14ac:dyDescent="0.25">
      <c r="D825" s="1"/>
    </row>
    <row r="826" spans="4:4" x14ac:dyDescent="0.25">
      <c r="D826" s="1"/>
    </row>
    <row r="827" spans="4:4" x14ac:dyDescent="0.25">
      <c r="D827" s="1"/>
    </row>
    <row r="828" spans="4:4" x14ac:dyDescent="0.25">
      <c r="D828" s="1"/>
    </row>
    <row r="829" spans="4:4" x14ac:dyDescent="0.25">
      <c r="D829" s="1"/>
    </row>
    <row r="830" spans="4:4" x14ac:dyDescent="0.25">
      <c r="D830" s="1"/>
    </row>
    <row r="831" spans="4:4" x14ac:dyDescent="0.25">
      <c r="D831" s="1"/>
    </row>
    <row r="832" spans="4:4" x14ac:dyDescent="0.25">
      <c r="D832" s="1"/>
    </row>
    <row r="833" spans="4:4" x14ac:dyDescent="0.25">
      <c r="D833" s="1"/>
    </row>
    <row r="834" spans="4:4" x14ac:dyDescent="0.25">
      <c r="D834" s="1"/>
    </row>
    <row r="835" spans="4:4" x14ac:dyDescent="0.25">
      <c r="D835" s="1"/>
    </row>
    <row r="836" spans="4:4" x14ac:dyDescent="0.25">
      <c r="D836" s="1"/>
    </row>
    <row r="837" spans="4:4" x14ac:dyDescent="0.25">
      <c r="D837" s="1"/>
    </row>
    <row r="838" spans="4:4" x14ac:dyDescent="0.25">
      <c r="D838" s="1"/>
    </row>
    <row r="839" spans="4:4" x14ac:dyDescent="0.25">
      <c r="D839" s="1"/>
    </row>
    <row r="840" spans="4:4" x14ac:dyDescent="0.25">
      <c r="D840" s="1"/>
    </row>
    <row r="841" spans="4:4" x14ac:dyDescent="0.25">
      <c r="D841" s="1"/>
    </row>
    <row r="842" spans="4:4" x14ac:dyDescent="0.25">
      <c r="D842" s="1"/>
    </row>
    <row r="843" spans="4:4" x14ac:dyDescent="0.25">
      <c r="D843" s="1"/>
    </row>
    <row r="844" spans="4:4" x14ac:dyDescent="0.25">
      <c r="D844" s="1"/>
    </row>
    <row r="845" spans="4:4" x14ac:dyDescent="0.25">
      <c r="D845" s="1"/>
    </row>
    <row r="846" spans="4:4" x14ac:dyDescent="0.25">
      <c r="D846" s="1"/>
    </row>
    <row r="847" spans="4:4" x14ac:dyDescent="0.25">
      <c r="D847" s="1"/>
    </row>
    <row r="848" spans="4:4" x14ac:dyDescent="0.25">
      <c r="D848" s="1"/>
    </row>
    <row r="849" spans="4:4" x14ac:dyDescent="0.25">
      <c r="D849" s="1"/>
    </row>
    <row r="850" spans="4:4" x14ac:dyDescent="0.25">
      <c r="D850" s="1"/>
    </row>
    <row r="851" spans="4:4" x14ac:dyDescent="0.25">
      <c r="D851" s="1"/>
    </row>
    <row r="852" spans="4:4" x14ac:dyDescent="0.25">
      <c r="D852" s="1"/>
    </row>
    <row r="853" spans="4:4" x14ac:dyDescent="0.25">
      <c r="D853" s="1"/>
    </row>
    <row r="854" spans="4:4" x14ac:dyDescent="0.25">
      <c r="D854" s="1"/>
    </row>
    <row r="855" spans="4:4" x14ac:dyDescent="0.25">
      <c r="D855" s="1"/>
    </row>
    <row r="856" spans="4:4" x14ac:dyDescent="0.25">
      <c r="D856" s="1"/>
    </row>
    <row r="857" spans="4:4" x14ac:dyDescent="0.25">
      <c r="D857" s="1"/>
    </row>
    <row r="858" spans="4:4" x14ac:dyDescent="0.25">
      <c r="D858" s="1"/>
    </row>
    <row r="859" spans="4:4" x14ac:dyDescent="0.25">
      <c r="D859" s="1"/>
    </row>
    <row r="860" spans="4:4" x14ac:dyDescent="0.25">
      <c r="D860" s="1"/>
    </row>
    <row r="861" spans="4:4" x14ac:dyDescent="0.25">
      <c r="D861" s="1"/>
    </row>
    <row r="862" spans="4:4" x14ac:dyDescent="0.25">
      <c r="D862" s="1"/>
    </row>
    <row r="863" spans="4:4" x14ac:dyDescent="0.25">
      <c r="D863" s="1"/>
    </row>
    <row r="864" spans="4:4" x14ac:dyDescent="0.25">
      <c r="D864" s="1"/>
    </row>
    <row r="865" spans="4:4" x14ac:dyDescent="0.25">
      <c r="D865" s="1"/>
    </row>
    <row r="866" spans="4:4" x14ac:dyDescent="0.25">
      <c r="D866" s="1"/>
    </row>
    <row r="867" spans="4:4" x14ac:dyDescent="0.25">
      <c r="D867" s="1"/>
    </row>
    <row r="868" spans="4:4" x14ac:dyDescent="0.25">
      <c r="D868" s="1"/>
    </row>
    <row r="869" spans="4:4" x14ac:dyDescent="0.25">
      <c r="D869" s="1"/>
    </row>
    <row r="870" spans="4:4" x14ac:dyDescent="0.25">
      <c r="D870" s="1"/>
    </row>
    <row r="871" spans="4:4" x14ac:dyDescent="0.25">
      <c r="D871" s="1"/>
    </row>
    <row r="872" spans="4:4" x14ac:dyDescent="0.25">
      <c r="D872" s="1"/>
    </row>
    <row r="873" spans="4:4" x14ac:dyDescent="0.25">
      <c r="D873" s="1"/>
    </row>
    <row r="874" spans="4:4" x14ac:dyDescent="0.25">
      <c r="D874" s="1"/>
    </row>
    <row r="875" spans="4:4" x14ac:dyDescent="0.25">
      <c r="D875" s="1"/>
    </row>
    <row r="876" spans="4:4" x14ac:dyDescent="0.25">
      <c r="D876" s="1"/>
    </row>
    <row r="877" spans="4:4" x14ac:dyDescent="0.25">
      <c r="D877" s="1"/>
    </row>
    <row r="878" spans="4:4" x14ac:dyDescent="0.25">
      <c r="D878" s="1"/>
    </row>
    <row r="879" spans="4:4" x14ac:dyDescent="0.25">
      <c r="D879" s="1"/>
    </row>
    <row r="880" spans="4:4" x14ac:dyDescent="0.25">
      <c r="D880" s="1"/>
    </row>
    <row r="881" spans="4:4" x14ac:dyDescent="0.25">
      <c r="D881" s="1"/>
    </row>
    <row r="882" spans="4:4" x14ac:dyDescent="0.25">
      <c r="D882" s="1"/>
    </row>
    <row r="883" spans="4:4" x14ac:dyDescent="0.25">
      <c r="D883" s="1"/>
    </row>
    <row r="884" spans="4:4" x14ac:dyDescent="0.25">
      <c r="D884" s="1"/>
    </row>
    <row r="885" spans="4:4" x14ac:dyDescent="0.25">
      <c r="D885" s="1"/>
    </row>
    <row r="886" spans="4:4" x14ac:dyDescent="0.25">
      <c r="D886" s="1"/>
    </row>
    <row r="887" spans="4:4" x14ac:dyDescent="0.25">
      <c r="D887" s="1"/>
    </row>
    <row r="888" spans="4:4" x14ac:dyDescent="0.25">
      <c r="D888" s="1"/>
    </row>
    <row r="889" spans="4:4" x14ac:dyDescent="0.25">
      <c r="D889" s="1"/>
    </row>
    <row r="890" spans="4:4" x14ac:dyDescent="0.25">
      <c r="D890" s="1"/>
    </row>
    <row r="891" spans="4:4" x14ac:dyDescent="0.25">
      <c r="D891" s="1"/>
    </row>
    <row r="892" spans="4:4" x14ac:dyDescent="0.25">
      <c r="D892" s="1"/>
    </row>
    <row r="893" spans="4:4" x14ac:dyDescent="0.25">
      <c r="D893" s="1"/>
    </row>
    <row r="894" spans="4:4" x14ac:dyDescent="0.25">
      <c r="D894" s="1"/>
    </row>
    <row r="895" spans="4:4" x14ac:dyDescent="0.25">
      <c r="D895" s="1"/>
    </row>
    <row r="896" spans="4:4" x14ac:dyDescent="0.25">
      <c r="D896" s="1"/>
    </row>
    <row r="897" spans="4:4" x14ac:dyDescent="0.25">
      <c r="D897" s="1"/>
    </row>
    <row r="898" spans="4:4" x14ac:dyDescent="0.25">
      <c r="D898" s="1"/>
    </row>
    <row r="899" spans="4:4" x14ac:dyDescent="0.25">
      <c r="D899" s="1"/>
    </row>
    <row r="900" spans="4:4" x14ac:dyDescent="0.25">
      <c r="D900" s="1"/>
    </row>
    <row r="901" spans="4:4" x14ac:dyDescent="0.25">
      <c r="D901" s="1"/>
    </row>
    <row r="902" spans="4:4" x14ac:dyDescent="0.25">
      <c r="D902" s="1"/>
    </row>
    <row r="903" spans="4:4" x14ac:dyDescent="0.25">
      <c r="D903" s="1"/>
    </row>
    <row r="904" spans="4:4" x14ac:dyDescent="0.25">
      <c r="D904" s="1"/>
    </row>
    <row r="905" spans="4:4" x14ac:dyDescent="0.25">
      <c r="D905" s="1"/>
    </row>
    <row r="906" spans="4:4" x14ac:dyDescent="0.25">
      <c r="D906" s="1"/>
    </row>
    <row r="907" spans="4:4" x14ac:dyDescent="0.25">
      <c r="D907" s="1"/>
    </row>
    <row r="908" spans="4:4" x14ac:dyDescent="0.25">
      <c r="D908" s="1"/>
    </row>
    <row r="909" spans="4:4" x14ac:dyDescent="0.25">
      <c r="D909" s="1"/>
    </row>
    <row r="910" spans="4:4" x14ac:dyDescent="0.25">
      <c r="D910" s="1"/>
    </row>
    <row r="911" spans="4:4" x14ac:dyDescent="0.25">
      <c r="D911" s="1"/>
    </row>
    <row r="912" spans="4:4" x14ac:dyDescent="0.25">
      <c r="D912" s="1"/>
    </row>
    <row r="913" spans="4:4" x14ac:dyDescent="0.25">
      <c r="D913" s="1"/>
    </row>
    <row r="914" spans="4:4" x14ac:dyDescent="0.25">
      <c r="D914" s="1"/>
    </row>
    <row r="915" spans="4:4" x14ac:dyDescent="0.25">
      <c r="D915" s="1"/>
    </row>
    <row r="916" spans="4:4" x14ac:dyDescent="0.25">
      <c r="D916" s="1"/>
    </row>
    <row r="917" spans="4:4" x14ac:dyDescent="0.25">
      <c r="D917" s="1"/>
    </row>
    <row r="918" spans="4:4" x14ac:dyDescent="0.25">
      <c r="D918" s="1"/>
    </row>
    <row r="919" spans="4:4" x14ac:dyDescent="0.25">
      <c r="D919" s="1"/>
    </row>
    <row r="920" spans="4:4" x14ac:dyDescent="0.25">
      <c r="D920" s="1"/>
    </row>
    <row r="921" spans="4:4" x14ac:dyDescent="0.25">
      <c r="D921" s="1"/>
    </row>
    <row r="922" spans="4:4" x14ac:dyDescent="0.25">
      <c r="D922" s="1"/>
    </row>
    <row r="923" spans="4:4" x14ac:dyDescent="0.25">
      <c r="D923" s="1"/>
    </row>
    <row r="924" spans="4:4" x14ac:dyDescent="0.25">
      <c r="D924" s="1"/>
    </row>
    <row r="925" spans="4:4" x14ac:dyDescent="0.25">
      <c r="D925" s="1"/>
    </row>
    <row r="926" spans="4:4" x14ac:dyDescent="0.25">
      <c r="D926" s="1"/>
    </row>
    <row r="927" spans="4:4" x14ac:dyDescent="0.25">
      <c r="D927" s="1"/>
    </row>
    <row r="928" spans="4:4" x14ac:dyDescent="0.25">
      <c r="D928" s="1"/>
    </row>
    <row r="929" spans="4:4" x14ac:dyDescent="0.25">
      <c r="D929" s="1"/>
    </row>
    <row r="930" spans="4:4" x14ac:dyDescent="0.25">
      <c r="D930" s="1"/>
    </row>
    <row r="931" spans="4:4" x14ac:dyDescent="0.25">
      <c r="D931" s="1"/>
    </row>
    <row r="932" spans="4:4" x14ac:dyDescent="0.25">
      <c r="D932" s="1"/>
    </row>
    <row r="933" spans="4:4" x14ac:dyDescent="0.25">
      <c r="D933" s="1"/>
    </row>
    <row r="934" spans="4:4" x14ac:dyDescent="0.25">
      <c r="D934" s="1"/>
    </row>
    <row r="935" spans="4:4" x14ac:dyDescent="0.25">
      <c r="D935" s="1"/>
    </row>
    <row r="936" spans="4:4" x14ac:dyDescent="0.25">
      <c r="D936" s="1"/>
    </row>
    <row r="937" spans="4:4" x14ac:dyDescent="0.25">
      <c r="D937" s="1"/>
    </row>
    <row r="938" spans="4:4" x14ac:dyDescent="0.25">
      <c r="D938" s="1"/>
    </row>
    <row r="939" spans="4:4" x14ac:dyDescent="0.25">
      <c r="D939" s="1"/>
    </row>
    <row r="940" spans="4:4" x14ac:dyDescent="0.25">
      <c r="D940" s="1"/>
    </row>
    <row r="941" spans="4:4" x14ac:dyDescent="0.25">
      <c r="D941" s="1"/>
    </row>
    <row r="942" spans="4:4" x14ac:dyDescent="0.25">
      <c r="D942" s="1"/>
    </row>
    <row r="943" spans="4:4" x14ac:dyDescent="0.25">
      <c r="D943" s="1"/>
    </row>
    <row r="944" spans="4:4" x14ac:dyDescent="0.25">
      <c r="D944" s="1"/>
    </row>
    <row r="945" spans="4:4" x14ac:dyDescent="0.25">
      <c r="D945" s="1"/>
    </row>
    <row r="946" spans="4:4" x14ac:dyDescent="0.25">
      <c r="D946" s="1"/>
    </row>
    <row r="947" spans="4:4" x14ac:dyDescent="0.25">
      <c r="D947" s="1"/>
    </row>
    <row r="948" spans="4:4" x14ac:dyDescent="0.25">
      <c r="D948" s="1"/>
    </row>
    <row r="949" spans="4:4" x14ac:dyDescent="0.25">
      <c r="D949" s="1"/>
    </row>
    <row r="950" spans="4:4" x14ac:dyDescent="0.25">
      <c r="D950" s="1"/>
    </row>
    <row r="951" spans="4:4" x14ac:dyDescent="0.25">
      <c r="D951" s="1"/>
    </row>
    <row r="952" spans="4:4" x14ac:dyDescent="0.25">
      <c r="D952" s="1"/>
    </row>
    <row r="953" spans="4:4" x14ac:dyDescent="0.25">
      <c r="D953" s="1"/>
    </row>
    <row r="954" spans="4:4" x14ac:dyDescent="0.25">
      <c r="D954" s="1"/>
    </row>
    <row r="955" spans="4:4" x14ac:dyDescent="0.25">
      <c r="D955" s="1"/>
    </row>
    <row r="956" spans="4:4" x14ac:dyDescent="0.25">
      <c r="D956" s="1"/>
    </row>
    <row r="957" spans="4:4" x14ac:dyDescent="0.25">
      <c r="D957" s="1"/>
    </row>
    <row r="958" spans="4:4" x14ac:dyDescent="0.25">
      <c r="D958" s="1"/>
    </row>
    <row r="959" spans="4:4" x14ac:dyDescent="0.25">
      <c r="D959" s="1"/>
    </row>
    <row r="960" spans="4:4" x14ac:dyDescent="0.25">
      <c r="D960" s="1"/>
    </row>
    <row r="961" spans="4:4" x14ac:dyDescent="0.25">
      <c r="D961" s="1"/>
    </row>
    <row r="962" spans="4:4" x14ac:dyDescent="0.25">
      <c r="D962" s="1"/>
    </row>
    <row r="963" spans="4:4" x14ac:dyDescent="0.25">
      <c r="D963" s="1"/>
    </row>
    <row r="964" spans="4:4" x14ac:dyDescent="0.25">
      <c r="D964" s="1"/>
    </row>
    <row r="965" spans="4:4" x14ac:dyDescent="0.25">
      <c r="D965" s="1"/>
    </row>
    <row r="966" spans="4:4" x14ac:dyDescent="0.25">
      <c r="D966" s="1"/>
    </row>
    <row r="967" spans="4:4" x14ac:dyDescent="0.25">
      <c r="D967" s="1"/>
    </row>
    <row r="968" spans="4:4" x14ac:dyDescent="0.25">
      <c r="D968" s="1"/>
    </row>
    <row r="969" spans="4:4" x14ac:dyDescent="0.25">
      <c r="D969" s="1"/>
    </row>
    <row r="970" spans="4:4" x14ac:dyDescent="0.25">
      <c r="D970" s="1"/>
    </row>
    <row r="971" spans="4:4" x14ac:dyDescent="0.25">
      <c r="D971" s="1"/>
    </row>
    <row r="972" spans="4:4" x14ac:dyDescent="0.25">
      <c r="D972" s="1"/>
    </row>
    <row r="973" spans="4:4" x14ac:dyDescent="0.25">
      <c r="D973" s="1"/>
    </row>
    <row r="974" spans="4:4" x14ac:dyDescent="0.25">
      <c r="D974" s="1"/>
    </row>
    <row r="975" spans="4:4" x14ac:dyDescent="0.25">
      <c r="D975" s="1"/>
    </row>
    <row r="976" spans="4:4" x14ac:dyDescent="0.25">
      <c r="D976" s="1"/>
    </row>
    <row r="977" spans="4:4" x14ac:dyDescent="0.25">
      <c r="D977" s="1"/>
    </row>
    <row r="978" spans="4:4" x14ac:dyDescent="0.25">
      <c r="D978" s="1"/>
    </row>
    <row r="979" spans="4:4" x14ac:dyDescent="0.25">
      <c r="D979" s="1"/>
    </row>
    <row r="980" spans="4:4" x14ac:dyDescent="0.25">
      <c r="D980" s="1"/>
    </row>
    <row r="981" spans="4:4" x14ac:dyDescent="0.25">
      <c r="D981" s="1"/>
    </row>
    <row r="982" spans="4:4" x14ac:dyDescent="0.25">
      <c r="D982" s="1"/>
    </row>
    <row r="983" spans="4:4" x14ac:dyDescent="0.25">
      <c r="D983" s="1"/>
    </row>
    <row r="984" spans="4:4" x14ac:dyDescent="0.25">
      <c r="D984" s="1"/>
    </row>
    <row r="985" spans="4:4" x14ac:dyDescent="0.25">
      <c r="D985" s="1"/>
    </row>
    <row r="986" spans="4:4" x14ac:dyDescent="0.25">
      <c r="D986" s="1"/>
    </row>
    <row r="987" spans="4:4" x14ac:dyDescent="0.25">
      <c r="D987" s="1"/>
    </row>
    <row r="988" spans="4:4" x14ac:dyDescent="0.25">
      <c r="D988" s="1"/>
    </row>
    <row r="989" spans="4:4" x14ac:dyDescent="0.25">
      <c r="D989" s="1"/>
    </row>
    <row r="990" spans="4:4" x14ac:dyDescent="0.25">
      <c r="D990" s="1"/>
    </row>
    <row r="991" spans="4:4" x14ac:dyDescent="0.25">
      <c r="D991" s="1"/>
    </row>
    <row r="992" spans="4:4" x14ac:dyDescent="0.25">
      <c r="D992" s="1"/>
    </row>
    <row r="993" spans="4:4" x14ac:dyDescent="0.25">
      <c r="D993" s="1"/>
    </row>
    <row r="994" spans="4:4" x14ac:dyDescent="0.25">
      <c r="D994" s="1"/>
    </row>
    <row r="995" spans="4:4" x14ac:dyDescent="0.25">
      <c r="D995" s="1"/>
    </row>
    <row r="996" spans="4:4" x14ac:dyDescent="0.25">
      <c r="D996" s="1"/>
    </row>
    <row r="997" spans="4:4" x14ac:dyDescent="0.25">
      <c r="D997" s="1"/>
    </row>
    <row r="998" spans="4:4" x14ac:dyDescent="0.25">
      <c r="D998" s="1"/>
    </row>
    <row r="999" spans="4:4" x14ac:dyDescent="0.25">
      <c r="D999" s="1"/>
    </row>
    <row r="1000" spans="4:4" x14ac:dyDescent="0.25">
      <c r="D1000" s="1"/>
    </row>
    <row r="1001" spans="4:4" x14ac:dyDescent="0.25">
      <c r="D1001" s="1"/>
    </row>
    <row r="1002" spans="4:4" x14ac:dyDescent="0.25">
      <c r="D1002" s="1"/>
    </row>
    <row r="1003" spans="4:4" x14ac:dyDescent="0.25">
      <c r="D1003" s="1"/>
    </row>
    <row r="1004" spans="4:4" x14ac:dyDescent="0.25">
      <c r="D1004" s="1"/>
    </row>
    <row r="1005" spans="4:4" x14ac:dyDescent="0.25">
      <c r="D1005" s="1"/>
    </row>
    <row r="1006" spans="4:4" x14ac:dyDescent="0.25">
      <c r="D1006" s="1"/>
    </row>
    <row r="1007" spans="4:4" x14ac:dyDescent="0.25">
      <c r="D1007" s="1"/>
    </row>
    <row r="1008" spans="4:4" x14ac:dyDescent="0.25">
      <c r="D1008" s="1"/>
    </row>
    <row r="1009" spans="4:4" x14ac:dyDescent="0.25">
      <c r="D1009" s="1"/>
    </row>
    <row r="1010" spans="4:4" x14ac:dyDescent="0.25">
      <c r="D1010" s="1"/>
    </row>
    <row r="1011" spans="4:4" x14ac:dyDescent="0.25">
      <c r="D1011" s="1"/>
    </row>
    <row r="1012" spans="4:4" x14ac:dyDescent="0.25">
      <c r="D1012" s="1"/>
    </row>
    <row r="1013" spans="4:4" x14ac:dyDescent="0.25">
      <c r="D1013" s="1"/>
    </row>
    <row r="1014" spans="4:4" x14ac:dyDescent="0.25">
      <c r="D1014" s="1"/>
    </row>
    <row r="1015" spans="4:4" x14ac:dyDescent="0.25">
      <c r="D1015" s="1"/>
    </row>
    <row r="1016" spans="4:4" x14ac:dyDescent="0.25">
      <c r="D1016" s="1"/>
    </row>
    <row r="1017" spans="4:4" x14ac:dyDescent="0.25">
      <c r="D1017" s="1"/>
    </row>
    <row r="1018" spans="4:4" x14ac:dyDescent="0.25">
      <c r="D1018" s="1"/>
    </row>
    <row r="1019" spans="4:4" x14ac:dyDescent="0.25">
      <c r="D1019" s="1"/>
    </row>
    <row r="1020" spans="4:4" x14ac:dyDescent="0.25">
      <c r="D1020" s="1"/>
    </row>
    <row r="1021" spans="4:4" x14ac:dyDescent="0.25">
      <c r="D1021" s="1"/>
    </row>
    <row r="1022" spans="4:4" x14ac:dyDescent="0.25">
      <c r="D1022" s="1"/>
    </row>
    <row r="1023" spans="4:4" x14ac:dyDescent="0.25">
      <c r="D1023" s="1"/>
    </row>
    <row r="1024" spans="4:4" x14ac:dyDescent="0.25">
      <c r="D1024" s="1"/>
    </row>
    <row r="1025" spans="4:4" x14ac:dyDescent="0.25">
      <c r="D1025" s="1"/>
    </row>
    <row r="1026" spans="4:4" x14ac:dyDescent="0.25">
      <c r="D1026" s="1"/>
    </row>
    <row r="1027" spans="4:4" x14ac:dyDescent="0.25">
      <c r="D1027" s="1"/>
    </row>
    <row r="1028" spans="4:4" x14ac:dyDescent="0.25">
      <c r="D1028" s="1"/>
    </row>
    <row r="1029" spans="4:4" x14ac:dyDescent="0.25">
      <c r="D1029" s="1"/>
    </row>
    <row r="1030" spans="4:4" x14ac:dyDescent="0.25">
      <c r="D1030" s="1"/>
    </row>
    <row r="1031" spans="4:4" x14ac:dyDescent="0.25">
      <c r="D1031" s="1"/>
    </row>
    <row r="1032" spans="4:4" x14ac:dyDescent="0.25">
      <c r="D1032" s="1"/>
    </row>
    <row r="1033" spans="4:4" x14ac:dyDescent="0.25">
      <c r="D1033" s="1"/>
    </row>
    <row r="1034" spans="4:4" x14ac:dyDescent="0.25">
      <c r="D1034" s="1"/>
    </row>
    <row r="1035" spans="4:4" x14ac:dyDescent="0.25">
      <c r="D1035" s="1"/>
    </row>
    <row r="1036" spans="4:4" x14ac:dyDescent="0.25">
      <c r="D1036" s="1"/>
    </row>
    <row r="1037" spans="4:4" x14ac:dyDescent="0.25">
      <c r="D1037" s="1"/>
    </row>
    <row r="1038" spans="4:4" x14ac:dyDescent="0.25">
      <c r="D1038" s="1"/>
    </row>
    <row r="1039" spans="4:4" x14ac:dyDescent="0.25">
      <c r="D1039" s="1"/>
    </row>
    <row r="1040" spans="4:4" x14ac:dyDescent="0.25">
      <c r="D1040" s="1"/>
    </row>
    <row r="1041" spans="4:4" x14ac:dyDescent="0.25">
      <c r="D1041" s="1"/>
    </row>
    <row r="1042" spans="4:4" x14ac:dyDescent="0.25">
      <c r="D1042" s="1"/>
    </row>
    <row r="1043" spans="4:4" x14ac:dyDescent="0.25">
      <c r="D1043" s="1"/>
    </row>
    <row r="1044" spans="4:4" x14ac:dyDescent="0.25">
      <c r="D1044" s="1"/>
    </row>
    <row r="1045" spans="4:4" x14ac:dyDescent="0.25">
      <c r="D1045" s="1"/>
    </row>
    <row r="1046" spans="4:4" x14ac:dyDescent="0.25">
      <c r="D1046" s="1"/>
    </row>
    <row r="1047" spans="4:4" x14ac:dyDescent="0.25">
      <c r="D1047" s="1"/>
    </row>
    <row r="1048" spans="4:4" x14ac:dyDescent="0.25">
      <c r="D1048" s="1"/>
    </row>
    <row r="1049" spans="4:4" x14ac:dyDescent="0.25">
      <c r="D1049" s="1"/>
    </row>
    <row r="1050" spans="4:4" x14ac:dyDescent="0.25">
      <c r="D1050" s="1"/>
    </row>
    <row r="1051" spans="4:4" x14ac:dyDescent="0.25">
      <c r="D1051" s="1"/>
    </row>
    <row r="1052" spans="4:4" x14ac:dyDescent="0.25">
      <c r="D1052" s="1"/>
    </row>
    <row r="1053" spans="4:4" x14ac:dyDescent="0.25">
      <c r="D1053" s="1"/>
    </row>
    <row r="1054" spans="4:4" x14ac:dyDescent="0.25">
      <c r="D1054" s="1"/>
    </row>
    <row r="1055" spans="4:4" x14ac:dyDescent="0.25">
      <c r="D1055" s="1"/>
    </row>
    <row r="1056" spans="4:4" x14ac:dyDescent="0.25">
      <c r="D1056" s="1"/>
    </row>
    <row r="1057" spans="4:4" x14ac:dyDescent="0.25">
      <c r="D1057" s="1"/>
    </row>
    <row r="1058" spans="4:4" x14ac:dyDescent="0.25">
      <c r="D1058" s="1"/>
    </row>
    <row r="1059" spans="4:4" x14ac:dyDescent="0.25">
      <c r="D1059" s="1"/>
    </row>
    <row r="1060" spans="4:4" x14ac:dyDescent="0.25">
      <c r="D1060" s="1"/>
    </row>
    <row r="1061" spans="4:4" x14ac:dyDescent="0.25">
      <c r="D1061" s="1"/>
    </row>
    <row r="1062" spans="4:4" x14ac:dyDescent="0.25">
      <c r="D1062" s="1"/>
    </row>
    <row r="1063" spans="4:4" x14ac:dyDescent="0.25">
      <c r="D1063" s="1"/>
    </row>
    <row r="1064" spans="4:4" x14ac:dyDescent="0.25">
      <c r="D1064" s="1"/>
    </row>
    <row r="1065" spans="4:4" x14ac:dyDescent="0.25">
      <c r="D1065" s="1"/>
    </row>
    <row r="1066" spans="4:4" x14ac:dyDescent="0.25">
      <c r="D1066" s="1"/>
    </row>
    <row r="1067" spans="4:4" x14ac:dyDescent="0.25">
      <c r="D1067" s="1"/>
    </row>
    <row r="1068" spans="4:4" x14ac:dyDescent="0.25">
      <c r="D1068" s="1"/>
    </row>
    <row r="1069" spans="4:4" x14ac:dyDescent="0.25">
      <c r="D1069" s="1"/>
    </row>
    <row r="1070" spans="4:4" x14ac:dyDescent="0.25">
      <c r="D1070" s="1"/>
    </row>
    <row r="1071" spans="4:4" x14ac:dyDescent="0.25">
      <c r="D1071" s="1"/>
    </row>
    <row r="1072" spans="4:4" x14ac:dyDescent="0.25">
      <c r="D1072" s="1"/>
    </row>
    <row r="1073" spans="4:4" x14ac:dyDescent="0.25">
      <c r="D1073" s="1"/>
    </row>
    <row r="1074" spans="4:4" x14ac:dyDescent="0.25">
      <c r="D1074" s="1"/>
    </row>
    <row r="1075" spans="4:4" x14ac:dyDescent="0.25">
      <c r="D1075" s="1"/>
    </row>
    <row r="1076" spans="4:4" x14ac:dyDescent="0.25">
      <c r="D1076" s="1"/>
    </row>
    <row r="1077" spans="4:4" x14ac:dyDescent="0.25">
      <c r="D1077" s="1"/>
    </row>
    <row r="1078" spans="4:4" x14ac:dyDescent="0.25">
      <c r="D1078" s="1"/>
    </row>
    <row r="1079" spans="4:4" x14ac:dyDescent="0.25">
      <c r="D1079" s="1"/>
    </row>
    <row r="1080" spans="4:4" x14ac:dyDescent="0.25">
      <c r="D1080" s="1"/>
    </row>
    <row r="1081" spans="4:4" x14ac:dyDescent="0.25">
      <c r="D1081" s="1"/>
    </row>
    <row r="1082" spans="4:4" x14ac:dyDescent="0.25">
      <c r="D1082" s="1"/>
    </row>
    <row r="1083" spans="4:4" x14ac:dyDescent="0.25">
      <c r="D1083" s="1"/>
    </row>
    <row r="1084" spans="4:4" x14ac:dyDescent="0.25">
      <c r="D1084" s="1"/>
    </row>
    <row r="1085" spans="4:4" x14ac:dyDescent="0.25">
      <c r="D1085" s="1"/>
    </row>
    <row r="1086" spans="4:4" x14ac:dyDescent="0.25">
      <c r="D1086" s="1"/>
    </row>
    <row r="1087" spans="4:4" x14ac:dyDescent="0.25">
      <c r="D1087" s="1"/>
    </row>
    <row r="1088" spans="4:4" x14ac:dyDescent="0.25">
      <c r="D1088" s="1"/>
    </row>
    <row r="1089" spans="4:4" x14ac:dyDescent="0.25">
      <c r="D1089" s="1"/>
    </row>
    <row r="1090" spans="4:4" x14ac:dyDescent="0.25">
      <c r="D1090" s="1"/>
    </row>
    <row r="1091" spans="4:4" x14ac:dyDescent="0.25">
      <c r="D1091" s="1"/>
    </row>
    <row r="1092" spans="4:4" x14ac:dyDescent="0.25">
      <c r="D1092" s="1"/>
    </row>
    <row r="1093" spans="4:4" x14ac:dyDescent="0.25">
      <c r="D1093" s="1"/>
    </row>
    <row r="1094" spans="4:4" x14ac:dyDescent="0.25">
      <c r="D1094" s="1"/>
    </row>
    <row r="1095" spans="4:4" x14ac:dyDescent="0.25">
      <c r="D1095" s="1"/>
    </row>
    <row r="1096" spans="4:4" x14ac:dyDescent="0.25">
      <c r="D1096" s="1"/>
    </row>
    <row r="1097" spans="4:4" x14ac:dyDescent="0.25">
      <c r="D1097" s="1"/>
    </row>
    <row r="1098" spans="4:4" x14ac:dyDescent="0.25">
      <c r="D1098" s="1"/>
    </row>
    <row r="1099" spans="4:4" x14ac:dyDescent="0.25">
      <c r="D1099" s="1"/>
    </row>
    <row r="1100" spans="4:4" x14ac:dyDescent="0.25">
      <c r="D1100" s="1"/>
    </row>
    <row r="1101" spans="4:4" x14ac:dyDescent="0.25">
      <c r="D1101" s="1"/>
    </row>
    <row r="1102" spans="4:4" x14ac:dyDescent="0.25">
      <c r="D1102" s="1"/>
    </row>
    <row r="1103" spans="4:4" x14ac:dyDescent="0.25">
      <c r="D1103" s="1"/>
    </row>
    <row r="1104" spans="4:4" x14ac:dyDescent="0.25">
      <c r="D1104" s="1"/>
    </row>
    <row r="1105" spans="4:4" x14ac:dyDescent="0.25">
      <c r="D1105" s="1"/>
    </row>
    <row r="1106" spans="4:4" x14ac:dyDescent="0.25">
      <c r="D1106" s="1"/>
    </row>
    <row r="1107" spans="4:4" x14ac:dyDescent="0.25">
      <c r="D1107" s="1"/>
    </row>
    <row r="1108" spans="4:4" x14ac:dyDescent="0.25">
      <c r="D1108" s="1"/>
    </row>
    <row r="1109" spans="4:4" x14ac:dyDescent="0.25">
      <c r="D1109" s="1"/>
    </row>
    <row r="1110" spans="4:4" x14ac:dyDescent="0.25">
      <c r="D1110" s="1"/>
    </row>
    <row r="1111" spans="4:4" x14ac:dyDescent="0.25">
      <c r="D1111" s="1"/>
    </row>
    <row r="1112" spans="4:4" x14ac:dyDescent="0.25">
      <c r="D1112" s="1"/>
    </row>
    <row r="1113" spans="4:4" x14ac:dyDescent="0.25">
      <c r="D1113" s="1"/>
    </row>
    <row r="1114" spans="4:4" x14ac:dyDescent="0.25">
      <c r="D1114" s="1"/>
    </row>
    <row r="1115" spans="4:4" x14ac:dyDescent="0.25">
      <c r="D1115" s="1"/>
    </row>
    <row r="1116" spans="4:4" x14ac:dyDescent="0.25">
      <c r="D1116" s="1"/>
    </row>
    <row r="1117" spans="4:4" x14ac:dyDescent="0.25">
      <c r="D1117" s="1"/>
    </row>
    <row r="1118" spans="4:4" x14ac:dyDescent="0.25">
      <c r="D1118" s="1"/>
    </row>
    <row r="1119" spans="4:4" x14ac:dyDescent="0.25">
      <c r="D1119" s="1"/>
    </row>
    <row r="1120" spans="4:4" x14ac:dyDescent="0.25">
      <c r="D1120" s="1"/>
    </row>
    <row r="1121" spans="4:4" x14ac:dyDescent="0.25">
      <c r="D1121" s="1"/>
    </row>
    <row r="1122" spans="4:4" x14ac:dyDescent="0.25">
      <c r="D1122" s="1"/>
    </row>
    <row r="1123" spans="4:4" x14ac:dyDescent="0.25">
      <c r="D1123" s="1"/>
    </row>
    <row r="1124" spans="4:4" x14ac:dyDescent="0.25">
      <c r="D1124" s="1"/>
    </row>
    <row r="1125" spans="4:4" x14ac:dyDescent="0.25">
      <c r="D1125" s="1"/>
    </row>
    <row r="1126" spans="4:4" x14ac:dyDescent="0.25">
      <c r="D1126" s="1"/>
    </row>
    <row r="1127" spans="4:4" x14ac:dyDescent="0.25">
      <c r="D1127" s="1"/>
    </row>
    <row r="1128" spans="4:4" x14ac:dyDescent="0.25">
      <c r="D1128" s="1"/>
    </row>
    <row r="1129" spans="4:4" x14ac:dyDescent="0.25">
      <c r="D1129" s="1"/>
    </row>
    <row r="1130" spans="4:4" x14ac:dyDescent="0.25">
      <c r="D1130" s="1"/>
    </row>
    <row r="1131" spans="4:4" x14ac:dyDescent="0.25">
      <c r="D1131" s="1"/>
    </row>
    <row r="1132" spans="4:4" x14ac:dyDescent="0.25">
      <c r="D1132" s="1"/>
    </row>
    <row r="1133" spans="4:4" x14ac:dyDescent="0.25">
      <c r="D1133" s="1"/>
    </row>
    <row r="1134" spans="4:4" x14ac:dyDescent="0.25">
      <c r="D1134" s="1"/>
    </row>
    <row r="1135" spans="4:4" x14ac:dyDescent="0.25">
      <c r="D1135" s="1"/>
    </row>
    <row r="1136" spans="4:4" x14ac:dyDescent="0.25">
      <c r="D1136" s="1"/>
    </row>
    <row r="1137" spans="4:4" x14ac:dyDescent="0.25">
      <c r="D1137" s="1"/>
    </row>
    <row r="1138" spans="4:4" x14ac:dyDescent="0.25">
      <c r="D1138" s="1"/>
    </row>
    <row r="1139" spans="4:4" x14ac:dyDescent="0.25">
      <c r="D1139" s="1"/>
    </row>
    <row r="1140" spans="4:4" x14ac:dyDescent="0.25">
      <c r="D1140" s="1"/>
    </row>
    <row r="1141" spans="4:4" x14ac:dyDescent="0.25">
      <c r="D1141" s="1"/>
    </row>
    <row r="1142" spans="4:4" x14ac:dyDescent="0.25">
      <c r="D1142" s="1"/>
    </row>
    <row r="1143" spans="4:4" x14ac:dyDescent="0.25">
      <c r="D1143" s="1"/>
    </row>
    <row r="1144" spans="4:4" x14ac:dyDescent="0.25">
      <c r="D1144" s="1"/>
    </row>
    <row r="1145" spans="4:4" x14ac:dyDescent="0.25">
      <c r="D1145" s="1"/>
    </row>
    <row r="1146" spans="4:4" x14ac:dyDescent="0.25">
      <c r="D1146" s="1"/>
    </row>
    <row r="1147" spans="4:4" x14ac:dyDescent="0.25">
      <c r="D1147" s="1"/>
    </row>
    <row r="1148" spans="4:4" x14ac:dyDescent="0.25">
      <c r="D1148" s="1"/>
    </row>
    <row r="1149" spans="4:4" x14ac:dyDescent="0.25">
      <c r="D1149" s="1"/>
    </row>
    <row r="1150" spans="4:4" x14ac:dyDescent="0.25">
      <c r="D1150" s="1"/>
    </row>
    <row r="1151" spans="4:4" x14ac:dyDescent="0.25">
      <c r="D1151" s="1"/>
    </row>
    <row r="1152" spans="4:4" x14ac:dyDescent="0.25">
      <c r="D1152" s="1"/>
    </row>
    <row r="1153" spans="4:4" x14ac:dyDescent="0.25">
      <c r="D1153" s="1"/>
    </row>
    <row r="1154" spans="4:4" x14ac:dyDescent="0.25">
      <c r="D1154" s="1"/>
    </row>
    <row r="1155" spans="4:4" x14ac:dyDescent="0.25">
      <c r="D1155" s="1"/>
    </row>
    <row r="1156" spans="4:4" x14ac:dyDescent="0.25">
      <c r="D1156" s="1"/>
    </row>
    <row r="1157" spans="4:4" x14ac:dyDescent="0.25">
      <c r="D1157" s="1"/>
    </row>
    <row r="1158" spans="4:4" x14ac:dyDescent="0.25">
      <c r="D1158" s="1"/>
    </row>
    <row r="1159" spans="4:4" x14ac:dyDescent="0.25">
      <c r="D1159" s="1"/>
    </row>
    <row r="1160" spans="4:4" x14ac:dyDescent="0.25">
      <c r="D1160" s="1"/>
    </row>
    <row r="1161" spans="4:4" x14ac:dyDescent="0.25">
      <c r="D1161" s="1"/>
    </row>
    <row r="1162" spans="4:4" x14ac:dyDescent="0.25">
      <c r="D1162" s="1"/>
    </row>
    <row r="1163" spans="4:4" x14ac:dyDescent="0.25">
      <c r="D1163" s="1"/>
    </row>
    <row r="1164" spans="4:4" x14ac:dyDescent="0.25">
      <c r="D1164" s="1"/>
    </row>
    <row r="1165" spans="4:4" x14ac:dyDescent="0.25">
      <c r="D1165" s="1"/>
    </row>
    <row r="1166" spans="4:4" x14ac:dyDescent="0.25">
      <c r="D1166" s="1"/>
    </row>
    <row r="1167" spans="4:4" x14ac:dyDescent="0.25">
      <c r="D1167" s="1"/>
    </row>
    <row r="1168" spans="4:4" x14ac:dyDescent="0.25">
      <c r="D1168" s="1"/>
    </row>
    <row r="1169" spans="4:4" x14ac:dyDescent="0.25">
      <c r="D1169" s="1"/>
    </row>
    <row r="1170" spans="4:4" x14ac:dyDescent="0.25">
      <c r="D1170" s="1"/>
    </row>
    <row r="1171" spans="4:4" x14ac:dyDescent="0.25">
      <c r="D1171" s="1"/>
    </row>
    <row r="1172" spans="4:4" x14ac:dyDescent="0.25">
      <c r="D1172" s="1"/>
    </row>
    <row r="1173" spans="4:4" x14ac:dyDescent="0.25">
      <c r="D1173" s="1"/>
    </row>
    <row r="1174" spans="4:4" x14ac:dyDescent="0.25">
      <c r="D1174" s="1"/>
    </row>
    <row r="1175" spans="4:4" x14ac:dyDescent="0.25">
      <c r="D1175" s="1"/>
    </row>
    <row r="1176" spans="4:4" x14ac:dyDescent="0.25">
      <c r="D1176" s="1"/>
    </row>
    <row r="1177" spans="4:4" x14ac:dyDescent="0.25">
      <c r="D1177" s="1"/>
    </row>
    <row r="1178" spans="4:4" x14ac:dyDescent="0.25">
      <c r="D1178" s="1"/>
    </row>
    <row r="1179" spans="4:4" x14ac:dyDescent="0.25">
      <c r="D1179" s="1"/>
    </row>
    <row r="1180" spans="4:4" x14ac:dyDescent="0.25">
      <c r="D1180" s="1"/>
    </row>
    <row r="1181" spans="4:4" x14ac:dyDescent="0.25">
      <c r="D1181" s="1"/>
    </row>
    <row r="1182" spans="4:4" x14ac:dyDescent="0.25">
      <c r="D1182" s="1"/>
    </row>
    <row r="1183" spans="4:4" x14ac:dyDescent="0.25">
      <c r="D1183" s="1"/>
    </row>
    <row r="1184" spans="4:4" x14ac:dyDescent="0.25">
      <c r="D1184" s="1"/>
    </row>
    <row r="1185" spans="4:4" x14ac:dyDescent="0.25">
      <c r="D1185" s="1"/>
    </row>
    <row r="1186" spans="4:4" x14ac:dyDescent="0.25">
      <c r="D1186" s="1"/>
    </row>
    <row r="1187" spans="4:4" x14ac:dyDescent="0.25">
      <c r="D1187" s="1"/>
    </row>
    <row r="1188" spans="4:4" x14ac:dyDescent="0.25">
      <c r="D1188" s="1"/>
    </row>
    <row r="1189" spans="4:4" x14ac:dyDescent="0.25">
      <c r="D1189" s="1"/>
    </row>
    <row r="1190" spans="4:4" x14ac:dyDescent="0.25">
      <c r="D1190" s="1"/>
    </row>
    <row r="1191" spans="4:4" x14ac:dyDescent="0.25">
      <c r="D1191" s="1"/>
    </row>
    <row r="1192" spans="4:4" x14ac:dyDescent="0.25">
      <c r="D1192" s="1"/>
    </row>
    <row r="1193" spans="4:4" x14ac:dyDescent="0.25">
      <c r="D1193" s="1"/>
    </row>
    <row r="1194" spans="4:4" x14ac:dyDescent="0.25">
      <c r="D1194" s="1"/>
    </row>
    <row r="1195" spans="4:4" x14ac:dyDescent="0.25">
      <c r="D1195" s="1"/>
    </row>
    <row r="1196" spans="4:4" x14ac:dyDescent="0.25">
      <c r="D1196" s="1"/>
    </row>
    <row r="1197" spans="4:4" x14ac:dyDescent="0.25">
      <c r="D1197" s="1"/>
    </row>
    <row r="1198" spans="4:4" x14ac:dyDescent="0.25">
      <c r="D1198" s="1"/>
    </row>
    <row r="1199" spans="4:4" x14ac:dyDescent="0.25">
      <c r="D1199" s="1"/>
    </row>
    <row r="1200" spans="4:4" x14ac:dyDescent="0.25">
      <c r="D1200" s="1"/>
    </row>
    <row r="1201" spans="4:4" x14ac:dyDescent="0.25">
      <c r="D1201" s="1"/>
    </row>
    <row r="1202" spans="4:4" x14ac:dyDescent="0.25">
      <c r="D1202" s="1"/>
    </row>
    <row r="1203" spans="4:4" x14ac:dyDescent="0.25">
      <c r="D1203" s="1"/>
    </row>
    <row r="1204" spans="4:4" x14ac:dyDescent="0.25">
      <c r="D1204" s="1"/>
    </row>
    <row r="1205" spans="4:4" x14ac:dyDescent="0.25">
      <c r="D1205" s="1"/>
    </row>
    <row r="1206" spans="4:4" x14ac:dyDescent="0.25">
      <c r="D1206" s="1"/>
    </row>
    <row r="1207" spans="4:4" x14ac:dyDescent="0.25">
      <c r="D1207" s="1"/>
    </row>
    <row r="1208" spans="4:4" x14ac:dyDescent="0.25">
      <c r="D1208" s="1"/>
    </row>
    <row r="1209" spans="4:4" x14ac:dyDescent="0.25">
      <c r="D1209" s="1"/>
    </row>
    <row r="1210" spans="4:4" x14ac:dyDescent="0.25">
      <c r="D1210" s="1"/>
    </row>
    <row r="1211" spans="4:4" x14ac:dyDescent="0.25">
      <c r="D1211" s="1"/>
    </row>
    <row r="1212" spans="4:4" x14ac:dyDescent="0.25">
      <c r="D1212" s="1"/>
    </row>
    <row r="1213" spans="4:4" x14ac:dyDescent="0.25">
      <c r="D1213" s="1"/>
    </row>
    <row r="1214" spans="4:4" x14ac:dyDescent="0.25">
      <c r="D1214" s="1"/>
    </row>
    <row r="1215" spans="4:4" x14ac:dyDescent="0.25">
      <c r="D1215" s="1"/>
    </row>
    <row r="1216" spans="4:4" x14ac:dyDescent="0.25">
      <c r="D1216" s="1"/>
    </row>
    <row r="1217" spans="4:4" x14ac:dyDescent="0.25">
      <c r="D1217" s="1"/>
    </row>
    <row r="1218" spans="4:4" x14ac:dyDescent="0.25">
      <c r="D1218" s="1"/>
    </row>
    <row r="1219" spans="4:4" x14ac:dyDescent="0.25">
      <c r="D1219" s="1"/>
    </row>
    <row r="1220" spans="4:4" x14ac:dyDescent="0.25">
      <c r="D1220" s="1"/>
    </row>
    <row r="1221" spans="4:4" x14ac:dyDescent="0.25">
      <c r="D1221" s="1"/>
    </row>
    <row r="1222" spans="4:4" x14ac:dyDescent="0.25">
      <c r="D1222" s="1"/>
    </row>
    <row r="1223" spans="4:4" x14ac:dyDescent="0.25">
      <c r="D1223" s="1"/>
    </row>
    <row r="1224" spans="4:4" x14ac:dyDescent="0.25">
      <c r="D1224" s="1"/>
    </row>
    <row r="1225" spans="4:4" x14ac:dyDescent="0.25">
      <c r="D1225" s="1"/>
    </row>
    <row r="1226" spans="4:4" x14ac:dyDescent="0.25">
      <c r="D1226" s="1"/>
    </row>
    <row r="1227" spans="4:4" x14ac:dyDescent="0.25">
      <c r="D1227" s="1"/>
    </row>
    <row r="1228" spans="4:4" x14ac:dyDescent="0.25">
      <c r="D1228" s="1"/>
    </row>
    <row r="1229" spans="4:4" x14ac:dyDescent="0.25">
      <c r="D1229" s="1"/>
    </row>
    <row r="1230" spans="4:4" x14ac:dyDescent="0.25">
      <c r="D1230" s="1"/>
    </row>
    <row r="1231" spans="4:4" x14ac:dyDescent="0.25">
      <c r="D1231" s="1"/>
    </row>
    <row r="1232" spans="4:4" x14ac:dyDescent="0.25">
      <c r="D1232" s="1"/>
    </row>
    <row r="1233" spans="4:4" x14ac:dyDescent="0.25">
      <c r="D1233" s="1"/>
    </row>
    <row r="1234" spans="4:4" x14ac:dyDescent="0.25">
      <c r="D1234" s="1"/>
    </row>
    <row r="1235" spans="4:4" x14ac:dyDescent="0.25">
      <c r="D1235" s="1"/>
    </row>
    <row r="1236" spans="4:4" x14ac:dyDescent="0.25">
      <c r="D1236" s="1"/>
    </row>
    <row r="1237" spans="4:4" x14ac:dyDescent="0.25">
      <c r="D1237" s="1"/>
    </row>
    <row r="1238" spans="4:4" x14ac:dyDescent="0.25">
      <c r="D1238" s="1"/>
    </row>
    <row r="1239" spans="4:4" x14ac:dyDescent="0.25">
      <c r="D1239" s="1"/>
    </row>
    <row r="1240" spans="4:4" x14ac:dyDescent="0.25">
      <c r="D1240" s="1"/>
    </row>
    <row r="1241" spans="4:4" x14ac:dyDescent="0.25">
      <c r="D1241" s="1"/>
    </row>
    <row r="1242" spans="4:4" x14ac:dyDescent="0.25">
      <c r="D1242" s="1"/>
    </row>
    <row r="1243" spans="4:4" x14ac:dyDescent="0.25">
      <c r="D1243" s="1"/>
    </row>
    <row r="1244" spans="4:4" x14ac:dyDescent="0.25">
      <c r="D1244" s="1"/>
    </row>
    <row r="1245" spans="4:4" x14ac:dyDescent="0.25">
      <c r="D1245" s="1"/>
    </row>
    <row r="1246" spans="4:4" x14ac:dyDescent="0.25">
      <c r="D1246" s="1"/>
    </row>
    <row r="1247" spans="4:4" x14ac:dyDescent="0.25">
      <c r="D1247" s="1"/>
    </row>
    <row r="1248" spans="4:4" x14ac:dyDescent="0.25">
      <c r="D1248" s="1"/>
    </row>
    <row r="1249" spans="4:4" x14ac:dyDescent="0.25">
      <c r="D1249" s="1"/>
    </row>
    <row r="1250" spans="4:4" x14ac:dyDescent="0.25">
      <c r="D1250" s="1"/>
    </row>
    <row r="1251" spans="4:4" x14ac:dyDescent="0.25">
      <c r="D1251" s="1"/>
    </row>
    <row r="1252" spans="4:4" x14ac:dyDescent="0.25">
      <c r="D1252" s="1"/>
    </row>
    <row r="1253" spans="4:4" x14ac:dyDescent="0.25">
      <c r="D1253" s="1"/>
    </row>
    <row r="1254" spans="4:4" x14ac:dyDescent="0.25">
      <c r="D1254" s="1"/>
    </row>
    <row r="1255" spans="4:4" x14ac:dyDescent="0.25">
      <c r="D1255" s="1"/>
    </row>
    <row r="1256" spans="4:4" x14ac:dyDescent="0.25">
      <c r="D1256" s="1"/>
    </row>
    <row r="1257" spans="4:4" x14ac:dyDescent="0.25">
      <c r="D1257" s="1"/>
    </row>
    <row r="1258" spans="4:4" x14ac:dyDescent="0.25">
      <c r="D1258" s="1"/>
    </row>
    <row r="1259" spans="4:4" x14ac:dyDescent="0.25">
      <c r="D1259" s="1"/>
    </row>
    <row r="1260" spans="4:4" x14ac:dyDescent="0.25">
      <c r="D1260" s="1"/>
    </row>
    <row r="1261" spans="4:4" x14ac:dyDescent="0.25">
      <c r="D1261" s="1"/>
    </row>
    <row r="1262" spans="4:4" x14ac:dyDescent="0.25">
      <c r="D1262" s="1"/>
    </row>
    <row r="1263" spans="4:4" x14ac:dyDescent="0.25">
      <c r="D1263" s="1"/>
    </row>
    <row r="1264" spans="4:4" x14ac:dyDescent="0.25">
      <c r="D1264" s="1"/>
    </row>
    <row r="1265" spans="4:4" x14ac:dyDescent="0.25">
      <c r="D1265" s="1"/>
    </row>
    <row r="1266" spans="4:4" x14ac:dyDescent="0.25">
      <c r="D1266" s="1"/>
    </row>
    <row r="1267" spans="4:4" x14ac:dyDescent="0.25">
      <c r="D1267" s="1"/>
    </row>
    <row r="1268" spans="4:4" x14ac:dyDescent="0.25">
      <c r="D1268" s="1"/>
    </row>
    <row r="1269" spans="4:4" x14ac:dyDescent="0.25">
      <c r="D1269" s="1"/>
    </row>
    <row r="1270" spans="4:4" x14ac:dyDescent="0.25">
      <c r="D1270" s="1"/>
    </row>
    <row r="1271" spans="4:4" x14ac:dyDescent="0.25">
      <c r="D1271" s="1"/>
    </row>
    <row r="1272" spans="4:4" x14ac:dyDescent="0.25">
      <c r="D1272" s="1"/>
    </row>
    <row r="1273" spans="4:4" x14ac:dyDescent="0.25">
      <c r="D1273" s="1"/>
    </row>
    <row r="1274" spans="4:4" x14ac:dyDescent="0.25">
      <c r="D1274" s="1"/>
    </row>
    <row r="1275" spans="4:4" x14ac:dyDescent="0.25">
      <c r="D1275" s="1"/>
    </row>
    <row r="1276" spans="4:4" x14ac:dyDescent="0.25">
      <c r="D1276" s="1"/>
    </row>
    <row r="1277" spans="4:4" x14ac:dyDescent="0.25">
      <c r="D1277" s="1"/>
    </row>
    <row r="1278" spans="4:4" x14ac:dyDescent="0.25">
      <c r="D1278" s="1"/>
    </row>
    <row r="1279" spans="4:4" x14ac:dyDescent="0.25">
      <c r="D1279" s="1"/>
    </row>
    <row r="1280" spans="4:4" x14ac:dyDescent="0.25">
      <c r="D1280" s="1"/>
    </row>
    <row r="1281" spans="4:4" x14ac:dyDescent="0.25">
      <c r="D1281" s="1"/>
    </row>
    <row r="1282" spans="4:4" x14ac:dyDescent="0.25">
      <c r="D1282" s="1"/>
    </row>
    <row r="1283" spans="4:4" x14ac:dyDescent="0.25">
      <c r="D1283" s="1"/>
    </row>
    <row r="1284" spans="4:4" x14ac:dyDescent="0.25">
      <c r="D1284" s="1"/>
    </row>
    <row r="1285" spans="4:4" x14ac:dyDescent="0.25">
      <c r="D1285" s="1"/>
    </row>
    <row r="1286" spans="4:4" x14ac:dyDescent="0.25">
      <c r="D1286" s="1"/>
    </row>
    <row r="1287" spans="4:4" x14ac:dyDescent="0.25">
      <c r="D1287" s="1"/>
    </row>
    <row r="1288" spans="4:4" x14ac:dyDescent="0.25">
      <c r="D1288" s="1"/>
    </row>
    <row r="1289" spans="4:4" x14ac:dyDescent="0.25">
      <c r="D1289" s="1"/>
    </row>
    <row r="1290" spans="4:4" x14ac:dyDescent="0.25">
      <c r="D1290" s="1"/>
    </row>
    <row r="1291" spans="4:4" x14ac:dyDescent="0.25">
      <c r="D1291" s="1"/>
    </row>
    <row r="1292" spans="4:4" x14ac:dyDescent="0.25">
      <c r="D1292" s="1"/>
    </row>
    <row r="1293" spans="4:4" x14ac:dyDescent="0.25">
      <c r="D1293" s="1"/>
    </row>
    <row r="1294" spans="4:4" x14ac:dyDescent="0.25">
      <c r="D1294" s="1"/>
    </row>
    <row r="1295" spans="4:4" x14ac:dyDescent="0.25">
      <c r="D1295" s="1"/>
    </row>
    <row r="1296" spans="4:4" x14ac:dyDescent="0.25">
      <c r="D1296" s="1"/>
    </row>
    <row r="1297" spans="4:4" x14ac:dyDescent="0.25">
      <c r="D1297" s="1"/>
    </row>
    <row r="1298" spans="4:4" x14ac:dyDescent="0.25">
      <c r="D1298" s="1"/>
    </row>
    <row r="1299" spans="4:4" x14ac:dyDescent="0.25">
      <c r="D1299" s="1"/>
    </row>
    <row r="1300" spans="4:4" x14ac:dyDescent="0.25">
      <c r="D1300" s="1"/>
    </row>
    <row r="1301" spans="4:4" x14ac:dyDescent="0.25">
      <c r="D1301" s="1"/>
    </row>
    <row r="1302" spans="4:4" x14ac:dyDescent="0.25">
      <c r="D1302" s="1"/>
    </row>
    <row r="1303" spans="4:4" x14ac:dyDescent="0.25">
      <c r="D1303" s="1"/>
    </row>
    <row r="1304" spans="4:4" x14ac:dyDescent="0.25">
      <c r="D1304" s="1"/>
    </row>
    <row r="1305" spans="4:4" x14ac:dyDescent="0.25">
      <c r="D1305" s="1"/>
    </row>
    <row r="1306" spans="4:4" x14ac:dyDescent="0.25">
      <c r="D1306" s="1"/>
    </row>
    <row r="1307" spans="4:4" x14ac:dyDescent="0.25">
      <c r="D1307" s="1"/>
    </row>
    <row r="1308" spans="4:4" x14ac:dyDescent="0.25">
      <c r="D1308" s="1"/>
    </row>
    <row r="1309" spans="4:4" x14ac:dyDescent="0.25">
      <c r="D1309" s="1"/>
    </row>
    <row r="1310" spans="4:4" x14ac:dyDescent="0.25">
      <c r="D1310" s="1"/>
    </row>
    <row r="1311" spans="4:4" x14ac:dyDescent="0.25">
      <c r="D1311" s="1"/>
    </row>
    <row r="1312" spans="4:4" x14ac:dyDescent="0.25">
      <c r="D1312" s="1"/>
    </row>
    <row r="1313" spans="4:4" x14ac:dyDescent="0.25">
      <c r="D1313" s="1"/>
    </row>
    <row r="1314" spans="4:4" x14ac:dyDescent="0.25">
      <c r="D1314" s="1"/>
    </row>
    <row r="1315" spans="4:4" x14ac:dyDescent="0.25">
      <c r="D1315" s="1"/>
    </row>
    <row r="1316" spans="4:4" x14ac:dyDescent="0.25">
      <c r="D1316" s="1"/>
    </row>
    <row r="1317" spans="4:4" x14ac:dyDescent="0.25">
      <c r="D1317" s="1"/>
    </row>
    <row r="1318" spans="4:4" x14ac:dyDescent="0.25">
      <c r="D1318" s="1"/>
    </row>
    <row r="1319" spans="4:4" x14ac:dyDescent="0.25">
      <c r="D1319" s="1"/>
    </row>
    <row r="1320" spans="4:4" x14ac:dyDescent="0.25">
      <c r="D1320" s="1"/>
    </row>
    <row r="1321" spans="4:4" x14ac:dyDescent="0.25">
      <c r="D1321" s="1"/>
    </row>
    <row r="1322" spans="4:4" x14ac:dyDescent="0.25">
      <c r="D1322" s="1"/>
    </row>
    <row r="1323" spans="4:4" x14ac:dyDescent="0.25">
      <c r="D1323" s="1"/>
    </row>
    <row r="1324" spans="4:4" x14ac:dyDescent="0.25">
      <c r="D1324" s="1"/>
    </row>
    <row r="1325" spans="4:4" x14ac:dyDescent="0.25">
      <c r="D1325" s="1"/>
    </row>
    <row r="1326" spans="4:4" x14ac:dyDescent="0.25">
      <c r="D1326" s="1"/>
    </row>
    <row r="1327" spans="4:4" x14ac:dyDescent="0.25">
      <c r="D1327" s="1"/>
    </row>
    <row r="1328" spans="4:4" x14ac:dyDescent="0.25">
      <c r="D1328" s="1"/>
    </row>
    <row r="1329" spans="4:4" x14ac:dyDescent="0.25">
      <c r="D1329" s="1"/>
    </row>
    <row r="1330" spans="4:4" x14ac:dyDescent="0.25">
      <c r="D1330" s="1"/>
    </row>
    <row r="1331" spans="4:4" x14ac:dyDescent="0.25">
      <c r="D1331" s="1"/>
    </row>
    <row r="1332" spans="4:4" x14ac:dyDescent="0.25">
      <c r="D1332" s="1"/>
    </row>
    <row r="1333" spans="4:4" x14ac:dyDescent="0.25">
      <c r="D1333" s="1"/>
    </row>
    <row r="1334" spans="4:4" x14ac:dyDescent="0.25">
      <c r="D1334" s="1"/>
    </row>
    <row r="1335" spans="4:4" x14ac:dyDescent="0.25">
      <c r="D1335" s="1"/>
    </row>
    <row r="1336" spans="4:4" x14ac:dyDescent="0.25">
      <c r="D1336" s="1"/>
    </row>
    <row r="1337" spans="4:4" x14ac:dyDescent="0.25">
      <c r="D1337" s="1"/>
    </row>
    <row r="1338" spans="4:4" x14ac:dyDescent="0.25">
      <c r="D1338" s="1"/>
    </row>
    <row r="1339" spans="4:4" x14ac:dyDescent="0.25">
      <c r="D1339" s="1"/>
    </row>
    <row r="1340" spans="4:4" x14ac:dyDescent="0.25">
      <c r="D1340" s="1"/>
    </row>
    <row r="1341" spans="4:4" x14ac:dyDescent="0.25">
      <c r="D1341" s="1"/>
    </row>
    <row r="1342" spans="4:4" x14ac:dyDescent="0.25">
      <c r="D1342" s="1"/>
    </row>
    <row r="1343" spans="4:4" x14ac:dyDescent="0.25">
      <c r="D1343" s="1"/>
    </row>
    <row r="1344" spans="4:4" x14ac:dyDescent="0.25">
      <c r="D1344" s="1"/>
    </row>
    <row r="1345" spans="4:4" x14ac:dyDescent="0.25">
      <c r="D1345" s="1"/>
    </row>
    <row r="1346" spans="4:4" x14ac:dyDescent="0.25">
      <c r="D1346" s="1"/>
    </row>
    <row r="1347" spans="4:4" x14ac:dyDescent="0.25">
      <c r="D1347" s="1"/>
    </row>
    <row r="1348" spans="4:4" x14ac:dyDescent="0.25">
      <c r="D1348" s="1"/>
    </row>
    <row r="1349" spans="4:4" x14ac:dyDescent="0.25">
      <c r="D1349" s="1"/>
    </row>
    <row r="1350" spans="4:4" x14ac:dyDescent="0.25">
      <c r="D1350" s="1"/>
    </row>
    <row r="1351" spans="4:4" x14ac:dyDescent="0.25">
      <c r="D1351" s="1"/>
    </row>
    <row r="1352" spans="4:4" x14ac:dyDescent="0.25">
      <c r="D1352" s="1"/>
    </row>
    <row r="1353" spans="4:4" x14ac:dyDescent="0.25">
      <c r="D1353" s="1"/>
    </row>
    <row r="1354" spans="4:4" x14ac:dyDescent="0.25">
      <c r="D1354" s="1"/>
    </row>
    <row r="1355" spans="4:4" x14ac:dyDescent="0.25">
      <c r="D1355" s="1"/>
    </row>
    <row r="1356" spans="4:4" x14ac:dyDescent="0.25">
      <c r="D1356" s="1"/>
    </row>
    <row r="1357" spans="4:4" x14ac:dyDescent="0.25">
      <c r="D1357" s="1"/>
    </row>
    <row r="1358" spans="4:4" x14ac:dyDescent="0.25">
      <c r="D1358" s="1"/>
    </row>
    <row r="1359" spans="4:4" x14ac:dyDescent="0.25">
      <c r="D1359" s="1"/>
    </row>
    <row r="1360" spans="4:4" x14ac:dyDescent="0.25">
      <c r="D1360" s="1"/>
    </row>
    <row r="1361" spans="4:4" x14ac:dyDescent="0.25">
      <c r="D1361" s="1"/>
    </row>
    <row r="1362" spans="4:4" x14ac:dyDescent="0.25">
      <c r="D1362" s="1"/>
    </row>
    <row r="1363" spans="4:4" x14ac:dyDescent="0.25">
      <c r="D1363" s="1"/>
    </row>
    <row r="1364" spans="4:4" x14ac:dyDescent="0.25">
      <c r="D1364" s="1"/>
    </row>
    <row r="1365" spans="4:4" x14ac:dyDescent="0.25">
      <c r="D1365" s="1"/>
    </row>
    <row r="1366" spans="4:4" x14ac:dyDescent="0.25">
      <c r="D1366" s="1"/>
    </row>
    <row r="1367" spans="4:4" x14ac:dyDescent="0.25">
      <c r="D1367" s="1"/>
    </row>
    <row r="1368" spans="4:4" x14ac:dyDescent="0.25">
      <c r="D1368" s="1"/>
    </row>
    <row r="1369" spans="4:4" x14ac:dyDescent="0.25">
      <c r="D1369" s="1"/>
    </row>
    <row r="1370" spans="4:4" x14ac:dyDescent="0.25">
      <c r="D1370" s="1"/>
    </row>
    <row r="1371" spans="4:4" x14ac:dyDescent="0.25">
      <c r="D1371" s="1"/>
    </row>
    <row r="1372" spans="4:4" x14ac:dyDescent="0.25">
      <c r="D1372" s="1"/>
    </row>
    <row r="1373" spans="4:4" x14ac:dyDescent="0.25">
      <c r="D1373" s="1"/>
    </row>
    <row r="1374" spans="4:4" x14ac:dyDescent="0.25">
      <c r="D1374" s="1"/>
    </row>
    <row r="1375" spans="4:4" x14ac:dyDescent="0.25">
      <c r="D1375" s="1"/>
    </row>
    <row r="1376" spans="4:4" x14ac:dyDescent="0.25">
      <c r="D1376" s="1"/>
    </row>
    <row r="1377" spans="4:4" x14ac:dyDescent="0.25">
      <c r="D1377" s="1"/>
    </row>
    <row r="1378" spans="4:4" x14ac:dyDescent="0.25">
      <c r="D1378" s="1"/>
    </row>
    <row r="1379" spans="4:4" x14ac:dyDescent="0.25">
      <c r="D1379" s="1"/>
    </row>
    <row r="1380" spans="4:4" x14ac:dyDescent="0.25">
      <c r="D1380" s="1"/>
    </row>
    <row r="1381" spans="4:4" x14ac:dyDescent="0.25">
      <c r="D1381" s="1"/>
    </row>
    <row r="1382" spans="4:4" x14ac:dyDescent="0.25">
      <c r="D1382" s="1"/>
    </row>
    <row r="1383" spans="4:4" x14ac:dyDescent="0.25">
      <c r="D1383" s="1"/>
    </row>
    <row r="1384" spans="4:4" x14ac:dyDescent="0.25">
      <c r="D1384" s="1"/>
    </row>
    <row r="1385" spans="4:4" x14ac:dyDescent="0.25">
      <c r="D1385" s="1"/>
    </row>
    <row r="1386" spans="4:4" x14ac:dyDescent="0.25">
      <c r="D1386" s="1"/>
    </row>
    <row r="1387" spans="4:4" x14ac:dyDescent="0.25">
      <c r="D1387" s="1"/>
    </row>
    <row r="1388" spans="4:4" x14ac:dyDescent="0.25">
      <c r="D1388" s="1"/>
    </row>
    <row r="1389" spans="4:4" x14ac:dyDescent="0.25">
      <c r="D1389" s="1"/>
    </row>
    <row r="1390" spans="4:4" x14ac:dyDescent="0.25">
      <c r="D1390" s="1"/>
    </row>
    <row r="1391" spans="4:4" x14ac:dyDescent="0.25">
      <c r="D1391" s="1"/>
    </row>
    <row r="1392" spans="4:4" x14ac:dyDescent="0.25">
      <c r="D1392" s="1"/>
    </row>
    <row r="1393" spans="4:4" x14ac:dyDescent="0.25">
      <c r="D1393" s="1"/>
    </row>
    <row r="1394" spans="4:4" x14ac:dyDescent="0.25">
      <c r="D1394" s="1"/>
    </row>
    <row r="1395" spans="4:4" x14ac:dyDescent="0.25">
      <c r="D1395" s="1"/>
    </row>
    <row r="1396" spans="4:4" x14ac:dyDescent="0.25">
      <c r="D1396" s="1"/>
    </row>
    <row r="1397" spans="4:4" x14ac:dyDescent="0.25">
      <c r="D1397" s="1"/>
    </row>
    <row r="1398" spans="4:4" x14ac:dyDescent="0.25">
      <c r="D1398" s="1"/>
    </row>
    <row r="1399" spans="4:4" x14ac:dyDescent="0.25">
      <c r="D1399" s="1"/>
    </row>
    <row r="1400" spans="4:4" x14ac:dyDescent="0.25">
      <c r="D1400" s="1"/>
    </row>
    <row r="1401" spans="4:4" x14ac:dyDescent="0.25">
      <c r="D1401" s="1"/>
    </row>
    <row r="1402" spans="4:4" x14ac:dyDescent="0.25">
      <c r="D1402" s="1"/>
    </row>
    <row r="1403" spans="4:4" x14ac:dyDescent="0.25">
      <c r="D1403" s="1"/>
    </row>
    <row r="1404" spans="4:4" x14ac:dyDescent="0.25">
      <c r="D1404" s="1"/>
    </row>
    <row r="1405" spans="4:4" x14ac:dyDescent="0.25">
      <c r="D1405" s="1"/>
    </row>
    <row r="1406" spans="4:4" x14ac:dyDescent="0.25">
      <c r="D1406" s="1"/>
    </row>
    <row r="1407" spans="4:4" x14ac:dyDescent="0.25">
      <c r="D1407" s="1"/>
    </row>
    <row r="1408" spans="4:4" x14ac:dyDescent="0.25">
      <c r="D1408" s="1"/>
    </row>
    <row r="1409" spans="4:4" x14ac:dyDescent="0.25">
      <c r="D1409" s="1"/>
    </row>
    <row r="1410" spans="4:4" x14ac:dyDescent="0.25">
      <c r="D1410" s="1"/>
    </row>
    <row r="1411" spans="4:4" x14ac:dyDescent="0.25">
      <c r="D1411" s="1"/>
    </row>
    <row r="1412" spans="4:4" x14ac:dyDescent="0.25">
      <c r="D1412" s="1"/>
    </row>
    <row r="1413" spans="4:4" x14ac:dyDescent="0.25">
      <c r="D1413" s="1"/>
    </row>
    <row r="1414" spans="4:4" x14ac:dyDescent="0.25">
      <c r="D1414" s="1"/>
    </row>
    <row r="1415" spans="4:4" x14ac:dyDescent="0.25">
      <c r="D1415" s="1"/>
    </row>
    <row r="1416" spans="4:4" x14ac:dyDescent="0.25">
      <c r="D1416" s="1"/>
    </row>
    <row r="1417" spans="4:4" x14ac:dyDescent="0.25">
      <c r="D1417" s="1"/>
    </row>
    <row r="1418" spans="4:4" x14ac:dyDescent="0.25">
      <c r="D1418" s="1"/>
    </row>
    <row r="1419" spans="4:4" x14ac:dyDescent="0.25">
      <c r="D1419" s="1"/>
    </row>
    <row r="1420" spans="4:4" x14ac:dyDescent="0.25">
      <c r="D1420" s="1"/>
    </row>
    <row r="1421" spans="4:4" x14ac:dyDescent="0.25">
      <c r="D1421" s="1"/>
    </row>
    <row r="1422" spans="4:4" x14ac:dyDescent="0.25">
      <c r="D1422" s="1"/>
    </row>
    <row r="1423" spans="4:4" x14ac:dyDescent="0.25">
      <c r="D1423" s="1"/>
    </row>
    <row r="1424" spans="4:4" x14ac:dyDescent="0.25">
      <c r="D1424" s="1"/>
    </row>
    <row r="1425" spans="4:4" x14ac:dyDescent="0.25">
      <c r="D1425" s="1"/>
    </row>
    <row r="1426" spans="4:4" x14ac:dyDescent="0.25">
      <c r="D1426" s="1"/>
    </row>
    <row r="1427" spans="4:4" x14ac:dyDescent="0.25">
      <c r="D1427" s="1"/>
    </row>
    <row r="1428" spans="4:4" x14ac:dyDescent="0.25">
      <c r="D1428" s="1"/>
    </row>
    <row r="1429" spans="4:4" x14ac:dyDescent="0.25">
      <c r="D1429" s="1"/>
    </row>
    <row r="1430" spans="4:4" x14ac:dyDescent="0.25">
      <c r="D1430" s="1"/>
    </row>
    <row r="1431" spans="4:4" x14ac:dyDescent="0.25">
      <c r="D1431" s="1"/>
    </row>
    <row r="1432" spans="4:4" x14ac:dyDescent="0.25">
      <c r="D1432" s="1"/>
    </row>
    <row r="1433" spans="4:4" x14ac:dyDescent="0.25">
      <c r="D1433" s="1"/>
    </row>
    <row r="1434" spans="4:4" x14ac:dyDescent="0.25">
      <c r="D1434" s="1"/>
    </row>
    <row r="1435" spans="4:4" x14ac:dyDescent="0.25">
      <c r="D1435" s="1"/>
    </row>
    <row r="1436" spans="4:4" x14ac:dyDescent="0.25">
      <c r="D1436" s="1"/>
    </row>
    <row r="1437" spans="4:4" x14ac:dyDescent="0.25">
      <c r="D1437" s="1"/>
    </row>
    <row r="1438" spans="4:4" x14ac:dyDescent="0.25">
      <c r="D1438" s="1"/>
    </row>
    <row r="1439" spans="4:4" x14ac:dyDescent="0.25">
      <c r="D1439" s="1"/>
    </row>
    <row r="1440" spans="4:4" x14ac:dyDescent="0.25">
      <c r="D1440" s="1"/>
    </row>
    <row r="1441" spans="4:4" x14ac:dyDescent="0.25">
      <c r="D1441" s="1"/>
    </row>
    <row r="1442" spans="4:4" x14ac:dyDescent="0.25">
      <c r="D1442" s="1"/>
    </row>
    <row r="1443" spans="4:4" x14ac:dyDescent="0.25">
      <c r="D1443" s="1"/>
    </row>
    <row r="1444" spans="4:4" x14ac:dyDescent="0.25">
      <c r="D1444" s="1"/>
    </row>
    <row r="1445" spans="4:4" x14ac:dyDescent="0.25">
      <c r="D1445" s="1"/>
    </row>
    <row r="1446" spans="4:4" x14ac:dyDescent="0.25">
      <c r="D1446" s="1"/>
    </row>
    <row r="1447" spans="4:4" x14ac:dyDescent="0.25">
      <c r="D1447" s="1"/>
    </row>
    <row r="1448" spans="4:4" x14ac:dyDescent="0.25">
      <c r="D1448" s="1"/>
    </row>
    <row r="1449" spans="4:4" x14ac:dyDescent="0.25">
      <c r="D1449" s="1"/>
    </row>
    <row r="1450" spans="4:4" x14ac:dyDescent="0.25">
      <c r="D1450" s="1"/>
    </row>
    <row r="1451" spans="4:4" x14ac:dyDescent="0.25">
      <c r="D1451" s="1"/>
    </row>
    <row r="1452" spans="4:4" x14ac:dyDescent="0.25">
      <c r="D1452" s="1"/>
    </row>
    <row r="1453" spans="4:4" x14ac:dyDescent="0.25">
      <c r="D1453" s="1"/>
    </row>
    <row r="1454" spans="4:4" x14ac:dyDescent="0.25">
      <c r="D1454" s="1"/>
    </row>
    <row r="1455" spans="4:4" x14ac:dyDescent="0.25">
      <c r="D1455" s="1"/>
    </row>
    <row r="1456" spans="4:4" x14ac:dyDescent="0.25">
      <c r="D1456" s="1"/>
    </row>
    <row r="1457" spans="4:4" x14ac:dyDescent="0.25">
      <c r="D1457" s="1"/>
    </row>
    <row r="1458" spans="4:4" x14ac:dyDescent="0.25">
      <c r="D1458" s="1"/>
    </row>
    <row r="1459" spans="4:4" x14ac:dyDescent="0.25">
      <c r="D1459" s="1"/>
    </row>
    <row r="1460" spans="4:4" x14ac:dyDescent="0.25">
      <c r="D1460" s="1"/>
    </row>
    <row r="1461" spans="4:4" x14ac:dyDescent="0.25">
      <c r="D1461" s="1"/>
    </row>
    <row r="1462" spans="4:4" x14ac:dyDescent="0.25">
      <c r="D1462" s="1"/>
    </row>
    <row r="1463" spans="4:4" x14ac:dyDescent="0.25">
      <c r="D1463" s="1"/>
    </row>
    <row r="1464" spans="4:4" x14ac:dyDescent="0.25">
      <c r="D1464" s="1"/>
    </row>
    <row r="1465" spans="4:4" x14ac:dyDescent="0.25">
      <c r="D1465" s="1"/>
    </row>
    <row r="1466" spans="4:4" x14ac:dyDescent="0.25">
      <c r="D1466" s="1"/>
    </row>
    <row r="1467" spans="4:4" x14ac:dyDescent="0.25">
      <c r="D1467" s="1"/>
    </row>
    <row r="1468" spans="4:4" x14ac:dyDescent="0.25">
      <c r="D1468" s="1"/>
    </row>
    <row r="1469" spans="4:4" x14ac:dyDescent="0.25">
      <c r="D1469" s="1"/>
    </row>
    <row r="1470" spans="4:4" x14ac:dyDescent="0.25">
      <c r="D1470" s="1"/>
    </row>
    <row r="1471" spans="4:4" x14ac:dyDescent="0.25">
      <c r="D1471" s="1"/>
    </row>
    <row r="1472" spans="4:4" x14ac:dyDescent="0.25">
      <c r="D1472" s="1"/>
    </row>
    <row r="1473" spans="4:4" x14ac:dyDescent="0.25">
      <c r="D1473" s="1"/>
    </row>
    <row r="1474" spans="4:4" x14ac:dyDescent="0.25">
      <c r="D1474" s="1"/>
    </row>
    <row r="1475" spans="4:4" x14ac:dyDescent="0.25">
      <c r="D1475" s="1"/>
    </row>
    <row r="1476" spans="4:4" x14ac:dyDescent="0.25">
      <c r="D1476" s="1"/>
    </row>
    <row r="1477" spans="4:4" x14ac:dyDescent="0.25">
      <c r="D1477" s="1"/>
    </row>
    <row r="1478" spans="4:4" x14ac:dyDescent="0.25">
      <c r="D1478" s="1"/>
    </row>
    <row r="1479" spans="4:4" x14ac:dyDescent="0.25">
      <c r="D1479" s="1"/>
    </row>
    <row r="1480" spans="4:4" x14ac:dyDescent="0.25">
      <c r="D1480" s="1"/>
    </row>
    <row r="1481" spans="4:4" x14ac:dyDescent="0.25">
      <c r="D1481" s="1"/>
    </row>
    <row r="1482" spans="4:4" x14ac:dyDescent="0.25">
      <c r="D1482" s="1"/>
    </row>
    <row r="1483" spans="4:4" x14ac:dyDescent="0.25">
      <c r="D1483" s="1"/>
    </row>
    <row r="1484" spans="4:4" x14ac:dyDescent="0.25">
      <c r="D1484" s="1"/>
    </row>
    <row r="1485" spans="4:4" x14ac:dyDescent="0.25">
      <c r="D1485" s="1"/>
    </row>
    <row r="1486" spans="4:4" x14ac:dyDescent="0.25">
      <c r="D1486" s="1"/>
    </row>
    <row r="1487" spans="4:4" x14ac:dyDescent="0.25">
      <c r="D1487" s="1"/>
    </row>
    <row r="1488" spans="4:4" x14ac:dyDescent="0.25">
      <c r="D1488" s="1"/>
    </row>
    <row r="1489" spans="4:4" x14ac:dyDescent="0.25">
      <c r="D1489" s="1"/>
    </row>
    <row r="1490" spans="4:4" x14ac:dyDescent="0.25">
      <c r="D1490" s="1"/>
    </row>
    <row r="1491" spans="4:4" x14ac:dyDescent="0.25">
      <c r="D1491" s="1"/>
    </row>
    <row r="1492" spans="4:4" x14ac:dyDescent="0.25">
      <c r="D1492" s="1"/>
    </row>
    <row r="1493" spans="4:4" x14ac:dyDescent="0.25">
      <c r="D1493" s="1"/>
    </row>
    <row r="1494" spans="4:4" x14ac:dyDescent="0.25">
      <c r="D1494" s="1"/>
    </row>
    <row r="1495" spans="4:4" x14ac:dyDescent="0.25">
      <c r="D1495" s="1"/>
    </row>
    <row r="1496" spans="4:4" x14ac:dyDescent="0.25">
      <c r="D1496" s="1"/>
    </row>
    <row r="1497" spans="4:4" x14ac:dyDescent="0.25">
      <c r="D1497" s="1"/>
    </row>
    <row r="1498" spans="4:4" x14ac:dyDescent="0.25">
      <c r="D1498" s="1"/>
    </row>
    <row r="1499" spans="4:4" x14ac:dyDescent="0.25">
      <c r="D1499" s="1"/>
    </row>
    <row r="1500" spans="4:4" x14ac:dyDescent="0.25">
      <c r="D1500" s="1"/>
    </row>
    <row r="1501" spans="4:4" x14ac:dyDescent="0.25">
      <c r="D1501" s="1"/>
    </row>
    <row r="1502" spans="4:4" x14ac:dyDescent="0.25">
      <c r="D1502" s="1"/>
    </row>
    <row r="1503" spans="4:4" x14ac:dyDescent="0.25">
      <c r="D1503" s="1"/>
    </row>
    <row r="1504" spans="4:4" x14ac:dyDescent="0.25">
      <c r="D1504" s="1"/>
    </row>
    <row r="1505" spans="4:4" x14ac:dyDescent="0.25">
      <c r="D1505" s="1"/>
    </row>
    <row r="1506" spans="4:4" x14ac:dyDescent="0.25">
      <c r="D1506" s="1"/>
    </row>
    <row r="1507" spans="4:4" x14ac:dyDescent="0.25">
      <c r="D1507" s="1"/>
    </row>
    <row r="1508" spans="4:4" x14ac:dyDescent="0.25">
      <c r="D1508" s="1"/>
    </row>
    <row r="1509" spans="4:4" x14ac:dyDescent="0.25">
      <c r="D1509" s="1"/>
    </row>
    <row r="1510" spans="4:4" x14ac:dyDescent="0.25">
      <c r="D1510" s="1"/>
    </row>
    <row r="1511" spans="4:4" x14ac:dyDescent="0.25">
      <c r="D1511" s="1"/>
    </row>
    <row r="1512" spans="4:4" x14ac:dyDescent="0.25">
      <c r="D1512" s="1"/>
    </row>
    <row r="1513" spans="4:4" x14ac:dyDescent="0.25">
      <c r="D1513" s="1"/>
    </row>
    <row r="1514" spans="4:4" x14ac:dyDescent="0.25">
      <c r="D1514" s="1"/>
    </row>
    <row r="1515" spans="4:4" x14ac:dyDescent="0.25">
      <c r="D1515" s="1"/>
    </row>
    <row r="1516" spans="4:4" x14ac:dyDescent="0.25">
      <c r="D1516" s="1"/>
    </row>
    <row r="1517" spans="4:4" x14ac:dyDescent="0.25">
      <c r="D1517" s="1"/>
    </row>
    <row r="1518" spans="4:4" x14ac:dyDescent="0.25">
      <c r="D1518" s="1"/>
    </row>
    <row r="1519" spans="4:4" x14ac:dyDescent="0.25">
      <c r="D1519" s="1"/>
    </row>
    <row r="1520" spans="4:4" x14ac:dyDescent="0.25">
      <c r="D1520" s="1"/>
    </row>
    <row r="1521" spans="4:4" x14ac:dyDescent="0.25">
      <c r="D1521" s="1"/>
    </row>
    <row r="1522" spans="4:4" x14ac:dyDescent="0.25">
      <c r="D1522" s="1"/>
    </row>
    <row r="1523" spans="4:4" x14ac:dyDescent="0.25">
      <c r="D1523" s="1"/>
    </row>
    <row r="1524" spans="4:4" x14ac:dyDescent="0.25">
      <c r="D1524" s="1"/>
    </row>
    <row r="1525" spans="4:4" x14ac:dyDescent="0.25">
      <c r="D1525" s="1"/>
    </row>
    <row r="1526" spans="4:4" x14ac:dyDescent="0.25">
      <c r="D1526" s="1"/>
    </row>
    <row r="1527" spans="4:4" x14ac:dyDescent="0.25">
      <c r="D1527" s="1"/>
    </row>
    <row r="1528" spans="4:4" x14ac:dyDescent="0.25">
      <c r="D1528" s="1"/>
    </row>
    <row r="1529" spans="4:4" x14ac:dyDescent="0.25">
      <c r="D1529" s="1"/>
    </row>
    <row r="1530" spans="4:4" x14ac:dyDescent="0.25">
      <c r="D1530" s="1"/>
    </row>
    <row r="1531" spans="4:4" x14ac:dyDescent="0.25">
      <c r="D1531" s="1"/>
    </row>
    <row r="1532" spans="4:4" x14ac:dyDescent="0.25">
      <c r="D1532" s="1"/>
    </row>
    <row r="1533" spans="4:4" x14ac:dyDescent="0.25">
      <c r="D1533" s="1"/>
    </row>
    <row r="1534" spans="4:4" x14ac:dyDescent="0.25">
      <c r="D1534" s="1"/>
    </row>
    <row r="1535" spans="4:4" x14ac:dyDescent="0.25">
      <c r="D1535" s="1"/>
    </row>
    <row r="1536" spans="4:4" x14ac:dyDescent="0.25">
      <c r="D1536" s="1"/>
    </row>
    <row r="1537" spans="4:4" x14ac:dyDescent="0.25">
      <c r="D1537" s="1"/>
    </row>
    <row r="1538" spans="4:4" x14ac:dyDescent="0.25">
      <c r="D1538" s="1"/>
    </row>
    <row r="1539" spans="4:4" x14ac:dyDescent="0.25">
      <c r="D1539" s="1"/>
    </row>
    <row r="1540" spans="4:4" x14ac:dyDescent="0.25">
      <c r="D1540" s="1"/>
    </row>
    <row r="1541" spans="4:4" x14ac:dyDescent="0.25">
      <c r="D1541" s="1"/>
    </row>
    <row r="1542" spans="4:4" x14ac:dyDescent="0.25">
      <c r="D1542" s="1"/>
    </row>
    <row r="1543" spans="4:4" x14ac:dyDescent="0.25">
      <c r="D1543" s="1"/>
    </row>
    <row r="1544" spans="4:4" x14ac:dyDescent="0.25">
      <c r="D1544" s="1"/>
    </row>
    <row r="1545" spans="4:4" x14ac:dyDescent="0.25">
      <c r="D1545" s="1"/>
    </row>
    <row r="1546" spans="4:4" x14ac:dyDescent="0.25">
      <c r="D1546" s="1"/>
    </row>
    <row r="1547" spans="4:4" x14ac:dyDescent="0.25">
      <c r="D1547" s="1"/>
    </row>
    <row r="1548" spans="4:4" x14ac:dyDescent="0.25">
      <c r="D1548" s="1"/>
    </row>
    <row r="1549" spans="4:4" x14ac:dyDescent="0.25">
      <c r="D1549" s="1"/>
    </row>
    <row r="1550" spans="4:4" x14ac:dyDescent="0.25">
      <c r="D1550" s="1"/>
    </row>
    <row r="1551" spans="4:4" x14ac:dyDescent="0.25">
      <c r="D1551" s="1"/>
    </row>
    <row r="1552" spans="4:4" x14ac:dyDescent="0.25">
      <c r="D1552" s="1"/>
    </row>
    <row r="1553" spans="4:4" x14ac:dyDescent="0.25">
      <c r="D1553" s="1"/>
    </row>
    <row r="1554" spans="4:4" x14ac:dyDescent="0.25">
      <c r="D1554" s="1"/>
    </row>
    <row r="1555" spans="4:4" x14ac:dyDescent="0.25">
      <c r="D1555" s="1"/>
    </row>
    <row r="1556" spans="4:4" x14ac:dyDescent="0.25">
      <c r="D1556" s="1"/>
    </row>
    <row r="1557" spans="4:4" x14ac:dyDescent="0.25">
      <c r="D1557" s="1"/>
    </row>
    <row r="1558" spans="4:4" x14ac:dyDescent="0.25">
      <c r="D1558" s="1"/>
    </row>
    <row r="1559" spans="4:4" x14ac:dyDescent="0.25">
      <c r="D1559" s="1"/>
    </row>
    <row r="1560" spans="4:4" x14ac:dyDescent="0.25">
      <c r="D1560" s="1"/>
    </row>
    <row r="1561" spans="4:4" x14ac:dyDescent="0.25">
      <c r="D1561" s="1"/>
    </row>
    <row r="1562" spans="4:4" x14ac:dyDescent="0.25">
      <c r="D1562" s="1"/>
    </row>
    <row r="1563" spans="4:4" x14ac:dyDescent="0.25">
      <c r="D1563" s="1"/>
    </row>
    <row r="1564" spans="4:4" x14ac:dyDescent="0.25">
      <c r="D1564" s="1"/>
    </row>
    <row r="1565" spans="4:4" x14ac:dyDescent="0.25">
      <c r="D1565" s="1"/>
    </row>
    <row r="1566" spans="4:4" x14ac:dyDescent="0.25">
      <c r="D1566" s="1"/>
    </row>
    <row r="1567" spans="4:4" x14ac:dyDescent="0.25">
      <c r="D1567" s="1"/>
    </row>
    <row r="1568" spans="4:4" x14ac:dyDescent="0.25">
      <c r="D1568" s="1"/>
    </row>
    <row r="1569" spans="4:4" x14ac:dyDescent="0.25">
      <c r="D1569" s="1"/>
    </row>
    <row r="1570" spans="4:4" x14ac:dyDescent="0.25">
      <c r="D1570" s="1"/>
    </row>
    <row r="1571" spans="4:4" x14ac:dyDescent="0.25">
      <c r="D1571" s="1"/>
    </row>
    <row r="1572" spans="4:4" x14ac:dyDescent="0.25">
      <c r="D1572" s="1"/>
    </row>
    <row r="1573" spans="4:4" x14ac:dyDescent="0.25">
      <c r="D1573" s="1"/>
    </row>
    <row r="1574" spans="4:4" x14ac:dyDescent="0.25">
      <c r="D1574" s="1"/>
    </row>
    <row r="1575" spans="4:4" x14ac:dyDescent="0.25">
      <c r="D1575" s="1"/>
    </row>
    <row r="1576" spans="4:4" x14ac:dyDescent="0.25">
      <c r="D1576" s="1"/>
    </row>
    <row r="1577" spans="4:4" x14ac:dyDescent="0.25">
      <c r="D1577" s="1"/>
    </row>
    <row r="1578" spans="4:4" x14ac:dyDescent="0.25">
      <c r="D1578" s="1"/>
    </row>
    <row r="1579" spans="4:4" x14ac:dyDescent="0.25">
      <c r="D1579" s="1"/>
    </row>
    <row r="1580" spans="4:4" x14ac:dyDescent="0.25">
      <c r="D1580" s="1"/>
    </row>
    <row r="1581" spans="4:4" x14ac:dyDescent="0.25">
      <c r="D1581" s="1"/>
    </row>
    <row r="1582" spans="4:4" x14ac:dyDescent="0.25">
      <c r="D1582" s="1"/>
    </row>
    <row r="1583" spans="4:4" x14ac:dyDescent="0.25">
      <c r="D1583" s="1"/>
    </row>
    <row r="1584" spans="4:4" x14ac:dyDescent="0.25">
      <c r="D1584" s="1"/>
    </row>
    <row r="1585" spans="4:4" x14ac:dyDescent="0.25">
      <c r="D1585" s="1"/>
    </row>
    <row r="1586" spans="4:4" x14ac:dyDescent="0.25">
      <c r="D1586" s="1"/>
    </row>
    <row r="1587" spans="4:4" x14ac:dyDescent="0.25">
      <c r="D1587" s="1"/>
    </row>
    <row r="1588" spans="4:4" x14ac:dyDescent="0.25">
      <c r="D1588" s="1"/>
    </row>
    <row r="1589" spans="4:4" x14ac:dyDescent="0.25">
      <c r="D1589" s="1"/>
    </row>
    <row r="1590" spans="4:4" x14ac:dyDescent="0.25">
      <c r="D1590" s="1"/>
    </row>
    <row r="1591" spans="4:4" x14ac:dyDescent="0.25">
      <c r="D1591" s="1"/>
    </row>
    <row r="1592" spans="4:4" x14ac:dyDescent="0.25">
      <c r="D1592" s="1"/>
    </row>
    <row r="1593" spans="4:4" x14ac:dyDescent="0.25">
      <c r="D1593" s="1"/>
    </row>
    <row r="1594" spans="4:4" x14ac:dyDescent="0.25">
      <c r="D1594" s="1"/>
    </row>
    <row r="1595" spans="4:4" x14ac:dyDescent="0.25">
      <c r="D1595" s="1"/>
    </row>
    <row r="1596" spans="4:4" x14ac:dyDescent="0.25">
      <c r="D1596" s="1"/>
    </row>
    <row r="1597" spans="4:4" x14ac:dyDescent="0.25">
      <c r="D1597" s="1"/>
    </row>
    <row r="1598" spans="4:4" x14ac:dyDescent="0.25">
      <c r="D1598" s="1"/>
    </row>
    <row r="1599" spans="4:4" x14ac:dyDescent="0.25">
      <c r="D1599" s="1"/>
    </row>
    <row r="1600" spans="4:4" x14ac:dyDescent="0.25">
      <c r="D1600" s="1"/>
    </row>
    <row r="1601" spans="4:4" x14ac:dyDescent="0.25">
      <c r="D1601" s="1"/>
    </row>
    <row r="1602" spans="4:4" x14ac:dyDescent="0.25">
      <c r="D1602" s="1"/>
    </row>
    <row r="1603" spans="4:4" x14ac:dyDescent="0.25">
      <c r="D1603" s="1"/>
    </row>
    <row r="1604" spans="4:4" x14ac:dyDescent="0.25">
      <c r="D1604" s="1"/>
    </row>
    <row r="1605" spans="4:4" x14ac:dyDescent="0.25">
      <c r="D1605" s="1"/>
    </row>
    <row r="1606" spans="4:4" x14ac:dyDescent="0.25">
      <c r="D1606" s="1"/>
    </row>
    <row r="1607" spans="4:4" x14ac:dyDescent="0.25">
      <c r="D1607" s="1"/>
    </row>
    <row r="1608" spans="4:4" x14ac:dyDescent="0.25">
      <c r="D1608" s="1"/>
    </row>
    <row r="1609" spans="4:4" x14ac:dyDescent="0.25">
      <c r="D1609" s="1"/>
    </row>
    <row r="1610" spans="4:4" x14ac:dyDescent="0.25">
      <c r="D1610" s="1"/>
    </row>
    <row r="1611" spans="4:4" x14ac:dyDescent="0.25">
      <c r="D1611" s="1"/>
    </row>
    <row r="1612" spans="4:4" x14ac:dyDescent="0.25">
      <c r="D1612" s="1"/>
    </row>
    <row r="1613" spans="4:4" x14ac:dyDescent="0.25">
      <c r="D1613" s="1"/>
    </row>
    <row r="1614" spans="4:4" x14ac:dyDescent="0.25">
      <c r="D1614" s="1"/>
    </row>
    <row r="1615" spans="4:4" x14ac:dyDescent="0.25">
      <c r="D1615" s="1"/>
    </row>
    <row r="1616" spans="4:4" x14ac:dyDescent="0.25">
      <c r="D1616" s="1"/>
    </row>
    <row r="1617" spans="4:4" x14ac:dyDescent="0.25">
      <c r="D1617" s="1"/>
    </row>
    <row r="1618" spans="4:4" x14ac:dyDescent="0.25">
      <c r="D1618" s="1"/>
    </row>
    <row r="1619" spans="4:4" x14ac:dyDescent="0.25">
      <c r="D1619" s="1"/>
    </row>
    <row r="1620" spans="4:4" x14ac:dyDescent="0.25">
      <c r="D1620" s="1"/>
    </row>
    <row r="1621" spans="4:4" x14ac:dyDescent="0.25">
      <c r="D1621" s="1"/>
    </row>
    <row r="1622" spans="4:4" x14ac:dyDescent="0.25">
      <c r="D1622" s="1"/>
    </row>
    <row r="1623" spans="4:4" x14ac:dyDescent="0.25">
      <c r="D1623" s="1"/>
    </row>
    <row r="1624" spans="4:4" x14ac:dyDescent="0.25">
      <c r="D1624" s="1"/>
    </row>
    <row r="1625" spans="4:4" x14ac:dyDescent="0.25">
      <c r="D1625" s="1"/>
    </row>
    <row r="1626" spans="4:4" x14ac:dyDescent="0.25">
      <c r="D1626" s="1"/>
    </row>
    <row r="1627" spans="4:4" x14ac:dyDescent="0.25">
      <c r="D1627" s="1"/>
    </row>
    <row r="1628" spans="4:4" x14ac:dyDescent="0.25">
      <c r="D1628" s="1"/>
    </row>
    <row r="1629" spans="4:4" x14ac:dyDescent="0.25">
      <c r="D1629" s="1"/>
    </row>
    <row r="1630" spans="4:4" x14ac:dyDescent="0.25">
      <c r="D1630" s="1"/>
    </row>
    <row r="1631" spans="4:4" x14ac:dyDescent="0.25">
      <c r="D1631" s="1"/>
    </row>
    <row r="1632" spans="4:4" x14ac:dyDescent="0.25">
      <c r="D1632" s="1"/>
    </row>
    <row r="1633" spans="4:4" x14ac:dyDescent="0.25">
      <c r="D1633" s="1"/>
    </row>
    <row r="1634" spans="4:4" x14ac:dyDescent="0.25">
      <c r="D1634" s="1"/>
    </row>
    <row r="1635" spans="4:4" x14ac:dyDescent="0.25">
      <c r="D1635" s="1"/>
    </row>
    <row r="1636" spans="4:4" x14ac:dyDescent="0.25">
      <c r="D1636" s="1"/>
    </row>
    <row r="1637" spans="4:4" x14ac:dyDescent="0.25">
      <c r="D1637" s="1"/>
    </row>
    <row r="1638" spans="4:4" x14ac:dyDescent="0.25">
      <c r="D1638" s="1"/>
    </row>
    <row r="1639" spans="4:4" x14ac:dyDescent="0.25">
      <c r="D1639" s="1"/>
    </row>
    <row r="1640" spans="4:4" x14ac:dyDescent="0.25">
      <c r="D1640" s="1"/>
    </row>
    <row r="1641" spans="4:4" x14ac:dyDescent="0.25">
      <c r="D1641" s="1"/>
    </row>
    <row r="1642" spans="4:4" x14ac:dyDescent="0.25">
      <c r="D1642" s="1"/>
    </row>
    <row r="1643" spans="4:4" x14ac:dyDescent="0.25">
      <c r="D1643" s="1"/>
    </row>
    <row r="1644" spans="4:4" x14ac:dyDescent="0.25">
      <c r="D1644" s="1"/>
    </row>
    <row r="1645" spans="4:4" x14ac:dyDescent="0.25">
      <c r="D1645" s="1"/>
    </row>
    <row r="1646" spans="4:4" x14ac:dyDescent="0.25">
      <c r="D1646" s="1"/>
    </row>
    <row r="1647" spans="4:4" x14ac:dyDescent="0.25">
      <c r="D1647" s="1"/>
    </row>
    <row r="1648" spans="4:4" x14ac:dyDescent="0.25">
      <c r="D1648" s="1"/>
    </row>
    <row r="1649" spans="4:4" x14ac:dyDescent="0.25">
      <c r="D1649" s="1"/>
    </row>
    <row r="1650" spans="4:4" x14ac:dyDescent="0.25">
      <c r="D1650" s="1"/>
    </row>
    <row r="1651" spans="4:4" x14ac:dyDescent="0.25">
      <c r="D1651" s="1"/>
    </row>
    <row r="1652" spans="4:4" x14ac:dyDescent="0.25">
      <c r="D1652" s="1"/>
    </row>
    <row r="1653" spans="4:4" x14ac:dyDescent="0.25">
      <c r="D1653" s="1"/>
    </row>
    <row r="1654" spans="4:4" x14ac:dyDescent="0.25">
      <c r="D1654" s="1"/>
    </row>
    <row r="1655" spans="4:4" x14ac:dyDescent="0.25">
      <c r="D1655" s="1"/>
    </row>
    <row r="1656" spans="4:4" x14ac:dyDescent="0.25">
      <c r="D1656" s="1"/>
    </row>
    <row r="1657" spans="4:4" x14ac:dyDescent="0.25">
      <c r="D1657" s="1"/>
    </row>
    <row r="1658" spans="4:4" x14ac:dyDescent="0.25">
      <c r="D1658" s="1"/>
    </row>
    <row r="1659" spans="4:4" x14ac:dyDescent="0.25">
      <c r="D1659" s="1"/>
    </row>
    <row r="1660" spans="4:4" x14ac:dyDescent="0.25">
      <c r="D1660" s="1"/>
    </row>
    <row r="1661" spans="4:4" x14ac:dyDescent="0.25">
      <c r="D1661" s="1"/>
    </row>
    <row r="1662" spans="4:4" x14ac:dyDescent="0.25">
      <c r="D1662" s="1"/>
    </row>
    <row r="1663" spans="4:4" x14ac:dyDescent="0.25">
      <c r="D1663" s="1"/>
    </row>
    <row r="1664" spans="4:4" x14ac:dyDescent="0.25">
      <c r="D1664" s="1"/>
    </row>
    <row r="1665" spans="4:4" x14ac:dyDescent="0.25">
      <c r="D1665" s="1"/>
    </row>
    <row r="1666" spans="4:4" x14ac:dyDescent="0.25">
      <c r="D1666" s="1"/>
    </row>
    <row r="1667" spans="4:4" x14ac:dyDescent="0.25">
      <c r="D1667" s="1"/>
    </row>
    <row r="1668" spans="4:4" x14ac:dyDescent="0.25">
      <c r="D1668" s="1"/>
    </row>
    <row r="1669" spans="4:4" x14ac:dyDescent="0.25">
      <c r="D1669" s="1"/>
    </row>
    <row r="1670" spans="4:4" x14ac:dyDescent="0.25">
      <c r="D1670" s="1"/>
    </row>
    <row r="1671" spans="4:4" x14ac:dyDescent="0.25">
      <c r="D1671" s="1"/>
    </row>
    <row r="1672" spans="4:4" x14ac:dyDescent="0.25">
      <c r="D1672" s="1"/>
    </row>
    <row r="1673" spans="4:4" x14ac:dyDescent="0.25">
      <c r="D1673" s="1"/>
    </row>
    <row r="1674" spans="4:4" x14ac:dyDescent="0.25">
      <c r="D1674" s="1"/>
    </row>
    <row r="1675" spans="4:4" x14ac:dyDescent="0.25">
      <c r="D1675" s="1"/>
    </row>
    <row r="1676" spans="4:4" x14ac:dyDescent="0.25">
      <c r="D1676" s="1"/>
    </row>
    <row r="1677" spans="4:4" x14ac:dyDescent="0.25">
      <c r="D1677" s="1"/>
    </row>
    <row r="1678" spans="4:4" x14ac:dyDescent="0.25">
      <c r="D1678" s="1"/>
    </row>
    <row r="1679" spans="4:4" x14ac:dyDescent="0.25">
      <c r="D1679" s="1"/>
    </row>
    <row r="1680" spans="4:4" x14ac:dyDescent="0.25">
      <c r="D1680" s="1"/>
    </row>
    <row r="1681" spans="4:4" x14ac:dyDescent="0.25">
      <c r="D1681" s="1"/>
    </row>
    <row r="1682" spans="4:4" x14ac:dyDescent="0.25">
      <c r="D1682" s="1"/>
    </row>
    <row r="1683" spans="4:4" x14ac:dyDescent="0.25">
      <c r="D1683" s="1"/>
    </row>
    <row r="1684" spans="4:4" x14ac:dyDescent="0.25">
      <c r="D1684" s="1"/>
    </row>
    <row r="1685" spans="4:4" x14ac:dyDescent="0.25">
      <c r="D1685" s="1"/>
    </row>
    <row r="1686" spans="4:4" x14ac:dyDescent="0.25">
      <c r="D1686" s="1"/>
    </row>
    <row r="1687" spans="4:4" x14ac:dyDescent="0.25">
      <c r="D1687" s="1"/>
    </row>
    <row r="1688" spans="4:4" x14ac:dyDescent="0.25">
      <c r="D1688" s="1"/>
    </row>
    <row r="1689" spans="4:4" x14ac:dyDescent="0.25">
      <c r="D1689" s="1"/>
    </row>
    <row r="1690" spans="4:4" x14ac:dyDescent="0.25">
      <c r="D1690" s="1"/>
    </row>
    <row r="1691" spans="4:4" x14ac:dyDescent="0.25">
      <c r="D1691" s="1"/>
    </row>
    <row r="1692" spans="4:4" x14ac:dyDescent="0.25">
      <c r="D1692" s="1"/>
    </row>
    <row r="1693" spans="4:4" x14ac:dyDescent="0.25">
      <c r="D1693" s="1"/>
    </row>
    <row r="1694" spans="4:4" x14ac:dyDescent="0.25">
      <c r="D1694" s="1"/>
    </row>
    <row r="1695" spans="4:4" x14ac:dyDescent="0.25">
      <c r="D1695" s="1"/>
    </row>
    <row r="1696" spans="4:4" x14ac:dyDescent="0.25">
      <c r="D1696" s="1"/>
    </row>
    <row r="1697" spans="4:4" x14ac:dyDescent="0.25">
      <c r="D1697" s="1"/>
    </row>
    <row r="1698" spans="4:4" x14ac:dyDescent="0.25">
      <c r="D1698" s="1"/>
    </row>
    <row r="1699" spans="4:4" x14ac:dyDescent="0.25">
      <c r="D1699" s="1"/>
    </row>
    <row r="1700" spans="4:4" x14ac:dyDescent="0.25">
      <c r="D1700" s="1"/>
    </row>
    <row r="1701" spans="4:4" x14ac:dyDescent="0.25">
      <c r="D1701" s="1"/>
    </row>
    <row r="1702" spans="4:4" x14ac:dyDescent="0.25">
      <c r="D1702" s="1"/>
    </row>
    <row r="1703" spans="4:4" x14ac:dyDescent="0.25">
      <c r="D1703" s="1"/>
    </row>
    <row r="1704" spans="4:4" x14ac:dyDescent="0.25">
      <c r="D1704" s="1"/>
    </row>
    <row r="1705" spans="4:4" x14ac:dyDescent="0.25">
      <c r="D1705" s="1"/>
    </row>
    <row r="1706" spans="4:4" x14ac:dyDescent="0.25">
      <c r="D1706" s="1"/>
    </row>
    <row r="1707" spans="4:4" x14ac:dyDescent="0.25">
      <c r="D1707" s="1"/>
    </row>
    <row r="1708" spans="4:4" x14ac:dyDescent="0.25">
      <c r="D1708" s="1"/>
    </row>
    <row r="1709" spans="4:4" x14ac:dyDescent="0.25">
      <c r="D1709" s="1"/>
    </row>
    <row r="1710" spans="4:4" x14ac:dyDescent="0.25">
      <c r="D1710" s="1"/>
    </row>
    <row r="1711" spans="4:4" x14ac:dyDescent="0.25">
      <c r="D1711" s="1"/>
    </row>
    <row r="1712" spans="4:4" x14ac:dyDescent="0.25">
      <c r="D1712" s="1"/>
    </row>
    <row r="1713" spans="4:4" x14ac:dyDescent="0.25">
      <c r="D1713" s="1"/>
    </row>
    <row r="1714" spans="4:4" x14ac:dyDescent="0.25">
      <c r="D1714" s="1"/>
    </row>
    <row r="1715" spans="4:4" x14ac:dyDescent="0.25">
      <c r="D1715" s="1"/>
    </row>
    <row r="1716" spans="4:4" x14ac:dyDescent="0.25">
      <c r="D1716" s="1"/>
    </row>
    <row r="1717" spans="4:4" x14ac:dyDescent="0.25">
      <c r="D1717" s="1"/>
    </row>
    <row r="1718" spans="4:4" x14ac:dyDescent="0.25">
      <c r="D1718" s="1"/>
    </row>
    <row r="1719" spans="4:4" x14ac:dyDescent="0.25">
      <c r="D1719" s="1"/>
    </row>
    <row r="1720" spans="4:4" x14ac:dyDescent="0.25">
      <c r="D1720" s="1"/>
    </row>
    <row r="1721" spans="4:4" x14ac:dyDescent="0.25">
      <c r="D1721" s="1"/>
    </row>
    <row r="1722" spans="4:4" x14ac:dyDescent="0.25">
      <c r="D1722" s="1"/>
    </row>
    <row r="1723" spans="4:4" x14ac:dyDescent="0.25">
      <c r="D1723" s="1"/>
    </row>
    <row r="1724" spans="4:4" x14ac:dyDescent="0.25">
      <c r="D1724" s="1"/>
    </row>
    <row r="1725" spans="4:4" x14ac:dyDescent="0.25">
      <c r="D1725" s="1"/>
    </row>
    <row r="1726" spans="4:4" x14ac:dyDescent="0.25">
      <c r="D1726" s="1"/>
    </row>
    <row r="1727" spans="4:4" x14ac:dyDescent="0.25">
      <c r="D1727" s="1"/>
    </row>
    <row r="1728" spans="4:4" x14ac:dyDescent="0.25">
      <c r="D1728" s="1"/>
    </row>
    <row r="1729" spans="4:4" x14ac:dyDescent="0.25">
      <c r="D1729" s="1"/>
    </row>
    <row r="1730" spans="4:4" x14ac:dyDescent="0.25">
      <c r="D1730" s="1"/>
    </row>
    <row r="1731" spans="4:4" x14ac:dyDescent="0.25">
      <c r="D1731" s="1"/>
    </row>
    <row r="1732" spans="4:4" x14ac:dyDescent="0.25">
      <c r="D1732" s="1"/>
    </row>
    <row r="1733" spans="4:4" x14ac:dyDescent="0.25">
      <c r="D1733" s="1"/>
    </row>
    <row r="1734" spans="4:4" x14ac:dyDescent="0.25">
      <c r="D1734" s="1"/>
    </row>
    <row r="1735" spans="4:4" x14ac:dyDescent="0.25">
      <c r="D1735" s="1"/>
    </row>
    <row r="1736" spans="4:4" x14ac:dyDescent="0.25">
      <c r="D1736" s="1"/>
    </row>
    <row r="1737" spans="4:4" x14ac:dyDescent="0.25">
      <c r="D1737" s="1"/>
    </row>
    <row r="1738" spans="4:4" x14ac:dyDescent="0.25">
      <c r="D1738" s="1"/>
    </row>
    <row r="1739" spans="4:4" x14ac:dyDescent="0.25">
      <c r="D1739" s="1"/>
    </row>
    <row r="1740" spans="4:4" x14ac:dyDescent="0.25">
      <c r="D1740" s="1"/>
    </row>
    <row r="1741" spans="4:4" x14ac:dyDescent="0.25">
      <c r="D1741" s="1"/>
    </row>
    <row r="1742" spans="4:4" x14ac:dyDescent="0.25">
      <c r="D1742" s="1"/>
    </row>
    <row r="1743" spans="4:4" x14ac:dyDescent="0.25">
      <c r="D1743" s="1"/>
    </row>
    <row r="1744" spans="4:4" x14ac:dyDescent="0.25">
      <c r="D1744" s="1"/>
    </row>
    <row r="1745" spans="4:4" x14ac:dyDescent="0.25">
      <c r="D1745" s="1"/>
    </row>
    <row r="1746" spans="4:4" x14ac:dyDescent="0.25">
      <c r="D1746" s="1"/>
    </row>
    <row r="1747" spans="4:4" x14ac:dyDescent="0.25">
      <c r="D1747" s="1"/>
    </row>
    <row r="1748" spans="4:4" x14ac:dyDescent="0.25">
      <c r="D1748" s="1"/>
    </row>
    <row r="1749" spans="4:4" x14ac:dyDescent="0.25">
      <c r="D1749" s="1"/>
    </row>
    <row r="1750" spans="4:4" x14ac:dyDescent="0.25">
      <c r="D1750" s="1"/>
    </row>
    <row r="1751" spans="4:4" x14ac:dyDescent="0.25">
      <c r="D1751" s="1"/>
    </row>
    <row r="1752" spans="4:4" x14ac:dyDescent="0.25">
      <c r="D1752" s="1"/>
    </row>
    <row r="1753" spans="4:4" x14ac:dyDescent="0.25">
      <c r="D1753" s="1"/>
    </row>
    <row r="1754" spans="4:4" x14ac:dyDescent="0.25">
      <c r="D1754" s="1"/>
    </row>
    <row r="1755" spans="4:4" x14ac:dyDescent="0.25">
      <c r="D1755" s="1"/>
    </row>
    <row r="1756" spans="4:4" x14ac:dyDescent="0.25">
      <c r="D1756" s="1"/>
    </row>
    <row r="1757" spans="4:4" x14ac:dyDescent="0.25">
      <c r="D1757" s="1"/>
    </row>
    <row r="1758" spans="4:4" x14ac:dyDescent="0.25">
      <c r="D1758" s="1"/>
    </row>
    <row r="1759" spans="4:4" x14ac:dyDescent="0.25">
      <c r="D1759" s="1"/>
    </row>
    <row r="1760" spans="4:4" x14ac:dyDescent="0.25">
      <c r="D1760" s="1"/>
    </row>
    <row r="1761" spans="4:4" x14ac:dyDescent="0.25">
      <c r="D1761" s="1"/>
    </row>
    <row r="1762" spans="4:4" x14ac:dyDescent="0.25">
      <c r="D1762" s="1"/>
    </row>
    <row r="1763" spans="4:4" x14ac:dyDescent="0.25">
      <c r="D1763" s="1"/>
    </row>
    <row r="1764" spans="4:4" x14ac:dyDescent="0.25">
      <c r="D1764" s="1"/>
    </row>
    <row r="1765" spans="4:4" x14ac:dyDescent="0.25">
      <c r="D1765" s="1"/>
    </row>
    <row r="1766" spans="4:4" x14ac:dyDescent="0.25">
      <c r="D1766" s="1"/>
    </row>
    <row r="1767" spans="4:4" x14ac:dyDescent="0.25">
      <c r="D1767" s="1"/>
    </row>
    <row r="1768" spans="4:4" x14ac:dyDescent="0.25">
      <c r="D1768" s="1"/>
    </row>
    <row r="1769" spans="4:4" x14ac:dyDescent="0.25">
      <c r="D1769" s="1"/>
    </row>
    <row r="1770" spans="4:4" x14ac:dyDescent="0.25">
      <c r="D1770" s="1"/>
    </row>
    <row r="1771" spans="4:4" x14ac:dyDescent="0.25">
      <c r="D1771" s="1"/>
    </row>
    <row r="1772" spans="4:4" x14ac:dyDescent="0.25">
      <c r="D1772" s="1"/>
    </row>
    <row r="1773" spans="4:4" x14ac:dyDescent="0.25">
      <c r="D1773" s="1"/>
    </row>
    <row r="1774" spans="4:4" x14ac:dyDescent="0.25">
      <c r="D1774" s="1"/>
    </row>
    <row r="1775" spans="4:4" x14ac:dyDescent="0.25">
      <c r="D1775" s="1"/>
    </row>
    <row r="1776" spans="4:4" x14ac:dyDescent="0.25">
      <c r="D1776" s="1"/>
    </row>
    <row r="1777" spans="4:4" x14ac:dyDescent="0.25">
      <c r="D1777" s="1"/>
    </row>
    <row r="1778" spans="4:4" x14ac:dyDescent="0.25">
      <c r="D1778" s="1"/>
    </row>
    <row r="1779" spans="4:4" x14ac:dyDescent="0.25">
      <c r="D1779" s="1"/>
    </row>
    <row r="1780" spans="4:4" x14ac:dyDescent="0.25">
      <c r="D1780" s="1"/>
    </row>
    <row r="1781" spans="4:4" x14ac:dyDescent="0.25">
      <c r="D1781" s="1"/>
    </row>
    <row r="1782" spans="4:4" x14ac:dyDescent="0.25">
      <c r="D1782" s="1"/>
    </row>
    <row r="1783" spans="4:4" x14ac:dyDescent="0.25">
      <c r="D1783" s="1"/>
    </row>
    <row r="1784" spans="4:4" x14ac:dyDescent="0.25">
      <c r="D1784" s="1"/>
    </row>
    <row r="1785" spans="4:4" x14ac:dyDescent="0.25">
      <c r="D1785" s="1"/>
    </row>
    <row r="1786" spans="4:4" x14ac:dyDescent="0.25">
      <c r="D1786" s="1"/>
    </row>
    <row r="1787" spans="4:4" x14ac:dyDescent="0.25">
      <c r="D1787" s="1"/>
    </row>
    <row r="1788" spans="4:4" x14ac:dyDescent="0.25">
      <c r="D1788" s="1"/>
    </row>
    <row r="1789" spans="4:4" x14ac:dyDescent="0.25">
      <c r="D1789" s="1"/>
    </row>
    <row r="1790" spans="4:4" x14ac:dyDescent="0.25">
      <c r="D1790" s="1"/>
    </row>
    <row r="1791" spans="4:4" x14ac:dyDescent="0.25">
      <c r="D1791" s="1"/>
    </row>
    <row r="1792" spans="4:4" x14ac:dyDescent="0.25">
      <c r="D1792" s="1"/>
    </row>
    <row r="1793" spans="4:4" x14ac:dyDescent="0.25">
      <c r="D1793" s="1"/>
    </row>
    <row r="1794" spans="4:4" x14ac:dyDescent="0.25">
      <c r="D1794" s="1"/>
    </row>
    <row r="1795" spans="4:4" x14ac:dyDescent="0.25">
      <c r="D1795" s="1"/>
    </row>
    <row r="1796" spans="4:4" x14ac:dyDescent="0.25">
      <c r="D1796" s="1"/>
    </row>
    <row r="1797" spans="4:4" x14ac:dyDescent="0.25">
      <c r="D1797" s="1"/>
    </row>
    <row r="1798" spans="4:4" x14ac:dyDescent="0.25">
      <c r="D1798" s="1"/>
    </row>
    <row r="1799" spans="4:4" x14ac:dyDescent="0.25">
      <c r="D1799" s="1"/>
    </row>
    <row r="1800" spans="4:4" x14ac:dyDescent="0.25">
      <c r="D1800" s="1"/>
    </row>
    <row r="1801" spans="4:4" x14ac:dyDescent="0.25">
      <c r="D1801" s="1"/>
    </row>
    <row r="1802" spans="4:4" x14ac:dyDescent="0.25">
      <c r="D1802" s="1"/>
    </row>
    <row r="1803" spans="4:4" x14ac:dyDescent="0.25">
      <c r="D1803" s="1"/>
    </row>
    <row r="1804" spans="4:4" x14ac:dyDescent="0.25">
      <c r="D1804" s="1"/>
    </row>
    <row r="1805" spans="4:4" x14ac:dyDescent="0.25">
      <c r="D1805" s="1"/>
    </row>
    <row r="1806" spans="4:4" x14ac:dyDescent="0.25">
      <c r="D1806" s="1"/>
    </row>
    <row r="1807" spans="4:4" x14ac:dyDescent="0.25">
      <c r="D1807" s="1"/>
    </row>
    <row r="1808" spans="4:4" x14ac:dyDescent="0.25">
      <c r="D1808" s="1"/>
    </row>
    <row r="1809" spans="4:4" x14ac:dyDescent="0.25">
      <c r="D1809" s="1"/>
    </row>
    <row r="1810" spans="4:4" x14ac:dyDescent="0.25">
      <c r="D1810" s="1"/>
    </row>
    <row r="1811" spans="4:4" x14ac:dyDescent="0.25">
      <c r="D1811" s="1"/>
    </row>
    <row r="1812" spans="4:4" x14ac:dyDescent="0.25">
      <c r="D1812" s="1"/>
    </row>
    <row r="1813" spans="4:4" x14ac:dyDescent="0.25">
      <c r="D1813" s="1"/>
    </row>
    <row r="1814" spans="4:4" x14ac:dyDescent="0.25">
      <c r="D1814" s="1"/>
    </row>
    <row r="1815" spans="4:4" x14ac:dyDescent="0.25">
      <c r="D1815" s="1"/>
    </row>
    <row r="1816" spans="4:4" x14ac:dyDescent="0.25">
      <c r="D1816" s="1"/>
    </row>
    <row r="1817" spans="4:4" x14ac:dyDescent="0.25">
      <c r="D1817" s="1"/>
    </row>
    <row r="1818" spans="4:4" x14ac:dyDescent="0.25">
      <c r="D1818" s="1"/>
    </row>
    <row r="1819" spans="4:4" x14ac:dyDescent="0.25">
      <c r="D1819" s="1"/>
    </row>
    <row r="1820" spans="4:4" x14ac:dyDescent="0.25">
      <c r="D1820" s="1"/>
    </row>
    <row r="1821" spans="4:4" x14ac:dyDescent="0.25">
      <c r="D1821" s="1"/>
    </row>
    <row r="1822" spans="4:4" x14ac:dyDescent="0.25">
      <c r="D1822" s="1"/>
    </row>
    <row r="1823" spans="4:4" x14ac:dyDescent="0.25">
      <c r="D1823" s="1"/>
    </row>
    <row r="1824" spans="4:4" x14ac:dyDescent="0.25">
      <c r="D1824" s="1"/>
    </row>
    <row r="1825" spans="4:4" x14ac:dyDescent="0.25">
      <c r="D1825" s="1"/>
    </row>
    <row r="1826" spans="4:4" x14ac:dyDescent="0.25">
      <c r="D1826" s="1"/>
    </row>
    <row r="1827" spans="4:4" x14ac:dyDescent="0.25">
      <c r="D1827" s="1"/>
    </row>
    <row r="1828" spans="4:4" x14ac:dyDescent="0.25">
      <c r="D1828" s="1"/>
    </row>
    <row r="1829" spans="4:4" x14ac:dyDescent="0.25">
      <c r="D1829" s="1"/>
    </row>
    <row r="1830" spans="4:4" x14ac:dyDescent="0.25">
      <c r="D1830" s="1"/>
    </row>
    <row r="1831" spans="4:4" x14ac:dyDescent="0.25">
      <c r="D1831" s="1"/>
    </row>
    <row r="1832" spans="4:4" x14ac:dyDescent="0.25">
      <c r="D1832" s="1"/>
    </row>
    <row r="1833" spans="4:4" x14ac:dyDescent="0.25">
      <c r="D1833" s="1"/>
    </row>
    <row r="1834" spans="4:4" x14ac:dyDescent="0.25">
      <c r="D1834" s="1"/>
    </row>
    <row r="1835" spans="4:4" x14ac:dyDescent="0.25">
      <c r="D1835" s="1"/>
    </row>
    <row r="1836" spans="4:4" x14ac:dyDescent="0.25">
      <c r="D1836" s="1"/>
    </row>
    <row r="1837" spans="4:4" x14ac:dyDescent="0.25">
      <c r="D1837" s="1"/>
    </row>
    <row r="1838" spans="4:4" x14ac:dyDescent="0.25">
      <c r="D1838" s="1"/>
    </row>
    <row r="1839" spans="4:4" x14ac:dyDescent="0.25">
      <c r="D1839" s="1"/>
    </row>
    <row r="1840" spans="4:4" x14ac:dyDescent="0.25">
      <c r="D1840" s="1"/>
    </row>
    <row r="1841" spans="4:4" x14ac:dyDescent="0.25">
      <c r="D1841" s="1"/>
    </row>
    <row r="1842" spans="4:4" x14ac:dyDescent="0.25">
      <c r="D1842" s="1"/>
    </row>
    <row r="1843" spans="4:4" x14ac:dyDescent="0.25">
      <c r="D1843" s="1"/>
    </row>
    <row r="1844" spans="4:4" x14ac:dyDescent="0.25">
      <c r="D1844" s="1"/>
    </row>
    <row r="1845" spans="4:4" x14ac:dyDescent="0.25">
      <c r="D1845" s="1"/>
    </row>
    <row r="1846" spans="4:4" x14ac:dyDescent="0.25">
      <c r="D1846" s="1"/>
    </row>
    <row r="1847" spans="4:4" x14ac:dyDescent="0.25">
      <c r="D1847" s="1"/>
    </row>
    <row r="1848" spans="4:4" x14ac:dyDescent="0.25">
      <c r="D1848" s="1"/>
    </row>
    <row r="1849" spans="4:4" x14ac:dyDescent="0.25">
      <c r="D1849" s="1"/>
    </row>
    <row r="1850" spans="4:4" x14ac:dyDescent="0.25">
      <c r="D1850" s="1"/>
    </row>
    <row r="1851" spans="4:4" x14ac:dyDescent="0.25">
      <c r="D1851" s="1"/>
    </row>
    <row r="1852" spans="4:4" x14ac:dyDescent="0.25">
      <c r="D1852" s="1"/>
    </row>
    <row r="1853" spans="4:4" x14ac:dyDescent="0.25">
      <c r="D1853" s="1"/>
    </row>
    <row r="1854" spans="4:4" x14ac:dyDescent="0.25">
      <c r="D1854" s="1"/>
    </row>
    <row r="1855" spans="4:4" x14ac:dyDescent="0.25">
      <c r="D1855" s="1"/>
    </row>
    <row r="1856" spans="4:4" x14ac:dyDescent="0.25">
      <c r="D1856" s="1"/>
    </row>
    <row r="1857" spans="4:4" x14ac:dyDescent="0.25">
      <c r="D1857" s="1"/>
    </row>
    <row r="1858" spans="4:4" x14ac:dyDescent="0.25">
      <c r="D1858" s="1"/>
    </row>
    <row r="1859" spans="4:4" x14ac:dyDescent="0.25">
      <c r="D1859" s="1"/>
    </row>
    <row r="1860" spans="4:4" x14ac:dyDescent="0.25">
      <c r="D1860" s="1"/>
    </row>
    <row r="1861" spans="4:4" x14ac:dyDescent="0.25">
      <c r="D1861" s="1"/>
    </row>
    <row r="1862" spans="4:4" x14ac:dyDescent="0.25">
      <c r="D1862" s="1"/>
    </row>
    <row r="1863" spans="4:4" x14ac:dyDescent="0.25">
      <c r="D1863" s="1"/>
    </row>
    <row r="1864" spans="4:4" x14ac:dyDescent="0.25">
      <c r="D1864" s="1"/>
    </row>
    <row r="1865" spans="4:4" x14ac:dyDescent="0.25">
      <c r="D1865" s="1"/>
    </row>
    <row r="1866" spans="4:4" x14ac:dyDescent="0.25">
      <c r="D1866" s="1"/>
    </row>
    <row r="1867" spans="4:4" x14ac:dyDescent="0.25">
      <c r="D1867" s="1"/>
    </row>
    <row r="1868" spans="4:4" x14ac:dyDescent="0.25">
      <c r="D1868" s="1"/>
    </row>
    <row r="1869" spans="4:4" x14ac:dyDescent="0.25">
      <c r="D1869" s="1"/>
    </row>
    <row r="1870" spans="4:4" x14ac:dyDescent="0.25">
      <c r="D1870" s="1"/>
    </row>
    <row r="1871" spans="4:4" x14ac:dyDescent="0.25">
      <c r="D1871" s="1"/>
    </row>
    <row r="1872" spans="4:4" x14ac:dyDescent="0.25">
      <c r="D1872" s="1"/>
    </row>
    <row r="1873" spans="4:4" x14ac:dyDescent="0.25">
      <c r="D1873" s="1"/>
    </row>
    <row r="1874" spans="4:4" x14ac:dyDescent="0.25">
      <c r="D1874" s="1"/>
    </row>
    <row r="1875" spans="4:4" x14ac:dyDescent="0.25">
      <c r="D1875" s="1"/>
    </row>
    <row r="1876" spans="4:4" x14ac:dyDescent="0.25">
      <c r="D1876" s="1"/>
    </row>
    <row r="1877" spans="4:4" x14ac:dyDescent="0.25">
      <c r="D1877" s="1"/>
    </row>
    <row r="1878" spans="4:4" x14ac:dyDescent="0.25">
      <c r="D1878" s="1"/>
    </row>
    <row r="1879" spans="4:4" x14ac:dyDescent="0.25">
      <c r="D1879" s="1"/>
    </row>
    <row r="1880" spans="4:4" x14ac:dyDescent="0.25">
      <c r="D1880" s="1"/>
    </row>
    <row r="1881" spans="4:4" x14ac:dyDescent="0.25">
      <c r="D1881" s="1"/>
    </row>
    <row r="1882" spans="4:4" x14ac:dyDescent="0.25">
      <c r="D1882" s="1"/>
    </row>
    <row r="1883" spans="4:4" x14ac:dyDescent="0.25">
      <c r="D1883" s="1"/>
    </row>
    <row r="1884" spans="4:4" x14ac:dyDescent="0.25">
      <c r="D1884" s="1"/>
    </row>
    <row r="1885" spans="4:4" x14ac:dyDescent="0.25">
      <c r="D1885" s="1"/>
    </row>
    <row r="1886" spans="4:4" x14ac:dyDescent="0.25">
      <c r="D1886" s="1"/>
    </row>
    <row r="1887" spans="4:4" x14ac:dyDescent="0.25">
      <c r="D1887" s="1"/>
    </row>
    <row r="1888" spans="4:4" x14ac:dyDescent="0.25">
      <c r="D1888" s="1"/>
    </row>
    <row r="1889" spans="4:4" x14ac:dyDescent="0.25">
      <c r="D1889" s="1"/>
    </row>
    <row r="1890" spans="4:4" x14ac:dyDescent="0.25">
      <c r="D1890" s="1"/>
    </row>
    <row r="1891" spans="4:4" x14ac:dyDescent="0.25">
      <c r="D1891" s="1"/>
    </row>
    <row r="1892" spans="4:4" x14ac:dyDescent="0.25">
      <c r="D1892" s="1"/>
    </row>
    <row r="1893" spans="4:4" x14ac:dyDescent="0.25">
      <c r="D1893" s="1"/>
    </row>
    <row r="1894" spans="4:4" x14ac:dyDescent="0.25">
      <c r="D1894" s="1"/>
    </row>
    <row r="1895" spans="4:4" x14ac:dyDescent="0.25">
      <c r="D1895" s="1"/>
    </row>
    <row r="1896" spans="4:4" x14ac:dyDescent="0.25">
      <c r="D1896" s="1"/>
    </row>
    <row r="1897" spans="4:4" x14ac:dyDescent="0.25">
      <c r="D1897" s="1"/>
    </row>
    <row r="1898" spans="4:4" x14ac:dyDescent="0.25">
      <c r="D1898" s="1"/>
    </row>
    <row r="1899" spans="4:4" x14ac:dyDescent="0.25">
      <c r="D1899" s="1"/>
    </row>
    <row r="1900" spans="4:4" x14ac:dyDescent="0.25">
      <c r="D1900" s="1"/>
    </row>
    <row r="1901" spans="4:4" x14ac:dyDescent="0.25">
      <c r="D1901" s="1"/>
    </row>
    <row r="1902" spans="4:4" x14ac:dyDescent="0.25">
      <c r="D1902" s="1"/>
    </row>
    <row r="1903" spans="4:4" x14ac:dyDescent="0.25">
      <c r="D1903" s="1"/>
    </row>
    <row r="1904" spans="4:4" x14ac:dyDescent="0.25">
      <c r="D1904" s="1"/>
    </row>
    <row r="1905" spans="4:4" x14ac:dyDescent="0.25">
      <c r="D1905" s="1"/>
    </row>
    <row r="1906" spans="4:4" x14ac:dyDescent="0.25">
      <c r="D1906" s="1"/>
    </row>
    <row r="1907" spans="4:4" x14ac:dyDescent="0.25">
      <c r="D1907" s="1"/>
    </row>
    <row r="1908" spans="4:4" x14ac:dyDescent="0.25">
      <c r="D1908" s="1"/>
    </row>
    <row r="1909" spans="4:4" x14ac:dyDescent="0.25">
      <c r="D1909" s="1"/>
    </row>
    <row r="1910" spans="4:4" x14ac:dyDescent="0.25">
      <c r="D1910" s="1"/>
    </row>
    <row r="1911" spans="4:4" x14ac:dyDescent="0.25">
      <c r="D1911" s="1"/>
    </row>
    <row r="1912" spans="4:4" x14ac:dyDescent="0.25">
      <c r="D1912" s="1"/>
    </row>
    <row r="1913" spans="4:4" x14ac:dyDescent="0.25">
      <c r="D1913" s="1"/>
    </row>
    <row r="1914" spans="4:4" x14ac:dyDescent="0.25">
      <c r="D1914" s="1"/>
    </row>
    <row r="1915" spans="4:4" x14ac:dyDescent="0.25">
      <c r="D1915" s="1"/>
    </row>
    <row r="1916" spans="4:4" x14ac:dyDescent="0.25">
      <c r="D1916" s="1"/>
    </row>
    <row r="1917" spans="4:4" x14ac:dyDescent="0.25">
      <c r="D1917" s="1"/>
    </row>
    <row r="1918" spans="4:4" x14ac:dyDescent="0.25">
      <c r="D1918" s="1"/>
    </row>
    <row r="1919" spans="4:4" x14ac:dyDescent="0.25">
      <c r="D1919" s="1"/>
    </row>
    <row r="1920" spans="4:4" x14ac:dyDescent="0.25">
      <c r="D1920" s="1"/>
    </row>
    <row r="1921" spans="4:4" x14ac:dyDescent="0.25">
      <c r="D1921" s="1"/>
    </row>
    <row r="1922" spans="4:4" x14ac:dyDescent="0.25">
      <c r="D1922" s="1"/>
    </row>
    <row r="1923" spans="4:4" x14ac:dyDescent="0.25">
      <c r="D1923" s="1"/>
    </row>
    <row r="1924" spans="4:4" x14ac:dyDescent="0.25">
      <c r="D1924" s="1"/>
    </row>
    <row r="1925" spans="4:4" x14ac:dyDescent="0.25">
      <c r="D1925" s="1"/>
    </row>
    <row r="1926" spans="4:4" x14ac:dyDescent="0.25">
      <c r="D1926" s="1"/>
    </row>
    <row r="1927" spans="4:4" x14ac:dyDescent="0.25">
      <c r="D1927" s="1"/>
    </row>
    <row r="1928" spans="4:4" x14ac:dyDescent="0.25">
      <c r="D1928" s="1"/>
    </row>
    <row r="1929" spans="4:4" x14ac:dyDescent="0.25">
      <c r="D1929" s="1"/>
    </row>
    <row r="1930" spans="4:4" x14ac:dyDescent="0.25">
      <c r="D1930" s="1"/>
    </row>
    <row r="1931" spans="4:4" x14ac:dyDescent="0.25">
      <c r="D1931" s="1"/>
    </row>
    <row r="1932" spans="4:4" x14ac:dyDescent="0.25">
      <c r="D1932" s="1"/>
    </row>
    <row r="1933" spans="4:4" x14ac:dyDescent="0.25">
      <c r="D1933" s="1"/>
    </row>
    <row r="1934" spans="4:4" x14ac:dyDescent="0.25">
      <c r="D1934" s="1"/>
    </row>
    <row r="1935" spans="4:4" x14ac:dyDescent="0.25">
      <c r="D1935" s="1"/>
    </row>
    <row r="1936" spans="4:4" x14ac:dyDescent="0.25">
      <c r="D1936" s="1"/>
    </row>
    <row r="1937" spans="4:4" x14ac:dyDescent="0.25">
      <c r="D1937" s="1"/>
    </row>
    <row r="1938" spans="4:4" x14ac:dyDescent="0.25">
      <c r="D1938" s="1"/>
    </row>
    <row r="1939" spans="4:4" x14ac:dyDescent="0.25">
      <c r="D1939" s="1"/>
    </row>
    <row r="1940" spans="4:4" x14ac:dyDescent="0.25">
      <c r="D1940" s="1"/>
    </row>
    <row r="1941" spans="4:4" x14ac:dyDescent="0.25">
      <c r="D1941" s="1"/>
    </row>
    <row r="1942" spans="4:4" x14ac:dyDescent="0.25">
      <c r="D1942" s="1"/>
    </row>
    <row r="1943" spans="4:4" x14ac:dyDescent="0.25">
      <c r="D1943" s="1"/>
    </row>
    <row r="1944" spans="4:4" x14ac:dyDescent="0.25">
      <c r="D1944" s="1"/>
    </row>
    <row r="1945" spans="4:4" x14ac:dyDescent="0.25">
      <c r="D1945" s="1"/>
    </row>
    <row r="1946" spans="4:4" x14ac:dyDescent="0.25">
      <c r="D1946" s="1"/>
    </row>
    <row r="1947" spans="4:4" x14ac:dyDescent="0.25">
      <c r="D1947" s="1"/>
    </row>
    <row r="1948" spans="4:4" x14ac:dyDescent="0.25">
      <c r="D1948" s="1"/>
    </row>
    <row r="1949" spans="4:4" x14ac:dyDescent="0.25">
      <c r="D1949" s="1"/>
    </row>
    <row r="1950" spans="4:4" x14ac:dyDescent="0.25">
      <c r="D1950" s="1"/>
    </row>
    <row r="1951" spans="4:4" x14ac:dyDescent="0.25">
      <c r="D1951" s="1"/>
    </row>
    <row r="1952" spans="4:4" x14ac:dyDescent="0.25">
      <c r="D1952" s="1"/>
    </row>
    <row r="1953" spans="4:4" x14ac:dyDescent="0.25">
      <c r="D1953" s="1"/>
    </row>
    <row r="1954" spans="4:4" x14ac:dyDescent="0.25">
      <c r="D1954" s="1"/>
    </row>
    <row r="1955" spans="4:4" x14ac:dyDescent="0.25">
      <c r="D1955" s="1"/>
    </row>
    <row r="1956" spans="4:4" x14ac:dyDescent="0.25">
      <c r="D1956" s="1"/>
    </row>
    <row r="1957" spans="4:4" x14ac:dyDescent="0.25">
      <c r="D1957" s="1"/>
    </row>
    <row r="1958" spans="4:4" x14ac:dyDescent="0.25">
      <c r="D1958" s="1"/>
    </row>
    <row r="1959" spans="4:4" x14ac:dyDescent="0.25">
      <c r="D1959" s="1"/>
    </row>
    <row r="1960" spans="4:4" x14ac:dyDescent="0.25">
      <c r="D1960" s="1"/>
    </row>
    <row r="1961" spans="4:4" x14ac:dyDescent="0.25">
      <c r="D1961" s="1"/>
    </row>
    <row r="1962" spans="4:4" x14ac:dyDescent="0.25">
      <c r="D1962" s="1"/>
    </row>
    <row r="1963" spans="4:4" x14ac:dyDescent="0.25">
      <c r="D1963" s="1"/>
    </row>
    <row r="1964" spans="4:4" x14ac:dyDescent="0.25">
      <c r="D1964" s="1"/>
    </row>
    <row r="1965" spans="4:4" x14ac:dyDescent="0.25">
      <c r="D1965" s="1"/>
    </row>
    <row r="1966" spans="4:4" x14ac:dyDescent="0.25">
      <c r="D1966" s="1"/>
    </row>
    <row r="1967" spans="4:4" x14ac:dyDescent="0.25">
      <c r="D1967" s="1"/>
    </row>
    <row r="1968" spans="4:4" x14ac:dyDescent="0.25">
      <c r="D1968" s="1"/>
    </row>
    <row r="1969" spans="4:4" x14ac:dyDescent="0.25">
      <c r="D1969" s="1"/>
    </row>
    <row r="1970" spans="4:4" x14ac:dyDescent="0.25">
      <c r="D1970" s="1"/>
    </row>
    <row r="1971" spans="4:4" x14ac:dyDescent="0.25">
      <c r="D1971" s="1"/>
    </row>
    <row r="1972" spans="4:4" x14ac:dyDescent="0.25">
      <c r="D1972" s="1"/>
    </row>
    <row r="1973" spans="4:4" x14ac:dyDescent="0.25">
      <c r="D1973" s="1"/>
    </row>
    <row r="1974" spans="4:4" x14ac:dyDescent="0.25">
      <c r="D1974" s="1"/>
    </row>
    <row r="1975" spans="4:4" x14ac:dyDescent="0.25">
      <c r="D1975" s="1"/>
    </row>
    <row r="1976" spans="4:4" x14ac:dyDescent="0.25">
      <c r="D1976" s="1"/>
    </row>
    <row r="1977" spans="4:4" x14ac:dyDescent="0.25">
      <c r="D1977" s="1"/>
    </row>
    <row r="1978" spans="4:4" x14ac:dyDescent="0.25">
      <c r="D1978" s="1"/>
    </row>
    <row r="1979" spans="4:4" x14ac:dyDescent="0.25">
      <c r="D1979" s="1"/>
    </row>
    <row r="1980" spans="4:4" x14ac:dyDescent="0.25">
      <c r="D1980" s="1"/>
    </row>
    <row r="1981" spans="4:4" x14ac:dyDescent="0.25">
      <c r="D1981" s="1"/>
    </row>
    <row r="1982" spans="4:4" x14ac:dyDescent="0.25">
      <c r="D1982" s="1"/>
    </row>
    <row r="1983" spans="4:4" x14ac:dyDescent="0.25">
      <c r="D1983" s="1"/>
    </row>
    <row r="1984" spans="4:4" x14ac:dyDescent="0.25">
      <c r="D1984" s="1"/>
    </row>
    <row r="1985" spans="4:4" x14ac:dyDescent="0.25">
      <c r="D1985" s="1"/>
    </row>
    <row r="1986" spans="4:4" x14ac:dyDescent="0.25">
      <c r="D1986" s="1"/>
    </row>
    <row r="1987" spans="4:4" x14ac:dyDescent="0.25">
      <c r="D1987" s="1"/>
    </row>
    <row r="1988" spans="4:4" x14ac:dyDescent="0.25">
      <c r="D1988" s="1"/>
    </row>
    <row r="1989" spans="4:4" x14ac:dyDescent="0.25">
      <c r="D1989" s="1"/>
    </row>
    <row r="1990" spans="4:4" x14ac:dyDescent="0.25">
      <c r="D1990" s="1"/>
    </row>
    <row r="1991" spans="4:4" x14ac:dyDescent="0.25">
      <c r="D1991" s="1"/>
    </row>
    <row r="1992" spans="4:4" x14ac:dyDescent="0.25">
      <c r="D1992" s="1"/>
    </row>
    <row r="1993" spans="4:4" x14ac:dyDescent="0.25">
      <c r="D1993" s="1"/>
    </row>
    <row r="1994" spans="4:4" x14ac:dyDescent="0.25">
      <c r="D1994" s="1"/>
    </row>
    <row r="1995" spans="4:4" x14ac:dyDescent="0.25">
      <c r="D1995" s="1"/>
    </row>
    <row r="1996" spans="4:4" x14ac:dyDescent="0.25">
      <c r="D1996" s="1"/>
    </row>
    <row r="1997" spans="4:4" x14ac:dyDescent="0.25">
      <c r="D1997" s="1"/>
    </row>
    <row r="1998" spans="4:4" x14ac:dyDescent="0.25">
      <c r="D1998" s="1"/>
    </row>
    <row r="1999" spans="4:4" x14ac:dyDescent="0.25">
      <c r="D1999" s="1"/>
    </row>
    <row r="2000" spans="4:4" x14ac:dyDescent="0.25">
      <c r="D2000" s="1"/>
    </row>
    <row r="2001" spans="4:4" x14ac:dyDescent="0.25">
      <c r="D2001" s="1"/>
    </row>
    <row r="2002" spans="4:4" x14ac:dyDescent="0.25">
      <c r="D2002" s="1"/>
    </row>
    <row r="2003" spans="4:4" x14ac:dyDescent="0.25">
      <c r="D2003" s="1"/>
    </row>
    <row r="2004" spans="4:4" x14ac:dyDescent="0.25">
      <c r="D2004" s="1"/>
    </row>
    <row r="2005" spans="4:4" x14ac:dyDescent="0.25">
      <c r="D2005" s="1"/>
    </row>
    <row r="2006" spans="4:4" x14ac:dyDescent="0.25">
      <c r="D2006" s="1"/>
    </row>
    <row r="2007" spans="4:4" x14ac:dyDescent="0.25">
      <c r="D2007" s="1"/>
    </row>
    <row r="2008" spans="4:4" x14ac:dyDescent="0.25">
      <c r="D2008" s="1"/>
    </row>
    <row r="2009" spans="4:4" x14ac:dyDescent="0.25">
      <c r="D2009" s="1"/>
    </row>
    <row r="2010" spans="4:4" x14ac:dyDescent="0.25">
      <c r="D2010" s="1"/>
    </row>
    <row r="2011" spans="4:4" x14ac:dyDescent="0.25">
      <c r="D2011" s="1"/>
    </row>
    <row r="2012" spans="4:4" x14ac:dyDescent="0.25">
      <c r="D2012" s="1"/>
    </row>
    <row r="2013" spans="4:4" x14ac:dyDescent="0.25">
      <c r="D2013" s="1"/>
    </row>
    <row r="2014" spans="4:4" x14ac:dyDescent="0.25">
      <c r="D2014" s="1"/>
    </row>
    <row r="2015" spans="4:4" x14ac:dyDescent="0.25">
      <c r="D2015" s="1"/>
    </row>
    <row r="2016" spans="4:4" x14ac:dyDescent="0.25">
      <c r="D2016" s="1"/>
    </row>
    <row r="2017" spans="4:4" x14ac:dyDescent="0.25">
      <c r="D2017" s="1"/>
    </row>
    <row r="2018" spans="4:4" x14ac:dyDescent="0.25">
      <c r="D2018" s="1"/>
    </row>
    <row r="2019" spans="4:4" x14ac:dyDescent="0.25">
      <c r="D2019" s="1"/>
    </row>
    <row r="2020" spans="4:4" x14ac:dyDescent="0.25">
      <c r="D2020" s="1"/>
    </row>
    <row r="2021" spans="4:4" x14ac:dyDescent="0.25">
      <c r="D2021" s="1"/>
    </row>
    <row r="2022" spans="4:4" x14ac:dyDescent="0.25">
      <c r="D2022" s="1"/>
    </row>
    <row r="2023" spans="4:4" x14ac:dyDescent="0.25">
      <c r="D2023" s="1"/>
    </row>
    <row r="2024" spans="4:4" x14ac:dyDescent="0.25">
      <c r="D2024" s="1"/>
    </row>
    <row r="2025" spans="4:4" x14ac:dyDescent="0.25">
      <c r="D2025" s="1"/>
    </row>
    <row r="2026" spans="4:4" x14ac:dyDescent="0.25">
      <c r="D2026" s="1"/>
    </row>
    <row r="2027" spans="4:4" x14ac:dyDescent="0.25">
      <c r="D2027" s="1"/>
    </row>
    <row r="2028" spans="4:4" x14ac:dyDescent="0.25">
      <c r="D2028" s="1"/>
    </row>
    <row r="2029" spans="4:4" x14ac:dyDescent="0.25">
      <c r="D2029" s="1"/>
    </row>
    <row r="2030" spans="4:4" x14ac:dyDescent="0.25">
      <c r="D2030" s="1"/>
    </row>
    <row r="2031" spans="4:4" x14ac:dyDescent="0.25">
      <c r="D2031" s="1"/>
    </row>
    <row r="2032" spans="4:4" x14ac:dyDescent="0.25">
      <c r="D2032" s="1"/>
    </row>
    <row r="2033" spans="4:4" x14ac:dyDescent="0.25">
      <c r="D2033" s="1"/>
    </row>
    <row r="2034" spans="4:4" x14ac:dyDescent="0.25">
      <c r="D2034" s="1"/>
    </row>
    <row r="2035" spans="4:4" x14ac:dyDescent="0.25">
      <c r="D2035" s="1"/>
    </row>
    <row r="2036" spans="4:4" x14ac:dyDescent="0.25">
      <c r="D2036" s="1"/>
    </row>
    <row r="2037" spans="4:4" x14ac:dyDescent="0.25">
      <c r="D2037" s="1"/>
    </row>
    <row r="2038" spans="4:4" x14ac:dyDescent="0.25">
      <c r="D2038" s="1"/>
    </row>
    <row r="2039" spans="4:4" x14ac:dyDescent="0.25">
      <c r="D2039" s="1"/>
    </row>
    <row r="2040" spans="4:4" x14ac:dyDescent="0.25">
      <c r="D2040" s="1"/>
    </row>
    <row r="2041" spans="4:4" x14ac:dyDescent="0.25">
      <c r="D2041" s="1"/>
    </row>
    <row r="2042" spans="4:4" x14ac:dyDescent="0.25">
      <c r="D2042" s="1"/>
    </row>
    <row r="2043" spans="4:4" x14ac:dyDescent="0.25">
      <c r="D2043" s="1"/>
    </row>
    <row r="2044" spans="4:4" x14ac:dyDescent="0.25">
      <c r="D2044" s="1"/>
    </row>
    <row r="2045" spans="4:4" x14ac:dyDescent="0.25">
      <c r="D2045" s="1"/>
    </row>
    <row r="2046" spans="4:4" x14ac:dyDescent="0.25">
      <c r="D2046" s="1"/>
    </row>
    <row r="2047" spans="4:4" x14ac:dyDescent="0.25">
      <c r="D2047" s="1"/>
    </row>
    <row r="2048" spans="4:4" x14ac:dyDescent="0.25">
      <c r="D2048" s="1"/>
    </row>
    <row r="2049" spans="4:4" x14ac:dyDescent="0.25">
      <c r="D2049" s="1"/>
    </row>
    <row r="2050" spans="4:4" x14ac:dyDescent="0.25">
      <c r="D2050" s="1"/>
    </row>
    <row r="2051" spans="4:4" x14ac:dyDescent="0.25">
      <c r="D2051" s="1"/>
    </row>
    <row r="2052" spans="4:4" x14ac:dyDescent="0.25">
      <c r="D2052" s="1"/>
    </row>
    <row r="2053" spans="4:4" x14ac:dyDescent="0.25">
      <c r="D2053" s="1"/>
    </row>
    <row r="2054" spans="4:4" x14ac:dyDescent="0.25">
      <c r="D2054" s="1"/>
    </row>
    <row r="2055" spans="4:4" x14ac:dyDescent="0.25">
      <c r="D2055" s="1"/>
    </row>
    <row r="2056" spans="4:4" x14ac:dyDescent="0.25">
      <c r="D2056" s="1"/>
    </row>
    <row r="2057" spans="4:4" x14ac:dyDescent="0.25">
      <c r="D2057" s="1"/>
    </row>
    <row r="2058" spans="4:4" x14ac:dyDescent="0.25">
      <c r="D2058" s="1"/>
    </row>
    <row r="2059" spans="4:4" x14ac:dyDescent="0.25">
      <c r="D2059" s="1"/>
    </row>
    <row r="2060" spans="4:4" x14ac:dyDescent="0.25">
      <c r="D2060" s="1"/>
    </row>
    <row r="2061" spans="4:4" x14ac:dyDescent="0.25">
      <c r="D2061" s="1"/>
    </row>
    <row r="2062" spans="4:4" x14ac:dyDescent="0.25">
      <c r="D2062" s="1"/>
    </row>
    <row r="2063" spans="4:4" x14ac:dyDescent="0.25">
      <c r="D2063" s="1"/>
    </row>
    <row r="2064" spans="4:4" x14ac:dyDescent="0.25">
      <c r="D2064" s="1"/>
    </row>
    <row r="2065" spans="4:4" x14ac:dyDescent="0.25">
      <c r="D2065" s="1"/>
    </row>
    <row r="2066" spans="4:4" x14ac:dyDescent="0.25">
      <c r="D2066" s="1"/>
    </row>
    <row r="2067" spans="4:4" x14ac:dyDescent="0.25">
      <c r="D2067" s="1"/>
    </row>
    <row r="2068" spans="4:4" x14ac:dyDescent="0.25">
      <c r="D2068" s="1"/>
    </row>
    <row r="2069" spans="4:4" x14ac:dyDescent="0.25">
      <c r="D2069" s="1"/>
    </row>
    <row r="2070" spans="4:4" x14ac:dyDescent="0.25">
      <c r="D2070" s="1"/>
    </row>
    <row r="2071" spans="4:4" x14ac:dyDescent="0.25">
      <c r="D2071" s="1"/>
    </row>
    <row r="2072" spans="4:4" x14ac:dyDescent="0.25">
      <c r="D2072" s="1"/>
    </row>
    <row r="2073" spans="4:4" x14ac:dyDescent="0.25">
      <c r="D2073" s="1"/>
    </row>
    <row r="2074" spans="4:4" x14ac:dyDescent="0.25">
      <c r="D2074" s="1"/>
    </row>
    <row r="2075" spans="4:4" x14ac:dyDescent="0.25">
      <c r="D2075" s="1"/>
    </row>
    <row r="2076" spans="4:4" x14ac:dyDescent="0.25">
      <c r="D2076" s="1"/>
    </row>
    <row r="2077" spans="4:4" x14ac:dyDescent="0.25">
      <c r="D2077" s="1"/>
    </row>
    <row r="2078" spans="4:4" x14ac:dyDescent="0.25">
      <c r="D2078" s="1"/>
    </row>
    <row r="2079" spans="4:4" x14ac:dyDescent="0.25">
      <c r="D2079" s="1"/>
    </row>
    <row r="2080" spans="4:4" x14ac:dyDescent="0.25">
      <c r="D2080" s="1"/>
    </row>
    <row r="2081" spans="4:4" x14ac:dyDescent="0.25">
      <c r="D2081" s="1"/>
    </row>
    <row r="2082" spans="4:4" x14ac:dyDescent="0.25">
      <c r="D2082" s="1"/>
    </row>
    <row r="2083" spans="4:4" x14ac:dyDescent="0.25">
      <c r="D2083" s="1"/>
    </row>
    <row r="2084" spans="4:4" x14ac:dyDescent="0.25">
      <c r="D2084" s="1"/>
    </row>
    <row r="2085" spans="4:4" x14ac:dyDescent="0.25">
      <c r="D2085" s="1"/>
    </row>
    <row r="2086" spans="4:4" x14ac:dyDescent="0.25">
      <c r="D2086" s="1"/>
    </row>
    <row r="2087" spans="4:4" x14ac:dyDescent="0.25">
      <c r="D2087" s="1"/>
    </row>
    <row r="2088" spans="4:4" x14ac:dyDescent="0.25">
      <c r="D2088" s="1"/>
    </row>
    <row r="2089" spans="4:4" x14ac:dyDescent="0.25">
      <c r="D2089" s="1"/>
    </row>
    <row r="2090" spans="4:4" x14ac:dyDescent="0.25">
      <c r="D2090" s="1"/>
    </row>
    <row r="2091" spans="4:4" x14ac:dyDescent="0.25">
      <c r="D2091" s="1"/>
    </row>
    <row r="2092" spans="4:4" x14ac:dyDescent="0.25">
      <c r="D2092" s="1"/>
    </row>
    <row r="2093" spans="4:4" x14ac:dyDescent="0.25">
      <c r="D2093" s="1"/>
    </row>
    <row r="2094" spans="4:4" x14ac:dyDescent="0.25">
      <c r="D2094" s="1"/>
    </row>
    <row r="2095" spans="4:4" x14ac:dyDescent="0.25">
      <c r="D2095" s="1"/>
    </row>
    <row r="2096" spans="4:4" x14ac:dyDescent="0.25">
      <c r="D2096" s="1"/>
    </row>
    <row r="2097" spans="4:4" x14ac:dyDescent="0.25">
      <c r="D2097" s="1"/>
    </row>
    <row r="2098" spans="4:4" x14ac:dyDescent="0.25">
      <c r="D2098" s="1"/>
    </row>
    <row r="2099" spans="4:4" x14ac:dyDescent="0.25">
      <c r="D2099" s="1"/>
    </row>
    <row r="2100" spans="4:4" x14ac:dyDescent="0.25">
      <c r="D2100" s="1"/>
    </row>
    <row r="2101" spans="4:4" x14ac:dyDescent="0.25">
      <c r="D2101" s="1"/>
    </row>
    <row r="2102" spans="4:4" x14ac:dyDescent="0.25">
      <c r="D2102" s="1"/>
    </row>
    <row r="2103" spans="4:4" x14ac:dyDescent="0.25">
      <c r="D2103" s="1"/>
    </row>
    <row r="2104" spans="4:4" x14ac:dyDescent="0.25">
      <c r="D2104" s="1"/>
    </row>
    <row r="2105" spans="4:4" x14ac:dyDescent="0.25">
      <c r="D2105" s="1"/>
    </row>
    <row r="2106" spans="4:4" x14ac:dyDescent="0.25">
      <c r="D2106" s="1"/>
    </row>
    <row r="2107" spans="4:4" x14ac:dyDescent="0.25">
      <c r="D2107" s="1"/>
    </row>
    <row r="2108" spans="4:4" x14ac:dyDescent="0.25">
      <c r="D2108" s="1"/>
    </row>
    <row r="2109" spans="4:4" x14ac:dyDescent="0.25">
      <c r="D2109" s="1"/>
    </row>
    <row r="2110" spans="4:4" x14ac:dyDescent="0.25">
      <c r="D2110" s="1"/>
    </row>
    <row r="2111" spans="4:4" x14ac:dyDescent="0.25">
      <c r="D2111" s="1"/>
    </row>
    <row r="2112" spans="4:4" x14ac:dyDescent="0.25">
      <c r="D2112" s="1"/>
    </row>
    <row r="2113" spans="4:4" x14ac:dyDescent="0.25">
      <c r="D2113" s="1"/>
    </row>
    <row r="2114" spans="4:4" x14ac:dyDescent="0.25">
      <c r="D2114" s="1"/>
    </row>
    <row r="2115" spans="4:4" x14ac:dyDescent="0.25">
      <c r="D2115" s="1"/>
    </row>
    <row r="2116" spans="4:4" x14ac:dyDescent="0.25">
      <c r="D2116" s="1"/>
    </row>
    <row r="2117" spans="4:4" x14ac:dyDescent="0.25">
      <c r="D2117" s="1"/>
    </row>
    <row r="2118" spans="4:4" x14ac:dyDescent="0.25">
      <c r="D2118" s="1"/>
    </row>
    <row r="2119" spans="4:4" x14ac:dyDescent="0.25">
      <c r="D2119" s="1"/>
    </row>
    <row r="2120" spans="4:4" x14ac:dyDescent="0.25">
      <c r="D2120" s="1"/>
    </row>
    <row r="2121" spans="4:4" x14ac:dyDescent="0.25">
      <c r="D2121" s="1"/>
    </row>
    <row r="2122" spans="4:4" x14ac:dyDescent="0.25">
      <c r="D2122" s="1"/>
    </row>
    <row r="2123" spans="4:4" x14ac:dyDescent="0.25">
      <c r="D2123" s="1"/>
    </row>
    <row r="2124" spans="4:4" x14ac:dyDescent="0.25">
      <c r="D2124" s="1"/>
    </row>
    <row r="2125" spans="4:4" x14ac:dyDescent="0.25">
      <c r="D2125" s="1"/>
    </row>
    <row r="2126" spans="4:4" x14ac:dyDescent="0.25">
      <c r="D2126" s="1"/>
    </row>
    <row r="2127" spans="4:4" x14ac:dyDescent="0.25">
      <c r="D2127" s="1"/>
    </row>
    <row r="2128" spans="4:4" x14ac:dyDescent="0.25">
      <c r="D2128" s="1"/>
    </row>
    <row r="2129" spans="4:4" x14ac:dyDescent="0.25">
      <c r="D2129" s="1"/>
    </row>
    <row r="2130" spans="4:4" x14ac:dyDescent="0.25">
      <c r="D2130" s="1"/>
    </row>
    <row r="2131" spans="4:4" x14ac:dyDescent="0.25">
      <c r="D2131" s="1"/>
    </row>
    <row r="2132" spans="4:4" x14ac:dyDescent="0.25">
      <c r="D2132" s="1"/>
    </row>
    <row r="2133" spans="4:4" x14ac:dyDescent="0.25">
      <c r="D2133" s="1"/>
    </row>
    <row r="2134" spans="4:4" x14ac:dyDescent="0.25">
      <c r="D2134" s="1"/>
    </row>
    <row r="2135" spans="4:4" x14ac:dyDescent="0.25">
      <c r="D2135" s="1"/>
    </row>
    <row r="2136" spans="4:4" x14ac:dyDescent="0.25">
      <c r="D2136" s="1"/>
    </row>
    <row r="2137" spans="4:4" x14ac:dyDescent="0.25">
      <c r="D2137" s="1"/>
    </row>
    <row r="2138" spans="4:4" x14ac:dyDescent="0.25">
      <c r="D2138" s="1"/>
    </row>
    <row r="2139" spans="4:4" x14ac:dyDescent="0.25">
      <c r="D2139" s="1"/>
    </row>
    <row r="2140" spans="4:4" x14ac:dyDescent="0.25">
      <c r="D2140" s="1"/>
    </row>
    <row r="2141" spans="4:4" x14ac:dyDescent="0.25">
      <c r="D2141" s="1"/>
    </row>
    <row r="2142" spans="4:4" x14ac:dyDescent="0.25">
      <c r="D2142" s="1"/>
    </row>
    <row r="2143" spans="4:4" x14ac:dyDescent="0.25">
      <c r="D2143" s="1"/>
    </row>
    <row r="2144" spans="4:4" x14ac:dyDescent="0.25">
      <c r="D2144" s="1"/>
    </row>
    <row r="2145" spans="4:4" x14ac:dyDescent="0.25">
      <c r="D2145" s="1"/>
    </row>
    <row r="2146" spans="4:4" x14ac:dyDescent="0.25">
      <c r="D2146" s="1"/>
    </row>
    <row r="2147" spans="4:4" x14ac:dyDescent="0.25">
      <c r="D2147" s="1"/>
    </row>
    <row r="2148" spans="4:4" x14ac:dyDescent="0.25">
      <c r="D2148" s="1"/>
    </row>
    <row r="2149" spans="4:4" x14ac:dyDescent="0.25">
      <c r="D2149" s="1"/>
    </row>
    <row r="2150" spans="4:4" x14ac:dyDescent="0.25">
      <c r="D2150" s="1"/>
    </row>
    <row r="2151" spans="4:4" x14ac:dyDescent="0.25">
      <c r="D2151" s="1"/>
    </row>
    <row r="2152" spans="4:4" x14ac:dyDescent="0.25">
      <c r="D2152" s="1"/>
    </row>
    <row r="2153" spans="4:4" x14ac:dyDescent="0.25">
      <c r="D2153" s="1"/>
    </row>
    <row r="2154" spans="4:4" x14ac:dyDescent="0.25">
      <c r="D2154" s="1"/>
    </row>
    <row r="2155" spans="4:4" x14ac:dyDescent="0.25">
      <c r="D2155" s="1"/>
    </row>
    <row r="2156" spans="4:4" x14ac:dyDescent="0.25">
      <c r="D2156" s="1"/>
    </row>
    <row r="2157" spans="4:4" x14ac:dyDescent="0.25">
      <c r="D2157" s="1"/>
    </row>
    <row r="2158" spans="4:4" x14ac:dyDescent="0.25">
      <c r="D2158" s="1"/>
    </row>
    <row r="2159" spans="4:4" x14ac:dyDescent="0.25">
      <c r="D2159" s="1"/>
    </row>
    <row r="2160" spans="4:4" x14ac:dyDescent="0.25">
      <c r="D2160" s="1"/>
    </row>
    <row r="2161" spans="4:4" x14ac:dyDescent="0.25">
      <c r="D2161" s="1"/>
    </row>
    <row r="2162" spans="4:4" x14ac:dyDescent="0.25">
      <c r="D2162" s="1"/>
    </row>
    <row r="2163" spans="4:4" x14ac:dyDescent="0.25">
      <c r="D2163" s="1"/>
    </row>
    <row r="2164" spans="4:4" x14ac:dyDescent="0.25">
      <c r="D2164" s="1"/>
    </row>
    <row r="2165" spans="4:4" x14ac:dyDescent="0.25">
      <c r="D2165" s="1"/>
    </row>
    <row r="2166" spans="4:4" x14ac:dyDescent="0.25">
      <c r="D2166" s="1"/>
    </row>
    <row r="2167" spans="4:4" x14ac:dyDescent="0.25">
      <c r="D2167" s="1"/>
    </row>
    <row r="2168" spans="4:4" x14ac:dyDescent="0.25">
      <c r="D2168" s="1"/>
    </row>
    <row r="2169" spans="4:4" x14ac:dyDescent="0.25">
      <c r="D2169" s="1"/>
    </row>
    <row r="2170" spans="4:4" x14ac:dyDescent="0.25">
      <c r="D2170" s="1"/>
    </row>
    <row r="2171" spans="4:4" x14ac:dyDescent="0.25">
      <c r="D2171" s="1"/>
    </row>
    <row r="2172" spans="4:4" x14ac:dyDescent="0.25">
      <c r="D2172" s="1"/>
    </row>
    <row r="2173" spans="4:4" x14ac:dyDescent="0.25">
      <c r="D2173" s="1"/>
    </row>
    <row r="2174" spans="4:4" x14ac:dyDescent="0.25">
      <c r="D2174" s="1"/>
    </row>
    <row r="2175" spans="4:4" x14ac:dyDescent="0.25">
      <c r="D2175" s="1"/>
    </row>
    <row r="2176" spans="4:4" x14ac:dyDescent="0.25">
      <c r="D2176" s="1"/>
    </row>
    <row r="2177" spans="4:4" x14ac:dyDescent="0.25">
      <c r="D2177" s="1"/>
    </row>
    <row r="2178" spans="4:4" x14ac:dyDescent="0.25">
      <c r="D2178" s="1"/>
    </row>
    <row r="2179" spans="4:4" x14ac:dyDescent="0.25">
      <c r="D2179" s="1"/>
    </row>
    <row r="2180" spans="4:4" x14ac:dyDescent="0.25">
      <c r="D2180" s="1"/>
    </row>
    <row r="2181" spans="4:4" x14ac:dyDescent="0.25">
      <c r="D2181" s="1"/>
    </row>
    <row r="2182" spans="4:4" x14ac:dyDescent="0.25">
      <c r="D2182" s="1"/>
    </row>
    <row r="2183" spans="4:4" x14ac:dyDescent="0.25">
      <c r="D2183" s="1"/>
    </row>
    <row r="2184" spans="4:4" x14ac:dyDescent="0.25">
      <c r="D2184" s="1"/>
    </row>
    <row r="2185" spans="4:4" x14ac:dyDescent="0.25">
      <c r="D2185" s="1"/>
    </row>
    <row r="2186" spans="4:4" x14ac:dyDescent="0.25">
      <c r="D2186" s="1"/>
    </row>
    <row r="2187" spans="4:4" x14ac:dyDescent="0.25">
      <c r="D2187" s="1"/>
    </row>
    <row r="2188" spans="4:4" x14ac:dyDescent="0.25">
      <c r="D2188" s="1"/>
    </row>
    <row r="2189" spans="4:4" x14ac:dyDescent="0.25">
      <c r="D2189" s="1"/>
    </row>
    <row r="2190" spans="4:4" x14ac:dyDescent="0.25">
      <c r="D2190" s="1"/>
    </row>
    <row r="2191" spans="4:4" x14ac:dyDescent="0.25">
      <c r="D2191" s="1"/>
    </row>
    <row r="2192" spans="4:4" x14ac:dyDescent="0.25">
      <c r="D2192" s="1"/>
    </row>
    <row r="2193" spans="4:4" x14ac:dyDescent="0.25">
      <c r="D2193" s="1"/>
    </row>
    <row r="2194" spans="4:4" x14ac:dyDescent="0.25">
      <c r="D2194" s="1"/>
    </row>
    <row r="2195" spans="4:4" x14ac:dyDescent="0.25">
      <c r="D2195" s="1"/>
    </row>
    <row r="2196" spans="4:4" x14ac:dyDescent="0.25">
      <c r="D2196" s="1"/>
    </row>
    <row r="2197" spans="4:4" x14ac:dyDescent="0.25">
      <c r="D2197" s="1"/>
    </row>
    <row r="2198" spans="4:4" x14ac:dyDescent="0.25">
      <c r="D2198" s="1"/>
    </row>
    <row r="2199" spans="4:4" x14ac:dyDescent="0.25">
      <c r="D2199" s="1"/>
    </row>
    <row r="2200" spans="4:4" x14ac:dyDescent="0.25">
      <c r="D2200" s="1"/>
    </row>
    <row r="2201" spans="4:4" x14ac:dyDescent="0.25">
      <c r="D2201" s="1"/>
    </row>
    <row r="2202" spans="4:4" x14ac:dyDescent="0.25">
      <c r="D2202" s="1"/>
    </row>
    <row r="2203" spans="4:4" x14ac:dyDescent="0.25">
      <c r="D2203" s="1"/>
    </row>
    <row r="2204" spans="4:4" x14ac:dyDescent="0.25">
      <c r="D2204" s="1"/>
    </row>
    <row r="2205" spans="4:4" x14ac:dyDescent="0.25">
      <c r="D2205" s="1"/>
    </row>
    <row r="2206" spans="4:4" x14ac:dyDescent="0.25">
      <c r="D2206" s="1"/>
    </row>
    <row r="2207" spans="4:4" x14ac:dyDescent="0.25">
      <c r="D2207" s="1"/>
    </row>
    <row r="2208" spans="4:4" x14ac:dyDescent="0.25">
      <c r="D2208" s="1"/>
    </row>
    <row r="2209" spans="4:4" x14ac:dyDescent="0.25">
      <c r="D2209" s="1"/>
    </row>
    <row r="2210" spans="4:4" x14ac:dyDescent="0.25">
      <c r="D2210" s="1"/>
    </row>
    <row r="2211" spans="4:4" x14ac:dyDescent="0.25">
      <c r="D2211" s="1"/>
    </row>
    <row r="2212" spans="4:4" x14ac:dyDescent="0.25">
      <c r="D2212" s="1"/>
    </row>
    <row r="2213" spans="4:4" x14ac:dyDescent="0.25">
      <c r="D2213" s="1"/>
    </row>
    <row r="2214" spans="4:4" x14ac:dyDescent="0.25">
      <c r="D2214" s="1"/>
    </row>
    <row r="2215" spans="4:4" x14ac:dyDescent="0.25">
      <c r="D2215" s="1"/>
    </row>
    <row r="2216" spans="4:4" x14ac:dyDescent="0.25">
      <c r="D2216" s="1"/>
    </row>
    <row r="2217" spans="4:4" x14ac:dyDescent="0.25">
      <c r="D2217" s="1"/>
    </row>
    <row r="2218" spans="4:4" x14ac:dyDescent="0.25">
      <c r="D2218" s="1"/>
    </row>
    <row r="2219" spans="4:4" x14ac:dyDescent="0.25">
      <c r="D2219" s="1"/>
    </row>
    <row r="2220" spans="4:4" x14ac:dyDescent="0.25">
      <c r="D2220" s="1"/>
    </row>
    <row r="2221" spans="4:4" x14ac:dyDescent="0.25">
      <c r="D2221" s="1"/>
    </row>
    <row r="2222" spans="4:4" x14ac:dyDescent="0.25">
      <c r="D2222" s="1"/>
    </row>
    <row r="2223" spans="4:4" x14ac:dyDescent="0.25">
      <c r="D2223" s="1"/>
    </row>
    <row r="2224" spans="4:4" x14ac:dyDescent="0.25">
      <c r="D2224" s="1"/>
    </row>
    <row r="2225" spans="4:4" x14ac:dyDescent="0.25">
      <c r="D2225" s="1"/>
    </row>
    <row r="2226" spans="4:4" x14ac:dyDescent="0.25">
      <c r="D2226" s="1"/>
    </row>
    <row r="2227" spans="4:4" x14ac:dyDescent="0.25">
      <c r="D2227" s="1"/>
    </row>
    <row r="2228" spans="4:4" x14ac:dyDescent="0.25">
      <c r="D2228" s="1"/>
    </row>
    <row r="2229" spans="4:4" x14ac:dyDescent="0.25">
      <c r="D2229" s="1"/>
    </row>
    <row r="2230" spans="4:4" x14ac:dyDescent="0.25">
      <c r="D2230" s="1"/>
    </row>
    <row r="2231" spans="4:4" x14ac:dyDescent="0.25">
      <c r="D2231" s="1"/>
    </row>
    <row r="2232" spans="4:4" x14ac:dyDescent="0.25">
      <c r="D2232" s="1"/>
    </row>
    <row r="2233" spans="4:4" x14ac:dyDescent="0.25">
      <c r="D2233" s="1"/>
    </row>
    <row r="2234" spans="4:4" x14ac:dyDescent="0.25">
      <c r="D2234" s="1"/>
    </row>
    <row r="2235" spans="4:4" x14ac:dyDescent="0.25">
      <c r="D2235" s="1"/>
    </row>
    <row r="2236" spans="4:4" x14ac:dyDescent="0.25">
      <c r="D2236" s="1"/>
    </row>
    <row r="2237" spans="4:4" x14ac:dyDescent="0.25">
      <c r="D2237" s="1"/>
    </row>
    <row r="2238" spans="4:4" x14ac:dyDescent="0.25">
      <c r="D2238" s="1"/>
    </row>
    <row r="2239" spans="4:4" x14ac:dyDescent="0.25">
      <c r="D2239" s="1"/>
    </row>
    <row r="2240" spans="4:4" x14ac:dyDescent="0.25">
      <c r="D2240" s="1"/>
    </row>
    <row r="2241" spans="4:4" x14ac:dyDescent="0.25">
      <c r="D2241" s="1"/>
    </row>
    <row r="2242" spans="4:4" x14ac:dyDescent="0.25">
      <c r="D2242" s="1"/>
    </row>
    <row r="2243" spans="4:4" x14ac:dyDescent="0.25">
      <c r="D2243" s="1"/>
    </row>
    <row r="2244" spans="4:4" x14ac:dyDescent="0.25">
      <c r="D2244" s="1"/>
    </row>
    <row r="2245" spans="4:4" x14ac:dyDescent="0.25">
      <c r="D2245" s="1"/>
    </row>
    <row r="2246" spans="4:4" x14ac:dyDescent="0.25">
      <c r="D2246" s="1"/>
    </row>
    <row r="2247" spans="4:4" x14ac:dyDescent="0.25">
      <c r="D2247" s="1"/>
    </row>
    <row r="2248" spans="4:4" x14ac:dyDescent="0.25">
      <c r="D2248" s="1"/>
    </row>
    <row r="2249" spans="4:4" x14ac:dyDescent="0.25">
      <c r="D2249" s="1"/>
    </row>
    <row r="2250" spans="4:4" x14ac:dyDescent="0.25">
      <c r="D2250" s="1"/>
    </row>
    <row r="2251" spans="4:4" x14ac:dyDescent="0.25">
      <c r="D2251" s="1"/>
    </row>
    <row r="2252" spans="4:4" x14ac:dyDescent="0.25">
      <c r="D2252" s="1"/>
    </row>
    <row r="2253" spans="4:4" x14ac:dyDescent="0.25">
      <c r="D2253" s="1"/>
    </row>
    <row r="2254" spans="4:4" x14ac:dyDescent="0.25">
      <c r="D2254" s="1"/>
    </row>
    <row r="2255" spans="4:4" x14ac:dyDescent="0.25">
      <c r="D2255" s="1"/>
    </row>
    <row r="2256" spans="4:4" x14ac:dyDescent="0.25">
      <c r="D2256" s="1"/>
    </row>
    <row r="2257" spans="4:4" x14ac:dyDescent="0.25">
      <c r="D2257" s="1"/>
    </row>
    <row r="2258" spans="4:4" x14ac:dyDescent="0.25">
      <c r="D2258" s="1"/>
    </row>
    <row r="2259" spans="4:4" x14ac:dyDescent="0.25">
      <c r="D2259" s="1"/>
    </row>
    <row r="2260" spans="4:4" x14ac:dyDescent="0.25">
      <c r="D2260" s="1"/>
    </row>
    <row r="2261" spans="4:4" x14ac:dyDescent="0.25">
      <c r="D2261" s="1"/>
    </row>
    <row r="2262" spans="4:4" x14ac:dyDescent="0.25">
      <c r="D2262" s="1"/>
    </row>
    <row r="2263" spans="4:4" x14ac:dyDescent="0.25">
      <c r="D2263" s="1"/>
    </row>
    <row r="2264" spans="4:4" x14ac:dyDescent="0.25">
      <c r="D2264" s="1"/>
    </row>
    <row r="2265" spans="4:4" x14ac:dyDescent="0.25">
      <c r="D2265" s="1"/>
    </row>
    <row r="2266" spans="4:4" x14ac:dyDescent="0.25">
      <c r="D2266" s="1"/>
    </row>
    <row r="2267" spans="4:4" x14ac:dyDescent="0.25">
      <c r="D2267" s="1"/>
    </row>
    <row r="2268" spans="4:4" x14ac:dyDescent="0.25">
      <c r="D2268" s="1"/>
    </row>
    <row r="2269" spans="4:4" x14ac:dyDescent="0.25">
      <c r="D2269" s="1"/>
    </row>
    <row r="2270" spans="4:4" x14ac:dyDescent="0.25">
      <c r="D2270" s="1"/>
    </row>
    <row r="2271" spans="4:4" x14ac:dyDescent="0.25">
      <c r="D2271" s="1"/>
    </row>
    <row r="2272" spans="4:4" x14ac:dyDescent="0.25">
      <c r="D2272" s="1"/>
    </row>
    <row r="2273" spans="4:4" x14ac:dyDescent="0.25">
      <c r="D2273" s="1"/>
    </row>
    <row r="2274" spans="4:4" x14ac:dyDescent="0.25">
      <c r="D2274" s="1"/>
    </row>
    <row r="2275" spans="4:4" x14ac:dyDescent="0.25">
      <c r="D2275" s="1"/>
    </row>
    <row r="2276" spans="4:4" x14ac:dyDescent="0.25">
      <c r="D2276" s="1"/>
    </row>
    <row r="2277" spans="4:4" x14ac:dyDescent="0.25">
      <c r="D2277" s="1"/>
    </row>
    <row r="2278" spans="4:4" x14ac:dyDescent="0.25">
      <c r="D2278" s="1"/>
    </row>
    <row r="2279" spans="4:4" x14ac:dyDescent="0.25">
      <c r="D2279" s="1"/>
    </row>
    <row r="2280" spans="4:4" x14ac:dyDescent="0.25">
      <c r="D2280" s="1"/>
    </row>
    <row r="2281" spans="4:4" x14ac:dyDescent="0.25">
      <c r="D2281" s="1"/>
    </row>
    <row r="2282" spans="4:4" x14ac:dyDescent="0.25">
      <c r="D2282" s="1"/>
    </row>
    <row r="2283" spans="4:4" x14ac:dyDescent="0.25">
      <c r="D2283" s="1"/>
    </row>
    <row r="2284" spans="4:4" x14ac:dyDescent="0.25">
      <c r="D2284" s="1"/>
    </row>
    <row r="2285" spans="4:4" x14ac:dyDescent="0.25">
      <c r="D2285" s="1"/>
    </row>
    <row r="2286" spans="4:4" x14ac:dyDescent="0.25">
      <c r="D2286" s="1"/>
    </row>
    <row r="2287" spans="4:4" x14ac:dyDescent="0.25">
      <c r="D2287" s="1"/>
    </row>
    <row r="2288" spans="4:4" x14ac:dyDescent="0.25">
      <c r="D2288" s="1"/>
    </row>
    <row r="2289" spans="4:4" x14ac:dyDescent="0.25">
      <c r="D2289" s="1"/>
    </row>
    <row r="2290" spans="4:4" x14ac:dyDescent="0.25">
      <c r="D2290" s="1"/>
    </row>
    <row r="2291" spans="4:4" x14ac:dyDescent="0.25">
      <c r="D2291" s="1"/>
    </row>
    <row r="2292" spans="4:4" x14ac:dyDescent="0.25">
      <c r="D2292" s="1"/>
    </row>
    <row r="2293" spans="4:4" x14ac:dyDescent="0.25">
      <c r="D2293" s="1"/>
    </row>
    <row r="2294" spans="4:4" x14ac:dyDescent="0.25">
      <c r="D2294" s="1"/>
    </row>
    <row r="2295" spans="4:4" x14ac:dyDescent="0.25">
      <c r="D2295" s="1"/>
    </row>
    <row r="2296" spans="4:4" x14ac:dyDescent="0.25">
      <c r="D2296" s="1"/>
    </row>
    <row r="2297" spans="4:4" x14ac:dyDescent="0.25">
      <c r="D2297" s="1"/>
    </row>
    <row r="2298" spans="4:4" x14ac:dyDescent="0.25">
      <c r="D2298" s="1"/>
    </row>
    <row r="2299" spans="4:4" x14ac:dyDescent="0.25">
      <c r="D2299" s="1"/>
    </row>
    <row r="2300" spans="4:4" x14ac:dyDescent="0.25">
      <c r="D2300" s="1"/>
    </row>
    <row r="2301" spans="4:4" x14ac:dyDescent="0.25">
      <c r="D2301" s="1"/>
    </row>
    <row r="2302" spans="4:4" x14ac:dyDescent="0.25">
      <c r="D2302" s="1"/>
    </row>
    <row r="2303" spans="4:4" x14ac:dyDescent="0.25">
      <c r="D2303" s="1"/>
    </row>
    <row r="2304" spans="4:4" x14ac:dyDescent="0.25">
      <c r="D2304" s="1"/>
    </row>
    <row r="2305" spans="4:4" x14ac:dyDescent="0.25">
      <c r="D2305" s="1"/>
    </row>
    <row r="2306" spans="4:4" x14ac:dyDescent="0.25">
      <c r="D2306" s="1"/>
    </row>
    <row r="2307" spans="4:4" x14ac:dyDescent="0.25">
      <c r="D2307" s="1"/>
    </row>
    <row r="2308" spans="4:4" x14ac:dyDescent="0.25">
      <c r="D2308" s="1"/>
    </row>
    <row r="2309" spans="4:4" x14ac:dyDescent="0.25">
      <c r="D2309" s="1"/>
    </row>
    <row r="2310" spans="4:4" x14ac:dyDescent="0.25">
      <c r="D2310" s="1"/>
    </row>
    <row r="2311" spans="4:4" x14ac:dyDescent="0.25">
      <c r="D2311" s="1"/>
    </row>
    <row r="2312" spans="4:4" x14ac:dyDescent="0.25">
      <c r="D2312" s="1"/>
    </row>
    <row r="2313" spans="4:4" x14ac:dyDescent="0.25">
      <c r="D2313" s="1"/>
    </row>
    <row r="2314" spans="4:4" x14ac:dyDescent="0.25">
      <c r="D2314" s="1"/>
    </row>
    <row r="2315" spans="4:4" x14ac:dyDescent="0.25">
      <c r="D2315" s="1"/>
    </row>
    <row r="2316" spans="4:4" x14ac:dyDescent="0.25">
      <c r="D2316" s="1"/>
    </row>
    <row r="2317" spans="4:4" x14ac:dyDescent="0.25">
      <c r="D2317" s="1"/>
    </row>
    <row r="2318" spans="4:4" x14ac:dyDescent="0.25">
      <c r="D2318" s="1"/>
    </row>
    <row r="2319" spans="4:4" x14ac:dyDescent="0.25">
      <c r="D2319" s="1"/>
    </row>
    <row r="2320" spans="4:4" x14ac:dyDescent="0.25">
      <c r="D2320" s="1"/>
    </row>
    <row r="2321" spans="4:4" x14ac:dyDescent="0.25">
      <c r="D2321" s="1"/>
    </row>
    <row r="2322" spans="4:4" x14ac:dyDescent="0.25">
      <c r="D2322" s="1"/>
    </row>
    <row r="2323" spans="4:4" x14ac:dyDescent="0.25">
      <c r="D2323" s="1"/>
    </row>
    <row r="2324" spans="4:4" x14ac:dyDescent="0.25">
      <c r="D2324" s="1"/>
    </row>
    <row r="2325" spans="4:4" x14ac:dyDescent="0.25">
      <c r="D2325" s="1"/>
    </row>
    <row r="2326" spans="4:4" x14ac:dyDescent="0.25">
      <c r="D2326" s="1"/>
    </row>
    <row r="2327" spans="4:4" x14ac:dyDescent="0.25">
      <c r="D2327" s="1"/>
    </row>
    <row r="2328" spans="4:4" x14ac:dyDescent="0.25">
      <c r="D2328" s="1"/>
    </row>
    <row r="2329" spans="4:4" x14ac:dyDescent="0.25">
      <c r="D2329" s="1"/>
    </row>
    <row r="2330" spans="4:4" x14ac:dyDescent="0.25">
      <c r="D2330" s="1"/>
    </row>
    <row r="2331" spans="4:4" x14ac:dyDescent="0.25">
      <c r="D2331" s="1"/>
    </row>
    <row r="2332" spans="4:4" x14ac:dyDescent="0.25">
      <c r="D2332" s="1"/>
    </row>
    <row r="2333" spans="4:4" x14ac:dyDescent="0.25">
      <c r="D2333" s="1"/>
    </row>
    <row r="2334" spans="4:4" x14ac:dyDescent="0.25">
      <c r="D2334" s="1"/>
    </row>
    <row r="2335" spans="4:4" x14ac:dyDescent="0.25">
      <c r="D2335" s="1"/>
    </row>
    <row r="2336" spans="4:4" x14ac:dyDescent="0.25">
      <c r="D2336" s="1"/>
    </row>
    <row r="2337" spans="4:4" x14ac:dyDescent="0.25">
      <c r="D2337" s="1"/>
    </row>
    <row r="2338" spans="4:4" x14ac:dyDescent="0.25">
      <c r="D2338" s="1"/>
    </row>
    <row r="2339" spans="4:4" x14ac:dyDescent="0.25">
      <c r="D2339" s="1"/>
    </row>
    <row r="2340" spans="4:4" x14ac:dyDescent="0.25">
      <c r="D2340" s="1"/>
    </row>
    <row r="2341" spans="4:4" x14ac:dyDescent="0.25">
      <c r="D2341" s="1"/>
    </row>
    <row r="2342" spans="4:4" x14ac:dyDescent="0.25">
      <c r="D2342" s="1"/>
    </row>
    <row r="2343" spans="4:4" x14ac:dyDescent="0.25">
      <c r="D2343" s="1"/>
    </row>
    <row r="2344" spans="4:4" x14ac:dyDescent="0.25">
      <c r="D2344" s="1"/>
    </row>
    <row r="2345" spans="4:4" x14ac:dyDescent="0.25">
      <c r="D2345" s="1"/>
    </row>
    <row r="2346" spans="4:4" x14ac:dyDescent="0.25">
      <c r="D2346" s="1"/>
    </row>
    <row r="2347" spans="4:4" x14ac:dyDescent="0.25">
      <c r="D2347" s="1"/>
    </row>
    <row r="2348" spans="4:4" x14ac:dyDescent="0.25">
      <c r="D2348" s="1"/>
    </row>
    <row r="2349" spans="4:4" x14ac:dyDescent="0.25">
      <c r="D2349" s="1"/>
    </row>
    <row r="2350" spans="4:4" x14ac:dyDescent="0.25">
      <c r="D2350" s="1"/>
    </row>
    <row r="2351" spans="4:4" x14ac:dyDescent="0.25">
      <c r="D2351" s="1"/>
    </row>
    <row r="2352" spans="4:4" x14ac:dyDescent="0.25">
      <c r="D2352" s="1"/>
    </row>
    <row r="2353" spans="4:4" x14ac:dyDescent="0.25">
      <c r="D2353" s="1"/>
    </row>
    <row r="2354" spans="4:4" x14ac:dyDescent="0.25">
      <c r="D2354" s="1"/>
    </row>
    <row r="2355" spans="4:4" x14ac:dyDescent="0.25">
      <c r="D2355" s="1"/>
    </row>
    <row r="2356" spans="4:4" x14ac:dyDescent="0.25">
      <c r="D2356" s="1"/>
    </row>
    <row r="2357" spans="4:4" x14ac:dyDescent="0.25">
      <c r="D2357" s="1"/>
    </row>
    <row r="2358" spans="4:4" x14ac:dyDescent="0.25">
      <c r="D2358" s="1"/>
    </row>
    <row r="2359" spans="4:4" x14ac:dyDescent="0.25">
      <c r="D2359" s="1"/>
    </row>
    <row r="2360" spans="4:4" x14ac:dyDescent="0.25">
      <c r="D2360" s="1"/>
    </row>
    <row r="2361" spans="4:4" x14ac:dyDescent="0.25">
      <c r="D2361" s="1"/>
    </row>
    <row r="2362" spans="4:4" x14ac:dyDescent="0.25">
      <c r="D2362" s="1"/>
    </row>
    <row r="2363" spans="4:4" x14ac:dyDescent="0.25">
      <c r="D2363" s="1"/>
    </row>
    <row r="2364" spans="4:4" x14ac:dyDescent="0.25">
      <c r="D2364" s="1"/>
    </row>
    <row r="2365" spans="4:4" x14ac:dyDescent="0.25">
      <c r="D2365" s="1"/>
    </row>
    <row r="2366" spans="4:4" x14ac:dyDescent="0.25">
      <c r="D2366" s="1"/>
    </row>
    <row r="2367" spans="4:4" x14ac:dyDescent="0.25">
      <c r="D2367" s="1"/>
    </row>
    <row r="2368" spans="4:4" x14ac:dyDescent="0.25">
      <c r="D2368" s="1"/>
    </row>
    <row r="2369" spans="4:4" x14ac:dyDescent="0.25">
      <c r="D2369" s="1"/>
    </row>
    <row r="2370" spans="4:4" x14ac:dyDescent="0.25">
      <c r="D2370" s="1"/>
    </row>
    <row r="2371" spans="4:4" x14ac:dyDescent="0.25">
      <c r="D2371" s="1"/>
    </row>
    <row r="2372" spans="4:4" x14ac:dyDescent="0.25">
      <c r="D2372" s="1"/>
    </row>
    <row r="2373" spans="4:4" x14ac:dyDescent="0.25">
      <c r="D2373" s="1"/>
    </row>
    <row r="2374" spans="4:4" x14ac:dyDescent="0.25">
      <c r="D2374" s="1"/>
    </row>
    <row r="2375" spans="4:4" x14ac:dyDescent="0.25">
      <c r="D2375" s="1"/>
    </row>
    <row r="2376" spans="4:4" x14ac:dyDescent="0.25">
      <c r="D2376" s="1"/>
    </row>
    <row r="2377" spans="4:4" x14ac:dyDescent="0.25">
      <c r="D2377" s="1"/>
    </row>
    <row r="2378" spans="4:4" x14ac:dyDescent="0.25">
      <c r="D2378" s="1"/>
    </row>
    <row r="2379" spans="4:4" x14ac:dyDescent="0.25">
      <c r="D2379" s="1"/>
    </row>
    <row r="2380" spans="4:4" x14ac:dyDescent="0.25">
      <c r="D2380" s="1"/>
    </row>
    <row r="2381" spans="4:4" x14ac:dyDescent="0.25">
      <c r="D2381" s="1"/>
    </row>
    <row r="2382" spans="4:4" x14ac:dyDescent="0.25">
      <c r="D2382" s="1"/>
    </row>
    <row r="2383" spans="4:4" x14ac:dyDescent="0.25">
      <c r="D2383" s="1"/>
    </row>
    <row r="2384" spans="4:4" x14ac:dyDescent="0.25">
      <c r="D2384" s="1"/>
    </row>
    <row r="2385" spans="4:4" x14ac:dyDescent="0.25">
      <c r="D2385" s="1"/>
    </row>
    <row r="2386" spans="4:4" x14ac:dyDescent="0.25">
      <c r="D2386" s="1"/>
    </row>
    <row r="2387" spans="4:4" x14ac:dyDescent="0.25">
      <c r="D2387" s="1"/>
    </row>
    <row r="2388" spans="4:4" x14ac:dyDescent="0.25">
      <c r="D2388" s="1"/>
    </row>
    <row r="2389" spans="4:4" x14ac:dyDescent="0.25">
      <c r="D2389" s="1"/>
    </row>
    <row r="2390" spans="4:4" x14ac:dyDescent="0.25">
      <c r="D2390" s="1"/>
    </row>
    <row r="2391" spans="4:4" x14ac:dyDescent="0.25">
      <c r="D2391" s="1"/>
    </row>
    <row r="2392" spans="4:4" x14ac:dyDescent="0.25">
      <c r="D2392" s="1"/>
    </row>
    <row r="2393" spans="4:4" x14ac:dyDescent="0.25">
      <c r="D2393" s="1"/>
    </row>
    <row r="2394" spans="4:4" x14ac:dyDescent="0.25">
      <c r="D2394" s="1"/>
    </row>
    <row r="2395" spans="4:4" x14ac:dyDescent="0.25">
      <c r="D2395" s="1"/>
    </row>
    <row r="2396" spans="4:4" x14ac:dyDescent="0.25">
      <c r="D2396" s="1"/>
    </row>
    <row r="2397" spans="4:4" x14ac:dyDescent="0.25">
      <c r="D2397" s="1"/>
    </row>
    <row r="2398" spans="4:4" x14ac:dyDescent="0.25">
      <c r="D2398" s="1"/>
    </row>
    <row r="2399" spans="4:4" x14ac:dyDescent="0.25">
      <c r="D2399" s="1"/>
    </row>
    <row r="2400" spans="4:4" x14ac:dyDescent="0.25">
      <c r="D2400" s="1"/>
    </row>
    <row r="2401" spans="4:4" x14ac:dyDescent="0.25">
      <c r="D2401" s="1"/>
    </row>
    <row r="2402" spans="4:4" x14ac:dyDescent="0.25">
      <c r="D2402" s="1"/>
    </row>
    <row r="2403" spans="4:4" x14ac:dyDescent="0.25">
      <c r="D2403" s="1"/>
    </row>
    <row r="2404" spans="4:4" x14ac:dyDescent="0.25">
      <c r="D2404" s="1"/>
    </row>
    <row r="2405" spans="4:4" x14ac:dyDescent="0.25">
      <c r="D2405" s="1"/>
    </row>
    <row r="2406" spans="4:4" x14ac:dyDescent="0.25">
      <c r="D2406" s="1"/>
    </row>
    <row r="2407" spans="4:4" x14ac:dyDescent="0.25">
      <c r="D2407" s="1"/>
    </row>
    <row r="2408" spans="4:4" x14ac:dyDescent="0.25">
      <c r="D2408" s="1"/>
    </row>
    <row r="2409" spans="4:4" x14ac:dyDescent="0.25">
      <c r="D2409" s="1"/>
    </row>
    <row r="2410" spans="4:4" x14ac:dyDescent="0.25">
      <c r="D2410" s="1"/>
    </row>
    <row r="2411" spans="4:4" x14ac:dyDescent="0.25">
      <c r="D2411" s="1"/>
    </row>
    <row r="2412" spans="4:4" x14ac:dyDescent="0.25">
      <c r="D2412" s="1"/>
    </row>
    <row r="2413" spans="4:4" x14ac:dyDescent="0.25">
      <c r="D2413" s="1"/>
    </row>
    <row r="2414" spans="4:4" x14ac:dyDescent="0.25">
      <c r="D2414" s="1"/>
    </row>
    <row r="2415" spans="4:4" x14ac:dyDescent="0.25">
      <c r="D2415" s="1"/>
    </row>
    <row r="2416" spans="4:4" x14ac:dyDescent="0.25">
      <c r="D2416" s="1"/>
    </row>
    <row r="2417" spans="4:4" x14ac:dyDescent="0.25">
      <c r="D2417" s="1"/>
    </row>
    <row r="2418" spans="4:4" x14ac:dyDescent="0.25">
      <c r="D2418" s="1"/>
    </row>
    <row r="2419" spans="4:4" x14ac:dyDescent="0.25">
      <c r="D2419" s="1"/>
    </row>
    <row r="2420" spans="4:4" x14ac:dyDescent="0.25">
      <c r="D2420" s="1"/>
    </row>
    <row r="2421" spans="4:4" x14ac:dyDescent="0.25">
      <c r="D2421" s="1"/>
    </row>
    <row r="2422" spans="4:4" x14ac:dyDescent="0.25">
      <c r="D2422" s="1"/>
    </row>
    <row r="2423" spans="4:4" x14ac:dyDescent="0.25">
      <c r="D2423" s="1"/>
    </row>
    <row r="2424" spans="4:4" x14ac:dyDescent="0.25">
      <c r="D2424" s="1"/>
    </row>
    <row r="2425" spans="4:4" x14ac:dyDescent="0.25">
      <c r="D2425" s="1"/>
    </row>
    <row r="2426" spans="4:4" x14ac:dyDescent="0.25">
      <c r="D2426" s="1"/>
    </row>
    <row r="2427" spans="4:4" x14ac:dyDescent="0.25">
      <c r="D2427" s="1"/>
    </row>
    <row r="2428" spans="4:4" x14ac:dyDescent="0.25">
      <c r="D2428" s="1"/>
    </row>
    <row r="2429" spans="4:4" x14ac:dyDescent="0.25">
      <c r="D2429" s="1"/>
    </row>
    <row r="2430" spans="4:4" x14ac:dyDescent="0.25">
      <c r="D2430" s="1"/>
    </row>
    <row r="2431" spans="4:4" x14ac:dyDescent="0.25">
      <c r="D2431" s="1"/>
    </row>
    <row r="2432" spans="4:4" x14ac:dyDescent="0.25">
      <c r="D2432" s="1"/>
    </row>
    <row r="2433" spans="4:4" x14ac:dyDescent="0.25">
      <c r="D2433" s="1"/>
    </row>
    <row r="2434" spans="4:4" x14ac:dyDescent="0.25">
      <c r="D2434" s="1"/>
    </row>
    <row r="2435" spans="4:4" x14ac:dyDescent="0.25">
      <c r="D2435" s="1"/>
    </row>
    <row r="2436" spans="4:4" x14ac:dyDescent="0.25">
      <c r="D2436" s="1"/>
    </row>
    <row r="2437" spans="4:4" x14ac:dyDescent="0.25">
      <c r="D2437" s="1"/>
    </row>
    <row r="2438" spans="4:4" x14ac:dyDescent="0.25">
      <c r="D2438" s="1"/>
    </row>
    <row r="2439" spans="4:4" x14ac:dyDescent="0.25">
      <c r="D2439" s="1"/>
    </row>
    <row r="2440" spans="4:4" x14ac:dyDescent="0.25">
      <c r="D2440" s="1"/>
    </row>
    <row r="2441" spans="4:4" x14ac:dyDescent="0.25">
      <c r="D2441" s="1"/>
    </row>
    <row r="2442" spans="4:4" x14ac:dyDescent="0.25">
      <c r="D2442" s="1"/>
    </row>
    <row r="2443" spans="4:4" x14ac:dyDescent="0.25">
      <c r="D2443" s="1"/>
    </row>
    <row r="2444" spans="4:4" x14ac:dyDescent="0.25">
      <c r="D2444" s="1"/>
    </row>
    <row r="2445" spans="4:4" x14ac:dyDescent="0.25">
      <c r="D2445" s="1"/>
    </row>
    <row r="2446" spans="4:4" x14ac:dyDescent="0.25">
      <c r="D2446" s="1"/>
    </row>
    <row r="2447" spans="4:4" x14ac:dyDescent="0.25">
      <c r="D2447" s="1"/>
    </row>
    <row r="2448" spans="4:4" x14ac:dyDescent="0.25">
      <c r="D2448" s="1"/>
    </row>
    <row r="2449" spans="4:4" x14ac:dyDescent="0.25">
      <c r="D2449" s="1"/>
    </row>
    <row r="2450" spans="4:4" x14ac:dyDescent="0.25">
      <c r="D2450" s="1"/>
    </row>
    <row r="2451" spans="4:4" x14ac:dyDescent="0.25">
      <c r="D2451" s="1"/>
    </row>
    <row r="2452" spans="4:4" x14ac:dyDescent="0.25">
      <c r="D2452" s="1"/>
    </row>
    <row r="2453" spans="4:4" x14ac:dyDescent="0.25">
      <c r="D2453" s="1"/>
    </row>
    <row r="2454" spans="4:4" x14ac:dyDescent="0.25">
      <c r="D2454" s="1"/>
    </row>
    <row r="2455" spans="4:4" x14ac:dyDescent="0.25">
      <c r="D2455" s="1"/>
    </row>
    <row r="2456" spans="4:4" x14ac:dyDescent="0.25">
      <c r="D2456" s="1"/>
    </row>
    <row r="2457" spans="4:4" x14ac:dyDescent="0.25">
      <c r="D2457" s="1"/>
    </row>
    <row r="2458" spans="4:4" x14ac:dyDescent="0.25">
      <c r="D2458" s="1"/>
    </row>
    <row r="2459" spans="4:4" x14ac:dyDescent="0.25">
      <c r="D2459" s="1"/>
    </row>
    <row r="2460" spans="4:4" x14ac:dyDescent="0.25">
      <c r="D2460" s="1"/>
    </row>
    <row r="2461" spans="4:4" x14ac:dyDescent="0.25">
      <c r="D2461" s="1"/>
    </row>
    <row r="2462" spans="4:4" x14ac:dyDescent="0.25">
      <c r="D2462" s="1"/>
    </row>
    <row r="2463" spans="4:4" x14ac:dyDescent="0.25">
      <c r="D2463" s="1"/>
    </row>
    <row r="2464" spans="4:4" x14ac:dyDescent="0.25">
      <c r="D2464" s="1"/>
    </row>
    <row r="2465" spans="4:4" x14ac:dyDescent="0.25">
      <c r="D2465" s="1"/>
    </row>
    <row r="2466" spans="4:4" x14ac:dyDescent="0.25">
      <c r="D2466" s="1"/>
    </row>
    <row r="2467" spans="4:4" x14ac:dyDescent="0.25">
      <c r="D2467" s="1"/>
    </row>
    <row r="2468" spans="4:4" x14ac:dyDescent="0.25">
      <c r="D2468" s="1"/>
    </row>
    <row r="2469" spans="4:4" x14ac:dyDescent="0.25">
      <c r="D2469" s="1"/>
    </row>
    <row r="2470" spans="4:4" x14ac:dyDescent="0.25">
      <c r="D2470" s="1"/>
    </row>
    <row r="2471" spans="4:4" x14ac:dyDescent="0.25">
      <c r="D2471" s="1"/>
    </row>
    <row r="2472" spans="4:4" x14ac:dyDescent="0.25">
      <c r="D2472" s="1"/>
    </row>
    <row r="2473" spans="4:4" x14ac:dyDescent="0.25">
      <c r="D2473" s="1"/>
    </row>
    <row r="2474" spans="4:4" x14ac:dyDescent="0.25">
      <c r="D2474" s="1"/>
    </row>
    <row r="2475" spans="4:4" x14ac:dyDescent="0.25">
      <c r="D2475" s="1"/>
    </row>
    <row r="2476" spans="4:4" x14ac:dyDescent="0.25">
      <c r="D2476" s="1"/>
    </row>
    <row r="2477" spans="4:4" x14ac:dyDescent="0.25">
      <c r="D2477" s="1"/>
    </row>
    <row r="2478" spans="4:4" x14ac:dyDescent="0.25">
      <c r="D2478" s="1"/>
    </row>
    <row r="2479" spans="4:4" x14ac:dyDescent="0.25">
      <c r="D2479" s="1"/>
    </row>
    <row r="2480" spans="4:4" x14ac:dyDescent="0.25">
      <c r="D2480" s="1"/>
    </row>
    <row r="2481" spans="4:4" x14ac:dyDescent="0.25">
      <c r="D2481" s="1"/>
    </row>
    <row r="2482" spans="4:4" x14ac:dyDescent="0.25">
      <c r="D2482" s="1"/>
    </row>
    <row r="2483" spans="4:4" x14ac:dyDescent="0.25">
      <c r="D2483" s="1"/>
    </row>
    <row r="2484" spans="4:4" x14ac:dyDescent="0.25">
      <c r="D2484" s="1"/>
    </row>
    <row r="2485" spans="4:4" x14ac:dyDescent="0.25">
      <c r="D2485" s="1"/>
    </row>
    <row r="2486" spans="4:4" x14ac:dyDescent="0.25">
      <c r="D2486" s="1"/>
    </row>
    <row r="2487" spans="4:4" x14ac:dyDescent="0.25">
      <c r="D2487" s="1"/>
    </row>
    <row r="2488" spans="4:4" x14ac:dyDescent="0.25">
      <c r="D2488" s="1"/>
    </row>
    <row r="2489" spans="4:4" x14ac:dyDescent="0.25">
      <c r="D2489" s="1"/>
    </row>
    <row r="2490" spans="4:4" x14ac:dyDescent="0.25">
      <c r="D2490" s="1"/>
    </row>
    <row r="2491" spans="4:4" x14ac:dyDescent="0.25">
      <c r="D2491" s="1"/>
    </row>
    <row r="2492" spans="4:4" x14ac:dyDescent="0.25">
      <c r="D2492" s="1"/>
    </row>
    <row r="2493" spans="4:4" x14ac:dyDescent="0.25">
      <c r="D2493" s="1"/>
    </row>
    <row r="2494" spans="4:4" x14ac:dyDescent="0.25">
      <c r="D2494" s="1"/>
    </row>
    <row r="2495" spans="4:4" x14ac:dyDescent="0.25">
      <c r="D2495" s="1"/>
    </row>
    <row r="2496" spans="4:4" x14ac:dyDescent="0.25">
      <c r="D2496" s="1"/>
    </row>
    <row r="2497" spans="4:4" x14ac:dyDescent="0.25">
      <c r="D2497" s="1"/>
    </row>
    <row r="2498" spans="4:4" x14ac:dyDescent="0.25">
      <c r="D2498" s="1"/>
    </row>
    <row r="2499" spans="4:4" x14ac:dyDescent="0.25">
      <c r="D2499" s="1"/>
    </row>
    <row r="2500" spans="4:4" x14ac:dyDescent="0.25">
      <c r="D2500" s="1"/>
    </row>
    <row r="2501" spans="4:4" x14ac:dyDescent="0.25">
      <c r="D2501" s="1"/>
    </row>
    <row r="2502" spans="4:4" x14ac:dyDescent="0.25">
      <c r="D2502" s="1"/>
    </row>
    <row r="2503" spans="4:4" x14ac:dyDescent="0.25">
      <c r="D2503" s="1"/>
    </row>
    <row r="2504" spans="4:4" x14ac:dyDescent="0.25">
      <c r="D2504" s="1"/>
    </row>
    <row r="2505" spans="4:4" x14ac:dyDescent="0.25">
      <c r="D2505" s="1"/>
    </row>
    <row r="2506" spans="4:4" x14ac:dyDescent="0.25">
      <c r="D2506" s="1"/>
    </row>
    <row r="2507" spans="4:4" x14ac:dyDescent="0.25">
      <c r="D2507" s="1"/>
    </row>
    <row r="2508" spans="4:4" x14ac:dyDescent="0.25">
      <c r="D2508" s="1"/>
    </row>
    <row r="2509" spans="4:4" x14ac:dyDescent="0.25">
      <c r="D2509" s="1"/>
    </row>
    <row r="2510" spans="4:4" x14ac:dyDescent="0.25">
      <c r="D2510" s="1"/>
    </row>
    <row r="2511" spans="4:4" x14ac:dyDescent="0.25">
      <c r="D2511" s="1"/>
    </row>
    <row r="2512" spans="4:4" x14ac:dyDescent="0.25">
      <c r="D2512" s="1"/>
    </row>
    <row r="2513" spans="4:4" x14ac:dyDescent="0.25">
      <c r="D2513" s="1"/>
    </row>
    <row r="2514" spans="4:4" x14ac:dyDescent="0.25">
      <c r="D2514" s="1"/>
    </row>
    <row r="2515" spans="4:4" x14ac:dyDescent="0.25">
      <c r="D2515" s="1"/>
    </row>
    <row r="2516" spans="4:4" x14ac:dyDescent="0.25">
      <c r="D2516" s="1"/>
    </row>
    <row r="2517" spans="4:4" x14ac:dyDescent="0.25">
      <c r="D2517" s="1"/>
    </row>
    <row r="2518" spans="4:4" x14ac:dyDescent="0.25">
      <c r="D2518" s="1"/>
    </row>
    <row r="2519" spans="4:4" x14ac:dyDescent="0.25">
      <c r="D2519" s="1"/>
    </row>
    <row r="2520" spans="4:4" x14ac:dyDescent="0.25">
      <c r="D2520" s="1"/>
    </row>
    <row r="2521" spans="4:4" x14ac:dyDescent="0.25">
      <c r="D2521" s="1"/>
    </row>
    <row r="2522" spans="4:4" x14ac:dyDescent="0.25">
      <c r="D2522" s="1"/>
    </row>
    <row r="2523" spans="4:4" x14ac:dyDescent="0.25">
      <c r="D2523" s="1"/>
    </row>
    <row r="2524" spans="4:4" x14ac:dyDescent="0.25">
      <c r="D2524" s="1"/>
    </row>
    <row r="2525" spans="4:4" x14ac:dyDescent="0.25">
      <c r="D2525" s="1"/>
    </row>
    <row r="2526" spans="4:4" x14ac:dyDescent="0.25">
      <c r="D2526" s="1"/>
    </row>
    <row r="2527" spans="4:4" x14ac:dyDescent="0.25">
      <c r="D2527" s="1"/>
    </row>
    <row r="2528" spans="4:4" x14ac:dyDescent="0.25">
      <c r="D2528" s="1"/>
    </row>
    <row r="2529" spans="4:4" x14ac:dyDescent="0.25">
      <c r="D2529" s="1"/>
    </row>
    <row r="2530" spans="4:4" x14ac:dyDescent="0.25">
      <c r="D2530" s="1"/>
    </row>
    <row r="2531" spans="4:4" x14ac:dyDescent="0.25">
      <c r="D2531" s="1"/>
    </row>
    <row r="2532" spans="4:4" x14ac:dyDescent="0.25">
      <c r="D2532" s="1"/>
    </row>
    <row r="2533" spans="4:4" x14ac:dyDescent="0.25">
      <c r="D2533" s="1"/>
    </row>
    <row r="2534" spans="4:4" x14ac:dyDescent="0.25">
      <c r="D2534" s="1"/>
    </row>
    <row r="2535" spans="4:4" x14ac:dyDescent="0.25">
      <c r="D2535" s="1"/>
    </row>
    <row r="2536" spans="4:4" x14ac:dyDescent="0.25">
      <c r="D2536" s="1"/>
    </row>
    <row r="2537" spans="4:4" x14ac:dyDescent="0.25">
      <c r="D2537" s="1"/>
    </row>
    <row r="2538" spans="4:4" x14ac:dyDescent="0.25">
      <c r="D2538" s="1"/>
    </row>
    <row r="2539" spans="4:4" x14ac:dyDescent="0.25">
      <c r="D2539" s="1"/>
    </row>
    <row r="2540" spans="4:4" x14ac:dyDescent="0.25">
      <c r="D2540" s="1"/>
    </row>
    <row r="2541" spans="4:4" x14ac:dyDescent="0.25">
      <c r="D2541" s="1"/>
    </row>
    <row r="2542" spans="4:4" x14ac:dyDescent="0.25">
      <c r="D2542" s="1"/>
    </row>
    <row r="2543" spans="4:4" x14ac:dyDescent="0.25">
      <c r="D2543" s="1"/>
    </row>
    <row r="2544" spans="4:4" x14ac:dyDescent="0.25">
      <c r="D2544" s="1"/>
    </row>
    <row r="2545" spans="4:4" x14ac:dyDescent="0.25">
      <c r="D2545" s="1"/>
    </row>
    <row r="2546" spans="4:4" x14ac:dyDescent="0.25">
      <c r="D2546" s="1"/>
    </row>
    <row r="2547" spans="4:4" x14ac:dyDescent="0.25">
      <c r="D2547" s="1"/>
    </row>
    <row r="2548" spans="4:4" x14ac:dyDescent="0.25">
      <c r="D2548" s="1"/>
    </row>
    <row r="2549" spans="4:4" x14ac:dyDescent="0.25">
      <c r="D2549" s="1"/>
    </row>
    <row r="2550" spans="4:4" x14ac:dyDescent="0.25">
      <c r="D2550" s="1"/>
    </row>
    <row r="2551" spans="4:4" x14ac:dyDescent="0.25">
      <c r="D2551" s="1"/>
    </row>
    <row r="2552" spans="4:4" x14ac:dyDescent="0.25">
      <c r="D2552" s="1"/>
    </row>
    <row r="2553" spans="4:4" x14ac:dyDescent="0.25">
      <c r="D2553" s="1"/>
    </row>
    <row r="2554" spans="4:4" x14ac:dyDescent="0.25">
      <c r="D2554" s="1"/>
    </row>
    <row r="2555" spans="4:4" x14ac:dyDescent="0.25">
      <c r="D2555" s="1"/>
    </row>
    <row r="2556" spans="4:4" x14ac:dyDescent="0.25">
      <c r="D2556" s="1"/>
    </row>
    <row r="2557" spans="4:4" x14ac:dyDescent="0.25">
      <c r="D2557" s="1"/>
    </row>
    <row r="2558" spans="4:4" x14ac:dyDescent="0.25">
      <c r="D2558" s="1"/>
    </row>
    <row r="2559" spans="4:4" x14ac:dyDescent="0.25">
      <c r="D2559" s="1"/>
    </row>
    <row r="2560" spans="4:4" x14ac:dyDescent="0.25">
      <c r="D2560" s="1"/>
    </row>
    <row r="2561" spans="4:4" x14ac:dyDescent="0.25">
      <c r="D2561" s="1"/>
    </row>
    <row r="2562" spans="4:4" x14ac:dyDescent="0.25">
      <c r="D2562" s="1"/>
    </row>
    <row r="2563" spans="4:4" x14ac:dyDescent="0.25">
      <c r="D2563" s="1"/>
    </row>
    <row r="2564" spans="4:4" x14ac:dyDescent="0.25">
      <c r="D2564" s="1"/>
    </row>
    <row r="2565" spans="4:4" x14ac:dyDescent="0.25">
      <c r="D2565" s="1"/>
    </row>
    <row r="2566" spans="4:4" x14ac:dyDescent="0.25">
      <c r="D2566" s="1"/>
    </row>
    <row r="2567" spans="4:4" x14ac:dyDescent="0.25">
      <c r="D2567" s="1"/>
    </row>
    <row r="2568" spans="4:4" x14ac:dyDescent="0.25">
      <c r="D2568" s="1"/>
    </row>
    <row r="2569" spans="4:4" x14ac:dyDescent="0.25">
      <c r="D2569" s="1"/>
    </row>
    <row r="2570" spans="4:4" x14ac:dyDescent="0.25">
      <c r="D2570" s="1"/>
    </row>
    <row r="2571" spans="4:4" x14ac:dyDescent="0.25">
      <c r="D2571" s="1"/>
    </row>
    <row r="2572" spans="4:4" x14ac:dyDescent="0.25">
      <c r="D2572" s="1"/>
    </row>
    <row r="2573" spans="4:4" x14ac:dyDescent="0.25">
      <c r="D2573" s="1"/>
    </row>
    <row r="2574" spans="4:4" x14ac:dyDescent="0.25">
      <c r="D2574" s="1"/>
    </row>
    <row r="2575" spans="4:4" x14ac:dyDescent="0.25">
      <c r="D2575" s="1"/>
    </row>
    <row r="2576" spans="4:4" x14ac:dyDescent="0.25">
      <c r="D2576" s="1"/>
    </row>
    <row r="2577" spans="4:4" x14ac:dyDescent="0.25">
      <c r="D2577" s="1"/>
    </row>
    <row r="2578" spans="4:4" x14ac:dyDescent="0.25">
      <c r="D2578" s="1"/>
    </row>
    <row r="2579" spans="4:4" x14ac:dyDescent="0.25">
      <c r="D2579" s="1"/>
    </row>
    <row r="2580" spans="4:4" x14ac:dyDescent="0.25">
      <c r="D2580" s="1"/>
    </row>
    <row r="2581" spans="4:4" x14ac:dyDescent="0.25">
      <c r="D2581" s="1"/>
    </row>
    <row r="2582" spans="4:4" x14ac:dyDescent="0.25">
      <c r="D2582" s="1"/>
    </row>
    <row r="2583" spans="4:4" x14ac:dyDescent="0.25">
      <c r="D2583" s="1"/>
    </row>
    <row r="2584" spans="4:4" x14ac:dyDescent="0.25">
      <c r="D2584" s="1"/>
    </row>
    <row r="2585" spans="4:4" x14ac:dyDescent="0.25">
      <c r="D2585" s="1"/>
    </row>
    <row r="2586" spans="4:4" x14ac:dyDescent="0.25">
      <c r="D2586" s="1"/>
    </row>
    <row r="2587" spans="4:4" x14ac:dyDescent="0.25">
      <c r="D2587" s="1"/>
    </row>
    <row r="2588" spans="4:4" x14ac:dyDescent="0.25">
      <c r="D2588" s="1"/>
    </row>
    <row r="2589" spans="4:4" x14ac:dyDescent="0.25">
      <c r="D2589" s="1"/>
    </row>
    <row r="2590" spans="4:4" x14ac:dyDescent="0.25">
      <c r="D2590" s="1"/>
    </row>
    <row r="2591" spans="4:4" x14ac:dyDescent="0.25">
      <c r="D2591" s="1"/>
    </row>
    <row r="2592" spans="4:4" x14ac:dyDescent="0.25">
      <c r="D2592" s="1"/>
    </row>
    <row r="2593" spans="4:4" x14ac:dyDescent="0.25">
      <c r="D2593" s="1"/>
    </row>
    <row r="2594" spans="4:4" x14ac:dyDescent="0.25">
      <c r="D2594" s="1"/>
    </row>
    <row r="2595" spans="4:4" x14ac:dyDescent="0.25">
      <c r="D2595" s="1"/>
    </row>
    <row r="2596" spans="4:4" x14ac:dyDescent="0.25">
      <c r="D2596" s="1"/>
    </row>
    <row r="2597" spans="4:4" x14ac:dyDescent="0.25">
      <c r="D2597" s="1"/>
    </row>
    <row r="2598" spans="4:4" x14ac:dyDescent="0.25">
      <c r="D2598" s="1"/>
    </row>
    <row r="2599" spans="4:4" x14ac:dyDescent="0.25">
      <c r="D2599" s="1"/>
    </row>
    <row r="2600" spans="4:4" x14ac:dyDescent="0.25">
      <c r="D2600" s="1"/>
    </row>
    <row r="2601" spans="4:4" x14ac:dyDescent="0.25">
      <c r="D2601" s="1"/>
    </row>
    <row r="2602" spans="4:4" x14ac:dyDescent="0.25">
      <c r="D2602" s="1"/>
    </row>
    <row r="2603" spans="4:4" x14ac:dyDescent="0.25">
      <c r="D2603" s="1"/>
    </row>
    <row r="2604" spans="4:4" x14ac:dyDescent="0.25">
      <c r="D2604" s="1"/>
    </row>
    <row r="2605" spans="4:4" x14ac:dyDescent="0.25">
      <c r="D2605" s="1"/>
    </row>
    <row r="2606" spans="4:4" x14ac:dyDescent="0.25">
      <c r="D2606" s="1"/>
    </row>
    <row r="2607" spans="4:4" x14ac:dyDescent="0.25">
      <c r="D2607" s="1"/>
    </row>
    <row r="2608" spans="4:4" x14ac:dyDescent="0.25">
      <c r="D2608" s="1"/>
    </row>
    <row r="2609" spans="4:4" x14ac:dyDescent="0.25">
      <c r="D2609" s="1"/>
    </row>
    <row r="2610" spans="4:4" x14ac:dyDescent="0.25">
      <c r="D2610" s="1"/>
    </row>
    <row r="2611" spans="4:4" x14ac:dyDescent="0.25">
      <c r="D2611" s="1"/>
    </row>
    <row r="2612" spans="4:4" x14ac:dyDescent="0.25">
      <c r="D2612" s="1"/>
    </row>
    <row r="2613" spans="4:4" x14ac:dyDescent="0.25">
      <c r="D2613" s="1"/>
    </row>
    <row r="2614" spans="4:4" x14ac:dyDescent="0.25">
      <c r="D2614" s="1"/>
    </row>
    <row r="2615" spans="4:4" x14ac:dyDescent="0.25">
      <c r="D2615" s="1"/>
    </row>
    <row r="2616" spans="4:4" x14ac:dyDescent="0.25">
      <c r="D2616" s="1"/>
    </row>
    <row r="2617" spans="4:4" x14ac:dyDescent="0.25">
      <c r="D2617" s="1"/>
    </row>
    <row r="2618" spans="4:4" x14ac:dyDescent="0.25">
      <c r="D2618" s="1"/>
    </row>
    <row r="2619" spans="4:4" x14ac:dyDescent="0.25">
      <c r="D2619" s="1"/>
    </row>
    <row r="2620" spans="4:4" x14ac:dyDescent="0.25">
      <c r="D2620" s="1"/>
    </row>
    <row r="2621" spans="4:4" x14ac:dyDescent="0.25">
      <c r="D2621" s="1"/>
    </row>
    <row r="2622" spans="4:4" x14ac:dyDescent="0.25">
      <c r="D2622" s="1"/>
    </row>
    <row r="2623" spans="4:4" x14ac:dyDescent="0.25">
      <c r="D2623" s="1"/>
    </row>
    <row r="2624" spans="4:4" x14ac:dyDescent="0.25">
      <c r="D2624" s="1"/>
    </row>
    <row r="2625" spans="4:4" x14ac:dyDescent="0.25">
      <c r="D2625" s="1"/>
    </row>
    <row r="2626" spans="4:4" x14ac:dyDescent="0.25">
      <c r="D2626" s="1"/>
    </row>
    <row r="2627" spans="4:4" x14ac:dyDescent="0.25">
      <c r="D2627" s="1"/>
    </row>
    <row r="2628" spans="4:4" x14ac:dyDescent="0.25">
      <c r="D2628" s="1"/>
    </row>
    <row r="2629" spans="4:4" x14ac:dyDescent="0.25">
      <c r="D2629" s="1"/>
    </row>
    <row r="2630" spans="4:4" x14ac:dyDescent="0.25">
      <c r="D2630" s="1"/>
    </row>
    <row r="2631" spans="4:4" x14ac:dyDescent="0.25">
      <c r="D2631" s="1"/>
    </row>
    <row r="2632" spans="4:4" x14ac:dyDescent="0.25">
      <c r="D2632" s="1"/>
    </row>
    <row r="2633" spans="4:4" x14ac:dyDescent="0.25">
      <c r="D2633" s="1"/>
    </row>
    <row r="2634" spans="4:4" x14ac:dyDescent="0.25">
      <c r="D2634" s="1"/>
    </row>
    <row r="2635" spans="4:4" x14ac:dyDescent="0.25">
      <c r="D2635" s="1"/>
    </row>
    <row r="2636" spans="4:4" x14ac:dyDescent="0.25">
      <c r="D2636" s="1"/>
    </row>
    <row r="2637" spans="4:4" x14ac:dyDescent="0.25">
      <c r="D2637" s="1"/>
    </row>
    <row r="2638" spans="4:4" x14ac:dyDescent="0.25">
      <c r="D2638" s="1"/>
    </row>
    <row r="2639" spans="4:4" x14ac:dyDescent="0.25">
      <c r="D2639" s="1"/>
    </row>
    <row r="2640" spans="4:4" x14ac:dyDescent="0.25">
      <c r="D2640" s="1"/>
    </row>
    <row r="2641" spans="4:4" x14ac:dyDescent="0.25">
      <c r="D2641" s="1"/>
    </row>
    <row r="2642" spans="4:4" x14ac:dyDescent="0.25">
      <c r="D2642" s="1"/>
    </row>
    <row r="2643" spans="4:4" x14ac:dyDescent="0.25">
      <c r="D2643" s="1"/>
    </row>
    <row r="2644" spans="4:4" x14ac:dyDescent="0.25">
      <c r="D2644" s="1"/>
    </row>
    <row r="2645" spans="4:4" x14ac:dyDescent="0.25">
      <c r="D2645" s="1"/>
    </row>
    <row r="2646" spans="4:4" x14ac:dyDescent="0.25">
      <c r="D2646" s="1"/>
    </row>
    <row r="2647" spans="4:4" x14ac:dyDescent="0.25">
      <c r="D2647" s="1"/>
    </row>
    <row r="2648" spans="4:4" x14ac:dyDescent="0.25">
      <c r="D2648" s="1"/>
    </row>
    <row r="2649" spans="4:4" x14ac:dyDescent="0.25">
      <c r="D2649" s="1"/>
    </row>
    <row r="2650" spans="4:4" x14ac:dyDescent="0.25">
      <c r="D2650" s="1"/>
    </row>
    <row r="2651" spans="4:4" x14ac:dyDescent="0.25">
      <c r="D2651" s="1"/>
    </row>
    <row r="2652" spans="4:4" x14ac:dyDescent="0.25">
      <c r="D2652" s="1"/>
    </row>
    <row r="2653" spans="4:4" x14ac:dyDescent="0.25">
      <c r="D2653" s="1"/>
    </row>
    <row r="2654" spans="4:4" x14ac:dyDescent="0.25">
      <c r="D2654" s="1"/>
    </row>
    <row r="2655" spans="4:4" x14ac:dyDescent="0.25">
      <c r="D2655" s="1"/>
    </row>
    <row r="2656" spans="4:4" x14ac:dyDescent="0.25">
      <c r="D2656" s="1"/>
    </row>
    <row r="2657" spans="4:4" x14ac:dyDescent="0.25">
      <c r="D2657" s="1"/>
    </row>
    <row r="2658" spans="4:4" x14ac:dyDescent="0.25">
      <c r="D2658" s="1"/>
    </row>
    <row r="2659" spans="4:4" x14ac:dyDescent="0.25">
      <c r="D2659" s="1"/>
    </row>
    <row r="2660" spans="4:4" x14ac:dyDescent="0.25">
      <c r="D2660" s="1"/>
    </row>
    <row r="2661" spans="4:4" x14ac:dyDescent="0.25">
      <c r="D2661" s="1"/>
    </row>
    <row r="2662" spans="4:4" x14ac:dyDescent="0.25">
      <c r="D2662" s="1"/>
    </row>
    <row r="2663" spans="4:4" x14ac:dyDescent="0.25">
      <c r="D2663" s="1"/>
    </row>
    <row r="2664" spans="4:4" x14ac:dyDescent="0.25">
      <c r="D2664" s="1"/>
    </row>
    <row r="2665" spans="4:4" x14ac:dyDescent="0.25">
      <c r="D2665" s="1"/>
    </row>
    <row r="2666" spans="4:4" x14ac:dyDescent="0.25">
      <c r="D2666" s="1"/>
    </row>
    <row r="2667" spans="4:4" x14ac:dyDescent="0.25">
      <c r="D2667" s="1"/>
    </row>
    <row r="2668" spans="4:4" x14ac:dyDescent="0.25">
      <c r="D2668" s="1"/>
    </row>
    <row r="2669" spans="4:4" x14ac:dyDescent="0.25">
      <c r="D2669" s="1"/>
    </row>
    <row r="2670" spans="4:4" x14ac:dyDescent="0.25">
      <c r="D2670" s="1"/>
    </row>
    <row r="2671" spans="4:4" x14ac:dyDescent="0.25">
      <c r="D2671" s="1"/>
    </row>
    <row r="2672" spans="4:4" x14ac:dyDescent="0.25">
      <c r="D2672" s="1"/>
    </row>
    <row r="2673" spans="4:4" x14ac:dyDescent="0.25">
      <c r="D2673" s="1"/>
    </row>
    <row r="2674" spans="4:4" x14ac:dyDescent="0.25">
      <c r="D2674" s="1"/>
    </row>
    <row r="2675" spans="4:4" x14ac:dyDescent="0.25">
      <c r="D2675" s="1"/>
    </row>
    <row r="2676" spans="4:4" x14ac:dyDescent="0.25">
      <c r="D2676" s="1"/>
    </row>
    <row r="2677" spans="4:4" x14ac:dyDescent="0.25">
      <c r="D2677" s="1"/>
    </row>
    <row r="2678" spans="4:4" x14ac:dyDescent="0.25">
      <c r="D2678" s="1"/>
    </row>
    <row r="2679" spans="4:4" x14ac:dyDescent="0.25">
      <c r="D2679" s="1"/>
    </row>
    <row r="2680" spans="4:4" x14ac:dyDescent="0.25">
      <c r="D2680" s="1"/>
    </row>
    <row r="2681" spans="4:4" x14ac:dyDescent="0.25">
      <c r="D2681" s="1"/>
    </row>
    <row r="2682" spans="4:4" x14ac:dyDescent="0.25">
      <c r="D2682" s="1"/>
    </row>
    <row r="2683" spans="4:4" x14ac:dyDescent="0.25">
      <c r="D2683" s="1"/>
    </row>
    <row r="2684" spans="4:4" x14ac:dyDescent="0.25">
      <c r="D2684" s="1"/>
    </row>
    <row r="2685" spans="4:4" x14ac:dyDescent="0.25">
      <c r="D2685" s="1"/>
    </row>
    <row r="2686" spans="4:4" x14ac:dyDescent="0.25">
      <c r="D2686" s="1"/>
    </row>
    <row r="2687" spans="4:4" x14ac:dyDescent="0.25">
      <c r="D2687" s="1"/>
    </row>
    <row r="2688" spans="4:4" x14ac:dyDescent="0.25">
      <c r="D2688" s="1"/>
    </row>
    <row r="2689" spans="4:4" x14ac:dyDescent="0.25">
      <c r="D2689" s="1"/>
    </row>
    <row r="2690" spans="4:4" x14ac:dyDescent="0.25">
      <c r="D2690" s="1"/>
    </row>
    <row r="2691" spans="4:4" x14ac:dyDescent="0.25">
      <c r="D2691" s="1"/>
    </row>
    <row r="2692" spans="4:4" x14ac:dyDescent="0.25">
      <c r="D2692" s="1"/>
    </row>
    <row r="2693" spans="4:4" x14ac:dyDescent="0.25">
      <c r="D2693" s="1"/>
    </row>
    <row r="2694" spans="4:4" x14ac:dyDescent="0.25">
      <c r="D2694" s="1"/>
    </row>
    <row r="2695" spans="4:4" x14ac:dyDescent="0.25">
      <c r="D2695" s="1"/>
    </row>
    <row r="2696" spans="4:4" x14ac:dyDescent="0.25">
      <c r="D2696" s="1"/>
    </row>
    <row r="2697" spans="4:4" x14ac:dyDescent="0.25">
      <c r="D2697" s="1"/>
    </row>
    <row r="2698" spans="4:4" x14ac:dyDescent="0.25">
      <c r="D2698" s="1"/>
    </row>
    <row r="2699" spans="4:4" x14ac:dyDescent="0.25">
      <c r="D2699" s="1"/>
    </row>
    <row r="2700" spans="4:4" x14ac:dyDescent="0.25">
      <c r="D2700" s="1"/>
    </row>
    <row r="2701" spans="4:4" x14ac:dyDescent="0.25">
      <c r="D2701" s="1"/>
    </row>
    <row r="2702" spans="4:4" x14ac:dyDescent="0.25">
      <c r="D2702" s="1"/>
    </row>
    <row r="2703" spans="4:4" x14ac:dyDescent="0.25">
      <c r="D2703" s="1"/>
    </row>
    <row r="2704" spans="4:4" x14ac:dyDescent="0.25">
      <c r="D2704" s="1"/>
    </row>
    <row r="2705" spans="4:4" x14ac:dyDescent="0.25">
      <c r="D2705" s="1"/>
    </row>
    <row r="2706" spans="4:4" x14ac:dyDescent="0.25">
      <c r="D2706" s="1"/>
    </row>
    <row r="2707" spans="4:4" x14ac:dyDescent="0.25">
      <c r="D2707" s="1"/>
    </row>
    <row r="2708" spans="4:4" x14ac:dyDescent="0.25">
      <c r="D2708" s="1"/>
    </row>
    <row r="2709" spans="4:4" x14ac:dyDescent="0.25">
      <c r="D2709" s="1"/>
    </row>
    <row r="2710" spans="4:4" x14ac:dyDescent="0.25">
      <c r="D2710" s="1"/>
    </row>
    <row r="2711" spans="4:4" x14ac:dyDescent="0.25">
      <c r="D2711" s="1"/>
    </row>
    <row r="2712" spans="4:4" x14ac:dyDescent="0.25">
      <c r="D2712" s="1"/>
    </row>
    <row r="2713" spans="4:4" x14ac:dyDescent="0.25">
      <c r="D2713" s="1"/>
    </row>
    <row r="2714" spans="4:4" x14ac:dyDescent="0.25">
      <c r="D2714" s="1"/>
    </row>
    <row r="2715" spans="4:4" x14ac:dyDescent="0.25">
      <c r="D2715" s="1"/>
    </row>
    <row r="2716" spans="4:4" x14ac:dyDescent="0.25">
      <c r="D2716" s="1"/>
    </row>
    <row r="2717" spans="4:4" x14ac:dyDescent="0.25">
      <c r="D2717" s="1"/>
    </row>
    <row r="2718" spans="4:4" x14ac:dyDescent="0.25">
      <c r="D2718" s="1"/>
    </row>
    <row r="2719" spans="4:4" x14ac:dyDescent="0.25">
      <c r="D2719" s="1"/>
    </row>
    <row r="2720" spans="4:4" x14ac:dyDescent="0.25">
      <c r="D2720" s="1"/>
    </row>
    <row r="2721" spans="4:4" x14ac:dyDescent="0.25">
      <c r="D2721" s="1"/>
    </row>
    <row r="2722" spans="4:4" x14ac:dyDescent="0.25">
      <c r="D2722" s="1"/>
    </row>
    <row r="2723" spans="4:4" x14ac:dyDescent="0.25">
      <c r="D2723" s="1"/>
    </row>
    <row r="2724" spans="4:4" x14ac:dyDescent="0.25">
      <c r="D2724" s="1"/>
    </row>
    <row r="2725" spans="4:4" x14ac:dyDescent="0.25">
      <c r="D2725" s="1"/>
    </row>
    <row r="2726" spans="4:4" x14ac:dyDescent="0.25">
      <c r="D2726" s="1"/>
    </row>
    <row r="2727" spans="4:4" x14ac:dyDescent="0.25">
      <c r="D2727" s="1"/>
    </row>
    <row r="2728" spans="4:4" x14ac:dyDescent="0.25">
      <c r="D2728" s="1"/>
    </row>
    <row r="2729" spans="4:4" x14ac:dyDescent="0.25">
      <c r="D2729" s="1"/>
    </row>
    <row r="2730" spans="4:4" x14ac:dyDescent="0.25">
      <c r="D2730" s="1"/>
    </row>
    <row r="2731" spans="4:4" x14ac:dyDescent="0.25">
      <c r="D2731" s="1"/>
    </row>
    <row r="2732" spans="4:4" x14ac:dyDescent="0.25">
      <c r="D2732" s="1"/>
    </row>
    <row r="2733" spans="4:4" x14ac:dyDescent="0.25">
      <c r="D2733" s="1"/>
    </row>
    <row r="2734" spans="4:4" x14ac:dyDescent="0.25">
      <c r="D2734" s="1"/>
    </row>
    <row r="2735" spans="4:4" x14ac:dyDescent="0.25">
      <c r="D2735" s="1"/>
    </row>
    <row r="2736" spans="4:4" x14ac:dyDescent="0.25">
      <c r="D2736" s="1"/>
    </row>
    <row r="2737" spans="4:4" x14ac:dyDescent="0.25">
      <c r="D2737" s="1"/>
    </row>
    <row r="2738" spans="4:4" x14ac:dyDescent="0.25">
      <c r="D2738" s="1"/>
    </row>
    <row r="2739" spans="4:4" x14ac:dyDescent="0.25">
      <c r="D2739" s="1"/>
    </row>
    <row r="2740" spans="4:4" x14ac:dyDescent="0.25">
      <c r="D2740" s="1"/>
    </row>
    <row r="2741" spans="4:4" x14ac:dyDescent="0.25">
      <c r="D2741" s="1"/>
    </row>
    <row r="2742" spans="4:4" x14ac:dyDescent="0.25">
      <c r="D2742" s="1"/>
    </row>
    <row r="2743" spans="4:4" x14ac:dyDescent="0.25">
      <c r="D2743" s="1"/>
    </row>
    <row r="2744" spans="4:4" x14ac:dyDescent="0.25">
      <c r="D2744" s="1"/>
    </row>
    <row r="2745" spans="4:4" x14ac:dyDescent="0.25">
      <c r="D2745" s="1"/>
    </row>
    <row r="2746" spans="4:4" x14ac:dyDescent="0.25">
      <c r="D2746" s="1"/>
    </row>
    <row r="2747" spans="4:4" x14ac:dyDescent="0.25">
      <c r="D2747" s="1"/>
    </row>
    <row r="2748" spans="4:4" x14ac:dyDescent="0.25">
      <c r="D2748" s="1"/>
    </row>
    <row r="2749" spans="4:4" x14ac:dyDescent="0.25">
      <c r="D2749" s="1"/>
    </row>
    <row r="2750" spans="4:4" x14ac:dyDescent="0.25">
      <c r="D2750" s="1"/>
    </row>
    <row r="2751" spans="4:4" x14ac:dyDescent="0.25">
      <c r="D2751" s="1"/>
    </row>
    <row r="2752" spans="4:4" x14ac:dyDescent="0.25">
      <c r="D2752" s="1"/>
    </row>
    <row r="2753" spans="4:4" x14ac:dyDescent="0.25">
      <c r="D2753" s="1"/>
    </row>
    <row r="2754" spans="4:4" x14ac:dyDescent="0.25">
      <c r="D2754" s="1"/>
    </row>
    <row r="2755" spans="4:4" x14ac:dyDescent="0.25">
      <c r="D2755" s="1"/>
    </row>
    <row r="2756" spans="4:4" x14ac:dyDescent="0.25">
      <c r="D2756" s="1"/>
    </row>
    <row r="2757" spans="4:4" x14ac:dyDescent="0.25">
      <c r="D2757" s="1"/>
    </row>
    <row r="2758" spans="4:4" x14ac:dyDescent="0.25">
      <c r="D2758" s="1"/>
    </row>
    <row r="2759" spans="4:4" x14ac:dyDescent="0.25">
      <c r="D2759" s="1"/>
    </row>
    <row r="2760" spans="4:4" x14ac:dyDescent="0.25">
      <c r="D2760" s="1"/>
    </row>
    <row r="2761" spans="4:4" x14ac:dyDescent="0.25">
      <c r="D2761" s="1"/>
    </row>
    <row r="2762" spans="4:4" x14ac:dyDescent="0.25">
      <c r="D2762" s="1"/>
    </row>
    <row r="2763" spans="4:4" x14ac:dyDescent="0.25">
      <c r="D2763" s="1"/>
    </row>
    <row r="2764" spans="4:4" x14ac:dyDescent="0.25">
      <c r="D2764" s="1"/>
    </row>
    <row r="2765" spans="4:4" x14ac:dyDescent="0.25">
      <c r="D2765" s="1"/>
    </row>
    <row r="2766" spans="4:4" x14ac:dyDescent="0.25">
      <c r="D2766" s="1"/>
    </row>
    <row r="2767" spans="4:4" x14ac:dyDescent="0.25">
      <c r="D2767" s="1"/>
    </row>
    <row r="2768" spans="4:4" x14ac:dyDescent="0.25">
      <c r="D2768" s="1"/>
    </row>
    <row r="2769" spans="4:4" x14ac:dyDescent="0.25">
      <c r="D2769" s="1"/>
    </row>
    <row r="2770" spans="4:4" x14ac:dyDescent="0.25">
      <c r="D2770" s="1"/>
    </row>
    <row r="2771" spans="4:4" x14ac:dyDescent="0.25">
      <c r="D2771" s="1"/>
    </row>
    <row r="2772" spans="4:4" x14ac:dyDescent="0.25">
      <c r="D2772" s="1"/>
    </row>
    <row r="2773" spans="4:4" x14ac:dyDescent="0.25">
      <c r="D2773" s="1"/>
    </row>
    <row r="2774" spans="4:4" x14ac:dyDescent="0.25">
      <c r="D2774" s="1"/>
    </row>
    <row r="2775" spans="4:4" x14ac:dyDescent="0.25">
      <c r="D2775" s="1"/>
    </row>
    <row r="2776" spans="4:4" x14ac:dyDescent="0.25">
      <c r="D2776" s="1"/>
    </row>
    <row r="2777" spans="4:4" x14ac:dyDescent="0.25">
      <c r="D2777" s="1"/>
    </row>
    <row r="2778" spans="4:4" x14ac:dyDescent="0.25">
      <c r="D2778" s="1"/>
    </row>
    <row r="2779" spans="4:4" x14ac:dyDescent="0.25">
      <c r="D2779" s="1"/>
    </row>
    <row r="2780" spans="4:4" x14ac:dyDescent="0.25">
      <c r="D2780" s="1"/>
    </row>
    <row r="2781" spans="4:4" x14ac:dyDescent="0.25">
      <c r="D2781" s="1"/>
    </row>
    <row r="2782" spans="4:4" x14ac:dyDescent="0.25">
      <c r="D2782" s="1"/>
    </row>
    <row r="2783" spans="4:4" x14ac:dyDescent="0.25">
      <c r="D2783" s="1"/>
    </row>
    <row r="2784" spans="4:4" x14ac:dyDescent="0.25">
      <c r="D2784" s="1"/>
    </row>
    <row r="2785" spans="4:4" x14ac:dyDescent="0.25">
      <c r="D2785" s="1"/>
    </row>
    <row r="2786" spans="4:4" x14ac:dyDescent="0.25">
      <c r="D2786" s="1"/>
    </row>
    <row r="2787" spans="4:4" x14ac:dyDescent="0.25">
      <c r="D2787" s="1"/>
    </row>
    <row r="2788" spans="4:4" x14ac:dyDescent="0.25">
      <c r="D2788" s="1"/>
    </row>
    <row r="2789" spans="4:4" x14ac:dyDescent="0.25">
      <c r="D2789" s="1"/>
    </row>
    <row r="2790" spans="4:4" x14ac:dyDescent="0.25">
      <c r="D2790" s="1"/>
    </row>
    <row r="2791" spans="4:4" x14ac:dyDescent="0.25">
      <c r="D2791" s="1"/>
    </row>
    <row r="2792" spans="4:4" x14ac:dyDescent="0.25">
      <c r="D2792" s="1"/>
    </row>
    <row r="2793" spans="4:4" x14ac:dyDescent="0.25">
      <c r="D2793" s="1"/>
    </row>
    <row r="2794" spans="4:4" x14ac:dyDescent="0.25">
      <c r="D2794" s="1"/>
    </row>
    <row r="2795" spans="4:4" x14ac:dyDescent="0.25">
      <c r="D2795" s="1"/>
    </row>
    <row r="2796" spans="4:4" x14ac:dyDescent="0.25">
      <c r="D2796" s="1"/>
    </row>
    <row r="2797" spans="4:4" x14ac:dyDescent="0.25">
      <c r="D2797" s="1"/>
    </row>
    <row r="2798" spans="4:4" x14ac:dyDescent="0.25">
      <c r="D2798" s="1"/>
    </row>
    <row r="2799" spans="4:4" x14ac:dyDescent="0.25">
      <c r="D2799" s="1"/>
    </row>
    <row r="2800" spans="4:4" x14ac:dyDescent="0.25">
      <c r="D2800" s="1"/>
    </row>
    <row r="2801" spans="4:4" x14ac:dyDescent="0.25">
      <c r="D2801" s="1"/>
    </row>
    <row r="2802" spans="4:4" x14ac:dyDescent="0.25">
      <c r="D2802" s="1"/>
    </row>
    <row r="2803" spans="4:4" x14ac:dyDescent="0.25">
      <c r="D2803" s="1"/>
    </row>
    <row r="2804" spans="4:4" x14ac:dyDescent="0.25">
      <c r="D2804" s="1"/>
    </row>
    <row r="2805" spans="4:4" x14ac:dyDescent="0.25">
      <c r="D2805" s="1"/>
    </row>
    <row r="2806" spans="4:4" x14ac:dyDescent="0.25">
      <c r="D2806" s="1"/>
    </row>
    <row r="2807" spans="4:4" x14ac:dyDescent="0.25">
      <c r="D2807" s="1"/>
    </row>
    <row r="2808" spans="4:4" x14ac:dyDescent="0.25">
      <c r="D2808" s="1"/>
    </row>
    <row r="2809" spans="4:4" x14ac:dyDescent="0.25">
      <c r="D2809" s="1"/>
    </row>
    <row r="2810" spans="4:4" x14ac:dyDescent="0.25">
      <c r="D2810" s="1"/>
    </row>
    <row r="2811" spans="4:4" x14ac:dyDescent="0.25">
      <c r="D2811" s="1"/>
    </row>
    <row r="2812" spans="4:4" x14ac:dyDescent="0.25">
      <c r="D2812" s="1"/>
    </row>
    <row r="2813" spans="4:4" x14ac:dyDescent="0.25">
      <c r="D2813" s="1"/>
    </row>
    <row r="2814" spans="4:4" x14ac:dyDescent="0.25">
      <c r="D2814" s="1"/>
    </row>
    <row r="2815" spans="4:4" x14ac:dyDescent="0.25">
      <c r="D2815" s="1"/>
    </row>
    <row r="2816" spans="4:4" x14ac:dyDescent="0.25">
      <c r="D2816" s="1"/>
    </row>
    <row r="2817" spans="4:4" x14ac:dyDescent="0.25">
      <c r="D2817" s="1"/>
    </row>
    <row r="2818" spans="4:4" x14ac:dyDescent="0.25">
      <c r="D2818" s="1"/>
    </row>
    <row r="2819" spans="4:4" x14ac:dyDescent="0.25">
      <c r="D2819" s="1"/>
    </row>
    <row r="2820" spans="4:4" x14ac:dyDescent="0.25">
      <c r="D2820" s="1"/>
    </row>
    <row r="2821" spans="4:4" x14ac:dyDescent="0.25">
      <c r="D2821" s="1"/>
    </row>
    <row r="2822" spans="4:4" x14ac:dyDescent="0.25">
      <c r="D2822" s="1"/>
    </row>
    <row r="2823" spans="4:4" x14ac:dyDescent="0.25">
      <c r="D2823" s="1"/>
    </row>
    <row r="2824" spans="4:4" x14ac:dyDescent="0.25">
      <c r="D2824" s="1"/>
    </row>
    <row r="2825" spans="4:4" x14ac:dyDescent="0.25">
      <c r="D2825" s="1"/>
    </row>
    <row r="2826" spans="4:4" x14ac:dyDescent="0.25">
      <c r="D2826" s="1"/>
    </row>
    <row r="2827" spans="4:4" x14ac:dyDescent="0.25">
      <c r="D2827" s="1"/>
    </row>
    <row r="2828" spans="4:4" x14ac:dyDescent="0.25">
      <c r="D2828" s="1"/>
    </row>
    <row r="2829" spans="4:4" x14ac:dyDescent="0.25">
      <c r="D2829" s="1"/>
    </row>
    <row r="2830" spans="4:4" x14ac:dyDescent="0.25">
      <c r="D2830" s="1"/>
    </row>
    <row r="2831" spans="4:4" x14ac:dyDescent="0.25">
      <c r="D2831" s="1"/>
    </row>
    <row r="2832" spans="4:4" x14ac:dyDescent="0.25">
      <c r="D2832" s="1"/>
    </row>
    <row r="2833" spans="4:4" x14ac:dyDescent="0.25">
      <c r="D2833" s="1"/>
    </row>
    <row r="2834" spans="4:4" x14ac:dyDescent="0.25">
      <c r="D2834" s="1"/>
    </row>
    <row r="2835" spans="4:4" x14ac:dyDescent="0.25">
      <c r="D2835" s="1"/>
    </row>
    <row r="2836" spans="4:4" x14ac:dyDescent="0.25">
      <c r="D2836" s="1"/>
    </row>
    <row r="2837" spans="4:4" x14ac:dyDescent="0.25">
      <c r="D2837" s="1"/>
    </row>
    <row r="2838" spans="4:4" x14ac:dyDescent="0.25">
      <c r="D2838" s="1"/>
    </row>
    <row r="2839" spans="4:4" x14ac:dyDescent="0.25">
      <c r="D2839" s="1"/>
    </row>
    <row r="2840" spans="4:4" x14ac:dyDescent="0.25">
      <c r="D2840" s="1"/>
    </row>
    <row r="2841" spans="4:4" x14ac:dyDescent="0.25">
      <c r="D2841" s="1"/>
    </row>
    <row r="2842" spans="4:4" x14ac:dyDescent="0.25">
      <c r="D2842" s="1"/>
    </row>
    <row r="2843" spans="4:4" x14ac:dyDescent="0.25">
      <c r="D2843" s="1"/>
    </row>
    <row r="2844" spans="4:4" x14ac:dyDescent="0.25">
      <c r="D2844" s="1"/>
    </row>
    <row r="2845" spans="4:4" x14ac:dyDescent="0.25">
      <c r="D2845" s="1"/>
    </row>
    <row r="2846" spans="4:4" x14ac:dyDescent="0.25">
      <c r="D2846" s="1"/>
    </row>
    <row r="2847" spans="4:4" x14ac:dyDescent="0.25">
      <c r="D2847" s="1"/>
    </row>
    <row r="2848" spans="4:4" x14ac:dyDescent="0.25">
      <c r="D2848" s="1"/>
    </row>
    <row r="2849" spans="4:4" x14ac:dyDescent="0.25">
      <c r="D2849" s="1"/>
    </row>
    <row r="2850" spans="4:4" x14ac:dyDescent="0.25">
      <c r="D2850" s="1"/>
    </row>
    <row r="2851" spans="4:4" x14ac:dyDescent="0.25">
      <c r="D2851" s="1"/>
    </row>
    <row r="2852" spans="4:4" x14ac:dyDescent="0.25">
      <c r="D2852" s="1"/>
    </row>
    <row r="2853" spans="4:4" x14ac:dyDescent="0.25">
      <c r="D2853" s="1"/>
    </row>
    <row r="2854" spans="4:4" x14ac:dyDescent="0.25">
      <c r="D2854" s="1"/>
    </row>
    <row r="2855" spans="4:4" x14ac:dyDescent="0.25">
      <c r="D2855" s="1"/>
    </row>
    <row r="2856" spans="4:4" x14ac:dyDescent="0.25">
      <c r="D2856" s="1"/>
    </row>
    <row r="2857" spans="4:4" x14ac:dyDescent="0.25">
      <c r="D2857" s="1"/>
    </row>
    <row r="2858" spans="4:4" x14ac:dyDescent="0.25">
      <c r="D2858" s="1"/>
    </row>
    <row r="2859" spans="4:4" x14ac:dyDescent="0.25">
      <c r="D2859" s="1"/>
    </row>
    <row r="2860" spans="4:4" x14ac:dyDescent="0.25">
      <c r="D2860" s="1"/>
    </row>
    <row r="2861" spans="4:4" x14ac:dyDescent="0.25">
      <c r="D2861" s="1"/>
    </row>
    <row r="2862" spans="4:4" x14ac:dyDescent="0.25">
      <c r="D2862" s="1"/>
    </row>
    <row r="2863" spans="4:4" x14ac:dyDescent="0.25">
      <c r="D2863" s="1"/>
    </row>
    <row r="2864" spans="4:4" x14ac:dyDescent="0.25">
      <c r="D2864" s="1"/>
    </row>
    <row r="2865" spans="4:4" x14ac:dyDescent="0.25">
      <c r="D2865" s="1"/>
    </row>
    <row r="2866" spans="4:4" x14ac:dyDescent="0.25">
      <c r="D2866" s="1"/>
    </row>
    <row r="2867" spans="4:4" x14ac:dyDescent="0.25">
      <c r="D2867" s="1"/>
    </row>
    <row r="2868" spans="4:4" x14ac:dyDescent="0.25">
      <c r="D2868" s="1"/>
    </row>
    <row r="2869" spans="4:4" x14ac:dyDescent="0.25">
      <c r="D2869" s="1"/>
    </row>
    <row r="2870" spans="4:4" x14ac:dyDescent="0.25">
      <c r="D2870" s="1"/>
    </row>
    <row r="2871" spans="4:4" x14ac:dyDescent="0.25">
      <c r="D2871" s="1"/>
    </row>
    <row r="2872" spans="4:4" x14ac:dyDescent="0.25">
      <c r="D2872" s="1"/>
    </row>
    <row r="2873" spans="4:4" x14ac:dyDescent="0.25">
      <c r="D2873" s="1"/>
    </row>
    <row r="2874" spans="4:4" x14ac:dyDescent="0.25">
      <c r="D2874" s="1"/>
    </row>
    <row r="2875" spans="4:4" x14ac:dyDescent="0.25">
      <c r="D2875" s="1"/>
    </row>
    <row r="2876" spans="4:4" x14ac:dyDescent="0.25">
      <c r="D2876" s="1"/>
    </row>
    <row r="2877" spans="4:4" x14ac:dyDescent="0.25">
      <c r="D2877" s="1"/>
    </row>
    <row r="2878" spans="4:4" x14ac:dyDescent="0.25">
      <c r="D2878" s="1"/>
    </row>
    <row r="2879" spans="4:4" x14ac:dyDescent="0.25">
      <c r="D2879" s="1"/>
    </row>
    <row r="2880" spans="4:4" x14ac:dyDescent="0.25">
      <c r="D2880" s="1"/>
    </row>
    <row r="2881" spans="4:4" x14ac:dyDescent="0.25">
      <c r="D2881" s="1"/>
    </row>
    <row r="2882" spans="4:4" x14ac:dyDescent="0.25">
      <c r="D2882" s="1"/>
    </row>
    <row r="2883" spans="4:4" x14ac:dyDescent="0.25">
      <c r="D2883" s="1"/>
    </row>
    <row r="2884" spans="4:4" x14ac:dyDescent="0.25">
      <c r="D2884" s="1"/>
    </row>
    <row r="2885" spans="4:4" x14ac:dyDescent="0.25">
      <c r="D2885" s="1"/>
    </row>
    <row r="2886" spans="4:4" x14ac:dyDescent="0.25">
      <c r="D2886" s="1"/>
    </row>
    <row r="2887" spans="4:4" x14ac:dyDescent="0.25">
      <c r="D2887" s="1"/>
    </row>
    <row r="2888" spans="4:4" x14ac:dyDescent="0.25">
      <c r="D2888" s="1"/>
    </row>
    <row r="2889" spans="4:4" x14ac:dyDescent="0.25">
      <c r="D2889" s="1"/>
    </row>
    <row r="2890" spans="4:4" x14ac:dyDescent="0.25">
      <c r="D2890" s="1"/>
    </row>
    <row r="2891" spans="4:4" x14ac:dyDescent="0.25">
      <c r="D2891" s="1"/>
    </row>
    <row r="2892" spans="4:4" x14ac:dyDescent="0.25">
      <c r="D2892" s="1"/>
    </row>
    <row r="2893" spans="4:4" x14ac:dyDescent="0.25">
      <c r="D2893" s="1"/>
    </row>
    <row r="2894" spans="4:4" x14ac:dyDescent="0.25">
      <c r="D2894" s="1"/>
    </row>
    <row r="2895" spans="4:4" x14ac:dyDescent="0.25">
      <c r="D2895" s="1"/>
    </row>
    <row r="2896" spans="4:4" x14ac:dyDescent="0.25">
      <c r="D2896" s="1"/>
    </row>
    <row r="2897" spans="4:4" x14ac:dyDescent="0.25">
      <c r="D2897" s="1"/>
    </row>
    <row r="2898" spans="4:4" x14ac:dyDescent="0.25">
      <c r="D2898" s="1"/>
    </row>
    <row r="2899" spans="4:4" x14ac:dyDescent="0.25">
      <c r="D2899" s="1"/>
    </row>
    <row r="2900" spans="4:4" x14ac:dyDescent="0.25">
      <c r="D2900" s="1"/>
    </row>
    <row r="2901" spans="4:4" x14ac:dyDescent="0.25">
      <c r="D2901" s="1"/>
    </row>
    <row r="2902" spans="4:4" x14ac:dyDescent="0.25">
      <c r="D2902" s="1"/>
    </row>
    <row r="2903" spans="4:4" x14ac:dyDescent="0.25">
      <c r="D2903" s="1"/>
    </row>
    <row r="2904" spans="4:4" x14ac:dyDescent="0.25">
      <c r="D2904" s="1"/>
    </row>
    <row r="2905" spans="4:4" x14ac:dyDescent="0.25">
      <c r="D2905" s="1"/>
    </row>
    <row r="2906" spans="4:4" x14ac:dyDescent="0.25">
      <c r="D2906" s="1"/>
    </row>
    <row r="2907" spans="4:4" x14ac:dyDescent="0.25">
      <c r="D2907" s="1"/>
    </row>
    <row r="2908" spans="4:4" x14ac:dyDescent="0.25">
      <c r="D2908" s="1"/>
    </row>
    <row r="2909" spans="4:4" x14ac:dyDescent="0.25">
      <c r="D2909" s="1"/>
    </row>
    <row r="2910" spans="4:4" x14ac:dyDescent="0.25">
      <c r="D2910" s="1"/>
    </row>
    <row r="2911" spans="4:4" x14ac:dyDescent="0.25">
      <c r="D2911" s="1"/>
    </row>
    <row r="2912" spans="4:4" x14ac:dyDescent="0.25">
      <c r="D2912" s="1"/>
    </row>
    <row r="2913" spans="4:4" x14ac:dyDescent="0.25">
      <c r="D2913" s="1"/>
    </row>
    <row r="2914" spans="4:4" x14ac:dyDescent="0.25">
      <c r="D2914" s="1"/>
    </row>
    <row r="2915" spans="4:4" x14ac:dyDescent="0.25">
      <c r="D2915" s="1"/>
    </row>
    <row r="2916" spans="4:4" x14ac:dyDescent="0.25">
      <c r="D2916" s="1"/>
    </row>
    <row r="2917" spans="4:4" x14ac:dyDescent="0.25">
      <c r="D2917" s="1"/>
    </row>
    <row r="2918" spans="4:4" x14ac:dyDescent="0.25">
      <c r="D2918" s="1"/>
    </row>
    <row r="2919" spans="4:4" x14ac:dyDescent="0.25">
      <c r="D2919" s="1"/>
    </row>
    <row r="2920" spans="4:4" x14ac:dyDescent="0.25">
      <c r="D2920" s="1"/>
    </row>
    <row r="2921" spans="4:4" x14ac:dyDescent="0.25">
      <c r="D2921" s="1"/>
    </row>
    <row r="2922" spans="4:4" x14ac:dyDescent="0.25">
      <c r="D2922" s="1"/>
    </row>
    <row r="2923" spans="4:4" x14ac:dyDescent="0.25">
      <c r="D2923" s="1"/>
    </row>
    <row r="2924" spans="4:4" x14ac:dyDescent="0.25">
      <c r="D2924" s="1"/>
    </row>
    <row r="2925" spans="4:4" x14ac:dyDescent="0.25">
      <c r="D2925" s="1"/>
    </row>
    <row r="2926" spans="4:4" x14ac:dyDescent="0.25">
      <c r="D2926" s="1"/>
    </row>
    <row r="2927" spans="4:4" x14ac:dyDescent="0.25">
      <c r="D2927" s="1"/>
    </row>
    <row r="2928" spans="4:4" x14ac:dyDescent="0.25">
      <c r="D2928" s="1"/>
    </row>
    <row r="2929" spans="4:4" x14ac:dyDescent="0.25">
      <c r="D2929" s="1"/>
    </row>
    <row r="2930" spans="4:4" x14ac:dyDescent="0.25">
      <c r="D2930" s="1"/>
    </row>
    <row r="2931" spans="4:4" x14ac:dyDescent="0.25">
      <c r="D2931" s="1"/>
    </row>
    <row r="2932" spans="4:4" x14ac:dyDescent="0.25">
      <c r="D2932" s="1"/>
    </row>
    <row r="2933" spans="4:4" x14ac:dyDescent="0.25">
      <c r="D2933" s="1"/>
    </row>
    <row r="2934" spans="4:4" x14ac:dyDescent="0.25">
      <c r="D2934" s="1"/>
    </row>
    <row r="2935" spans="4:4" x14ac:dyDescent="0.25">
      <c r="D2935" s="1"/>
    </row>
    <row r="2936" spans="4:4" x14ac:dyDescent="0.25">
      <c r="D2936" s="1"/>
    </row>
    <row r="2937" spans="4:4" x14ac:dyDescent="0.25">
      <c r="D2937" s="1"/>
    </row>
    <row r="2938" spans="4:4" x14ac:dyDescent="0.25">
      <c r="D2938" s="1"/>
    </row>
    <row r="2939" spans="4:4" x14ac:dyDescent="0.25">
      <c r="D2939" s="1"/>
    </row>
    <row r="2940" spans="4:4" x14ac:dyDescent="0.25">
      <c r="D2940" s="1"/>
    </row>
    <row r="2941" spans="4:4" x14ac:dyDescent="0.25">
      <c r="D2941" s="1"/>
    </row>
    <row r="2942" spans="4:4" x14ac:dyDescent="0.25">
      <c r="D2942" s="1"/>
    </row>
    <row r="2943" spans="4:4" x14ac:dyDescent="0.25">
      <c r="D2943" s="1"/>
    </row>
    <row r="2944" spans="4:4" x14ac:dyDescent="0.25">
      <c r="D2944" s="1"/>
    </row>
    <row r="2945" spans="4:4" x14ac:dyDescent="0.25">
      <c r="D2945" s="1"/>
    </row>
    <row r="2946" spans="4:4" x14ac:dyDescent="0.25">
      <c r="D2946" s="1"/>
    </row>
    <row r="2947" spans="4:4" x14ac:dyDescent="0.25">
      <c r="D2947" s="1"/>
    </row>
    <row r="2948" spans="4:4" x14ac:dyDescent="0.25">
      <c r="D2948" s="1"/>
    </row>
    <row r="2949" spans="4:4" x14ac:dyDescent="0.25">
      <c r="D2949" s="1"/>
    </row>
    <row r="2950" spans="4:4" x14ac:dyDescent="0.25">
      <c r="D2950" s="1"/>
    </row>
    <row r="2951" spans="4:4" x14ac:dyDescent="0.25">
      <c r="D2951" s="1"/>
    </row>
    <row r="2952" spans="4:4" x14ac:dyDescent="0.25">
      <c r="D2952" s="1"/>
    </row>
    <row r="2953" spans="4:4" x14ac:dyDescent="0.25">
      <c r="D2953" s="1"/>
    </row>
    <row r="2954" spans="4:4" x14ac:dyDescent="0.25">
      <c r="D2954" s="1"/>
    </row>
    <row r="2955" spans="4:4" x14ac:dyDescent="0.25">
      <c r="D2955" s="1"/>
    </row>
    <row r="2956" spans="4:4" x14ac:dyDescent="0.25">
      <c r="D2956" s="1"/>
    </row>
    <row r="2957" spans="4:4" x14ac:dyDescent="0.25">
      <c r="D2957" s="1"/>
    </row>
    <row r="2958" spans="4:4" x14ac:dyDescent="0.25">
      <c r="D2958" s="1"/>
    </row>
    <row r="2959" spans="4:4" x14ac:dyDescent="0.25">
      <c r="D2959" s="1"/>
    </row>
    <row r="2960" spans="4:4" x14ac:dyDescent="0.25">
      <c r="D2960" s="1"/>
    </row>
    <row r="2961" spans="4:4" x14ac:dyDescent="0.25">
      <c r="D2961" s="1"/>
    </row>
    <row r="2962" spans="4:4" x14ac:dyDescent="0.25">
      <c r="D2962" s="1"/>
    </row>
    <row r="2963" spans="4:4" x14ac:dyDescent="0.25">
      <c r="D2963" s="1"/>
    </row>
    <row r="2964" spans="4:4" x14ac:dyDescent="0.25">
      <c r="D2964" s="1"/>
    </row>
    <row r="2965" spans="4:4" x14ac:dyDescent="0.25">
      <c r="D2965" s="1"/>
    </row>
    <row r="2966" spans="4:4" x14ac:dyDescent="0.25">
      <c r="D2966" s="1"/>
    </row>
    <row r="2967" spans="4:4" x14ac:dyDescent="0.25">
      <c r="D2967" s="1"/>
    </row>
    <row r="2968" spans="4:4" x14ac:dyDescent="0.25">
      <c r="D2968" s="1"/>
    </row>
    <row r="2969" spans="4:4" x14ac:dyDescent="0.25">
      <c r="D2969" s="1"/>
    </row>
    <row r="2970" spans="4:4" x14ac:dyDescent="0.25">
      <c r="D2970" s="1"/>
    </row>
    <row r="2971" spans="4:4" x14ac:dyDescent="0.25">
      <c r="D2971" s="1"/>
    </row>
    <row r="2972" spans="4:4" x14ac:dyDescent="0.25">
      <c r="D2972" s="1"/>
    </row>
    <row r="2973" spans="4:4" x14ac:dyDescent="0.25">
      <c r="D2973" s="1"/>
    </row>
    <row r="2974" spans="4:4" x14ac:dyDescent="0.25">
      <c r="D2974" s="1"/>
    </row>
    <row r="2975" spans="4:4" x14ac:dyDescent="0.25">
      <c r="D2975" s="1"/>
    </row>
    <row r="2976" spans="4:4" x14ac:dyDescent="0.25">
      <c r="D2976" s="1"/>
    </row>
    <row r="2977" spans="4:4" x14ac:dyDescent="0.25">
      <c r="D2977" s="1"/>
    </row>
    <row r="2978" spans="4:4" x14ac:dyDescent="0.25">
      <c r="D2978" s="1"/>
    </row>
    <row r="2979" spans="4:4" x14ac:dyDescent="0.25">
      <c r="D2979" s="1"/>
    </row>
    <row r="2980" spans="4:4" x14ac:dyDescent="0.25">
      <c r="D2980" s="1"/>
    </row>
    <row r="2981" spans="4:4" x14ac:dyDescent="0.25">
      <c r="D2981" s="1"/>
    </row>
    <row r="2982" spans="4:4" x14ac:dyDescent="0.25">
      <c r="D2982" s="1"/>
    </row>
    <row r="2983" spans="4:4" x14ac:dyDescent="0.25">
      <c r="D2983" s="1"/>
    </row>
    <row r="2984" spans="4:4" x14ac:dyDescent="0.25">
      <c r="D2984" s="1"/>
    </row>
    <row r="2985" spans="4:4" x14ac:dyDescent="0.25">
      <c r="D2985" s="1"/>
    </row>
    <row r="2986" spans="4:4" x14ac:dyDescent="0.25">
      <c r="D2986" s="1"/>
    </row>
    <row r="2987" spans="4:4" x14ac:dyDescent="0.25">
      <c r="D2987" s="1"/>
    </row>
    <row r="2988" spans="4:4" x14ac:dyDescent="0.25">
      <c r="D2988" s="1"/>
    </row>
    <row r="2989" spans="4:4" x14ac:dyDescent="0.25">
      <c r="D2989" s="1"/>
    </row>
    <row r="2990" spans="4:4" x14ac:dyDescent="0.25">
      <c r="D2990" s="1"/>
    </row>
    <row r="2991" spans="4:4" x14ac:dyDescent="0.25">
      <c r="D2991" s="1"/>
    </row>
    <row r="2992" spans="4:4" x14ac:dyDescent="0.25">
      <c r="D2992" s="1"/>
    </row>
    <row r="2993" spans="4:4" x14ac:dyDescent="0.25">
      <c r="D2993" s="1"/>
    </row>
    <row r="2994" spans="4:4" x14ac:dyDescent="0.25">
      <c r="D2994" s="1"/>
    </row>
    <row r="2995" spans="4:4" x14ac:dyDescent="0.25">
      <c r="D2995" s="1"/>
    </row>
    <row r="2996" spans="4:4" x14ac:dyDescent="0.25">
      <c r="D2996" s="1"/>
    </row>
    <row r="2997" spans="4:4" x14ac:dyDescent="0.25">
      <c r="D2997" s="1"/>
    </row>
    <row r="2998" spans="4:4" x14ac:dyDescent="0.25">
      <c r="D2998" s="1"/>
    </row>
    <row r="2999" spans="4:4" x14ac:dyDescent="0.25">
      <c r="D2999" s="1"/>
    </row>
    <row r="3000" spans="4:4" x14ac:dyDescent="0.25">
      <c r="D3000" s="1"/>
    </row>
    <row r="3001" spans="4:4" x14ac:dyDescent="0.25">
      <c r="D3001" s="1"/>
    </row>
    <row r="3002" spans="4:4" x14ac:dyDescent="0.25">
      <c r="D3002" s="1"/>
    </row>
    <row r="3003" spans="4:4" x14ac:dyDescent="0.25">
      <c r="D3003" s="1"/>
    </row>
    <row r="3004" spans="4:4" x14ac:dyDescent="0.25">
      <c r="D3004" s="1"/>
    </row>
    <row r="3005" spans="4:4" x14ac:dyDescent="0.25">
      <c r="D3005" s="1"/>
    </row>
    <row r="3006" spans="4:4" x14ac:dyDescent="0.25">
      <c r="D3006" s="1"/>
    </row>
    <row r="3007" spans="4:4" x14ac:dyDescent="0.25">
      <c r="D3007" s="1"/>
    </row>
    <row r="3008" spans="4:4" x14ac:dyDescent="0.25">
      <c r="D3008" s="1"/>
    </row>
    <row r="3009" spans="4:4" x14ac:dyDescent="0.25">
      <c r="D3009" s="1"/>
    </row>
    <row r="3010" spans="4:4" x14ac:dyDescent="0.25">
      <c r="D3010" s="1"/>
    </row>
    <row r="3011" spans="4:4" x14ac:dyDescent="0.25">
      <c r="D3011" s="1"/>
    </row>
    <row r="3012" spans="4:4" x14ac:dyDescent="0.25">
      <c r="D3012" s="1"/>
    </row>
    <row r="3013" spans="4:4" x14ac:dyDescent="0.25">
      <c r="D3013" s="1"/>
    </row>
    <row r="3014" spans="4:4" x14ac:dyDescent="0.25">
      <c r="D3014" s="1"/>
    </row>
    <row r="3015" spans="4:4" x14ac:dyDescent="0.25">
      <c r="D3015" s="1"/>
    </row>
    <row r="3016" spans="4:4" x14ac:dyDescent="0.25">
      <c r="D3016" s="1"/>
    </row>
    <row r="3017" spans="4:4" x14ac:dyDescent="0.25">
      <c r="D3017" s="1"/>
    </row>
    <row r="3018" spans="4:4" x14ac:dyDescent="0.25">
      <c r="D3018" s="1"/>
    </row>
    <row r="3019" spans="4:4" x14ac:dyDescent="0.25">
      <c r="D3019" s="1"/>
    </row>
    <row r="3020" spans="4:4" x14ac:dyDescent="0.25">
      <c r="D3020" s="1"/>
    </row>
    <row r="3021" spans="4:4" x14ac:dyDescent="0.25">
      <c r="D3021" s="1"/>
    </row>
    <row r="3022" spans="4:4" x14ac:dyDescent="0.25">
      <c r="D3022" s="1"/>
    </row>
    <row r="3023" spans="4:4" x14ac:dyDescent="0.25">
      <c r="D3023" s="1"/>
    </row>
    <row r="3024" spans="4:4" x14ac:dyDescent="0.25">
      <c r="D3024" s="1"/>
    </row>
    <row r="3025" spans="4:4" x14ac:dyDescent="0.25">
      <c r="D3025" s="1"/>
    </row>
    <row r="3026" spans="4:4" x14ac:dyDescent="0.25">
      <c r="D3026" s="1"/>
    </row>
    <row r="3027" spans="4:4" x14ac:dyDescent="0.25">
      <c r="D3027" s="1"/>
    </row>
    <row r="3028" spans="4:4" x14ac:dyDescent="0.25">
      <c r="D3028" s="1"/>
    </row>
    <row r="3029" spans="4:4" x14ac:dyDescent="0.25">
      <c r="D3029" s="1"/>
    </row>
    <row r="3030" spans="4:4" x14ac:dyDescent="0.25">
      <c r="D3030" s="1"/>
    </row>
    <row r="3031" spans="4:4" x14ac:dyDescent="0.25">
      <c r="D3031" s="1"/>
    </row>
    <row r="3032" spans="4:4" x14ac:dyDescent="0.25">
      <c r="D3032" s="1"/>
    </row>
    <row r="3033" spans="4:4" x14ac:dyDescent="0.25">
      <c r="D3033" s="1"/>
    </row>
    <row r="3034" spans="4:4" x14ac:dyDescent="0.25">
      <c r="D3034" s="1"/>
    </row>
    <row r="3035" spans="4:4" x14ac:dyDescent="0.25">
      <c r="D3035" s="1"/>
    </row>
    <row r="3036" spans="4:4" x14ac:dyDescent="0.25">
      <c r="D3036" s="1"/>
    </row>
    <row r="3037" spans="4:4" x14ac:dyDescent="0.25">
      <c r="D3037" s="1"/>
    </row>
    <row r="3038" spans="4:4" x14ac:dyDescent="0.25">
      <c r="D3038" s="1"/>
    </row>
    <row r="3039" spans="4:4" x14ac:dyDescent="0.25">
      <c r="D3039" s="1"/>
    </row>
    <row r="3040" spans="4:4" x14ac:dyDescent="0.25">
      <c r="D3040" s="1"/>
    </row>
    <row r="3041" spans="4:4" x14ac:dyDescent="0.25">
      <c r="D3041" s="1"/>
    </row>
    <row r="3042" spans="4:4" x14ac:dyDescent="0.25">
      <c r="D3042" s="1"/>
    </row>
    <row r="3043" spans="4:4" x14ac:dyDescent="0.25">
      <c r="D3043" s="1"/>
    </row>
    <row r="3044" spans="4:4" x14ac:dyDescent="0.25">
      <c r="D3044" s="1"/>
    </row>
    <row r="3045" spans="4:4" x14ac:dyDescent="0.25">
      <c r="D3045" s="1"/>
    </row>
    <row r="3046" spans="4:4" x14ac:dyDescent="0.25">
      <c r="D3046" s="1"/>
    </row>
    <row r="3047" spans="4:4" x14ac:dyDescent="0.25">
      <c r="D3047" s="1"/>
    </row>
    <row r="3048" spans="4:4" x14ac:dyDescent="0.25">
      <c r="D3048" s="1"/>
    </row>
    <row r="3049" spans="4:4" x14ac:dyDescent="0.25">
      <c r="D3049" s="1"/>
    </row>
    <row r="3050" spans="4:4" x14ac:dyDescent="0.25">
      <c r="D3050" s="1"/>
    </row>
    <row r="3051" spans="4:4" x14ac:dyDescent="0.25">
      <c r="D3051" s="1"/>
    </row>
    <row r="3052" spans="4:4" x14ac:dyDescent="0.25">
      <c r="D3052" s="1"/>
    </row>
    <row r="3053" spans="4:4" x14ac:dyDescent="0.25">
      <c r="D3053" s="1"/>
    </row>
    <row r="3054" spans="4:4" x14ac:dyDescent="0.25">
      <c r="D3054" s="1"/>
    </row>
    <row r="3055" spans="4:4" x14ac:dyDescent="0.25">
      <c r="D3055" s="1"/>
    </row>
    <row r="3056" spans="4:4" x14ac:dyDescent="0.25">
      <c r="D3056" s="1"/>
    </row>
    <row r="3057" spans="4:4" x14ac:dyDescent="0.25">
      <c r="D3057" s="1"/>
    </row>
    <row r="3058" spans="4:4" x14ac:dyDescent="0.25">
      <c r="D3058" s="1"/>
    </row>
    <row r="3059" spans="4:4" x14ac:dyDescent="0.25">
      <c r="D3059" s="1"/>
    </row>
    <row r="3060" spans="4:4" x14ac:dyDescent="0.25">
      <c r="D3060" s="1"/>
    </row>
    <row r="3061" spans="4:4" x14ac:dyDescent="0.25">
      <c r="D3061" s="1"/>
    </row>
    <row r="3062" spans="4:4" x14ac:dyDescent="0.25">
      <c r="D3062" s="1"/>
    </row>
    <row r="3063" spans="4:4" x14ac:dyDescent="0.25">
      <c r="D3063" s="1"/>
    </row>
    <row r="3064" spans="4:4" x14ac:dyDescent="0.25">
      <c r="D3064" s="1"/>
    </row>
    <row r="3065" spans="4:4" x14ac:dyDescent="0.25">
      <c r="D3065" s="1"/>
    </row>
    <row r="3066" spans="4:4" x14ac:dyDescent="0.25">
      <c r="D3066" s="1"/>
    </row>
    <row r="3067" spans="4:4" x14ac:dyDescent="0.25">
      <c r="D3067" s="1"/>
    </row>
    <row r="3068" spans="4:4" x14ac:dyDescent="0.25">
      <c r="D3068" s="1"/>
    </row>
    <row r="3069" spans="4:4" x14ac:dyDescent="0.25">
      <c r="D3069" s="1"/>
    </row>
    <row r="3070" spans="4:4" x14ac:dyDescent="0.25">
      <c r="D3070" s="1"/>
    </row>
    <row r="3071" spans="4:4" x14ac:dyDescent="0.25">
      <c r="D3071" s="1"/>
    </row>
    <row r="3072" spans="4:4" x14ac:dyDescent="0.25">
      <c r="D3072" s="1"/>
    </row>
    <row r="3073" spans="4:4" x14ac:dyDescent="0.25">
      <c r="D3073" s="1"/>
    </row>
    <row r="3074" spans="4:4" x14ac:dyDescent="0.25">
      <c r="D3074" s="1"/>
    </row>
    <row r="3075" spans="4:4" x14ac:dyDescent="0.25">
      <c r="D3075" s="1"/>
    </row>
    <row r="3076" spans="4:4" x14ac:dyDescent="0.25">
      <c r="D3076" s="1"/>
    </row>
    <row r="3077" spans="4:4" x14ac:dyDescent="0.25">
      <c r="D3077" s="1"/>
    </row>
    <row r="3078" spans="4:4" x14ac:dyDescent="0.25">
      <c r="D3078" s="1"/>
    </row>
    <row r="3079" spans="4:4" x14ac:dyDescent="0.25">
      <c r="D3079" s="1"/>
    </row>
    <row r="3080" spans="4:4" x14ac:dyDescent="0.25">
      <c r="D3080" s="1"/>
    </row>
    <row r="3081" spans="4:4" x14ac:dyDescent="0.25">
      <c r="D3081" s="1"/>
    </row>
    <row r="3082" spans="4:4" x14ac:dyDescent="0.25">
      <c r="D3082" s="1"/>
    </row>
    <row r="3083" spans="4:4" x14ac:dyDescent="0.25">
      <c r="D3083" s="1"/>
    </row>
    <row r="3084" spans="4:4" x14ac:dyDescent="0.25">
      <c r="D3084" s="1"/>
    </row>
    <row r="3085" spans="4:4" x14ac:dyDescent="0.25">
      <c r="D3085" s="1"/>
    </row>
    <row r="3086" spans="4:4" x14ac:dyDescent="0.25">
      <c r="D3086" s="1"/>
    </row>
    <row r="3087" spans="4:4" x14ac:dyDescent="0.25">
      <c r="D3087" s="1"/>
    </row>
    <row r="3088" spans="4:4" x14ac:dyDescent="0.25">
      <c r="D3088" s="1"/>
    </row>
    <row r="3089" spans="4:4" x14ac:dyDescent="0.25">
      <c r="D3089" s="1"/>
    </row>
    <row r="3090" spans="4:4" x14ac:dyDescent="0.25">
      <c r="D3090" s="1"/>
    </row>
    <row r="3091" spans="4:4" x14ac:dyDescent="0.25">
      <c r="D3091" s="1"/>
    </row>
    <row r="3092" spans="4:4" x14ac:dyDescent="0.25">
      <c r="D3092" s="1"/>
    </row>
    <row r="3093" spans="4:4" x14ac:dyDescent="0.25">
      <c r="D3093" s="1"/>
    </row>
    <row r="3094" spans="4:4" x14ac:dyDescent="0.25">
      <c r="D3094" s="1"/>
    </row>
    <row r="3095" spans="4:4" x14ac:dyDescent="0.25">
      <c r="D3095" s="1"/>
    </row>
    <row r="3096" spans="4:4" x14ac:dyDescent="0.25">
      <c r="D3096" s="1"/>
    </row>
    <row r="3097" spans="4:4" x14ac:dyDescent="0.25">
      <c r="D3097" s="1"/>
    </row>
    <row r="3098" spans="4:4" x14ac:dyDescent="0.25">
      <c r="D3098" s="1"/>
    </row>
    <row r="3099" spans="4:4" x14ac:dyDescent="0.25">
      <c r="D3099" s="1"/>
    </row>
    <row r="3100" spans="4:4" x14ac:dyDescent="0.25">
      <c r="D3100" s="1"/>
    </row>
    <row r="3101" spans="4:4" x14ac:dyDescent="0.25">
      <c r="D3101" s="1"/>
    </row>
    <row r="3102" spans="4:4" x14ac:dyDescent="0.25">
      <c r="D3102" s="1"/>
    </row>
    <row r="3103" spans="4:4" x14ac:dyDescent="0.25">
      <c r="D3103" s="1"/>
    </row>
    <row r="3104" spans="4:4" x14ac:dyDescent="0.25">
      <c r="D3104" s="1"/>
    </row>
    <row r="3105" spans="4:4" x14ac:dyDescent="0.25">
      <c r="D3105" s="1"/>
    </row>
    <row r="3106" spans="4:4" x14ac:dyDescent="0.25">
      <c r="D3106" s="1"/>
    </row>
    <row r="3107" spans="4:4" x14ac:dyDescent="0.25">
      <c r="D3107" s="1"/>
    </row>
    <row r="3108" spans="4:4" x14ac:dyDescent="0.25">
      <c r="D3108" s="1"/>
    </row>
    <row r="3109" spans="4:4" x14ac:dyDescent="0.25">
      <c r="D3109" s="1"/>
    </row>
    <row r="3110" spans="4:4" x14ac:dyDescent="0.25">
      <c r="D3110" s="1"/>
    </row>
    <row r="3111" spans="4:4" x14ac:dyDescent="0.25">
      <c r="D3111" s="1"/>
    </row>
    <row r="3112" spans="4:4" x14ac:dyDescent="0.25">
      <c r="D3112" s="1"/>
    </row>
    <row r="3113" spans="4:4" x14ac:dyDescent="0.25">
      <c r="D3113" s="1"/>
    </row>
    <row r="3114" spans="4:4" x14ac:dyDescent="0.25">
      <c r="D3114" s="1"/>
    </row>
    <row r="3115" spans="4:4" x14ac:dyDescent="0.25">
      <c r="D3115" s="1"/>
    </row>
    <row r="3116" spans="4:4" x14ac:dyDescent="0.25">
      <c r="D3116" s="1"/>
    </row>
    <row r="3117" spans="4:4" x14ac:dyDescent="0.25">
      <c r="D3117" s="1"/>
    </row>
    <row r="3118" spans="4:4" x14ac:dyDescent="0.25">
      <c r="D3118" s="1"/>
    </row>
    <row r="3119" spans="4:4" x14ac:dyDescent="0.25">
      <c r="D3119" s="1"/>
    </row>
    <row r="3120" spans="4:4" x14ac:dyDescent="0.25">
      <c r="D3120" s="1"/>
    </row>
    <row r="3121" spans="4:4" x14ac:dyDescent="0.25">
      <c r="D3121" s="1"/>
    </row>
    <row r="3122" spans="4:4" x14ac:dyDescent="0.25">
      <c r="D3122" s="1"/>
    </row>
    <row r="3123" spans="4:4" x14ac:dyDescent="0.25">
      <c r="D3123" s="1"/>
    </row>
    <row r="3124" spans="4:4" x14ac:dyDescent="0.25">
      <c r="D3124" s="1"/>
    </row>
    <row r="3125" spans="4:4" x14ac:dyDescent="0.25">
      <c r="D3125" s="1"/>
    </row>
    <row r="3126" spans="4:4" x14ac:dyDescent="0.25">
      <c r="D3126" s="1"/>
    </row>
    <row r="3127" spans="4:4" x14ac:dyDescent="0.25">
      <c r="D3127" s="1"/>
    </row>
    <row r="3128" spans="4:4" x14ac:dyDescent="0.25">
      <c r="D3128" s="1"/>
    </row>
    <row r="3129" spans="4:4" x14ac:dyDescent="0.25">
      <c r="D3129" s="1"/>
    </row>
    <row r="3130" spans="4:4" x14ac:dyDescent="0.25">
      <c r="D3130" s="1"/>
    </row>
    <row r="3131" spans="4:4" x14ac:dyDescent="0.25">
      <c r="D3131" s="1"/>
    </row>
    <row r="3132" spans="4:4" x14ac:dyDescent="0.25">
      <c r="D3132" s="1"/>
    </row>
    <row r="3133" spans="4:4" x14ac:dyDescent="0.25">
      <c r="D3133" s="1"/>
    </row>
    <row r="3134" spans="4:4" x14ac:dyDescent="0.25">
      <c r="D3134" s="1"/>
    </row>
    <row r="3135" spans="4:4" x14ac:dyDescent="0.25">
      <c r="D3135" s="1"/>
    </row>
    <row r="3136" spans="4:4" x14ac:dyDescent="0.25">
      <c r="D3136" s="1"/>
    </row>
    <row r="3137" spans="4:4" x14ac:dyDescent="0.25">
      <c r="D3137" s="1"/>
    </row>
    <row r="3138" spans="4:4" x14ac:dyDescent="0.25">
      <c r="D3138" s="1"/>
    </row>
    <row r="3139" spans="4:4" x14ac:dyDescent="0.25">
      <c r="D3139" s="1"/>
    </row>
    <row r="3140" spans="4:4" x14ac:dyDescent="0.25">
      <c r="D3140" s="1"/>
    </row>
    <row r="3141" spans="4:4" x14ac:dyDescent="0.25">
      <c r="D3141" s="1"/>
    </row>
    <row r="3142" spans="4:4" x14ac:dyDescent="0.25">
      <c r="D3142" s="1"/>
    </row>
    <row r="3143" spans="4:4" x14ac:dyDescent="0.25">
      <c r="D3143" s="1"/>
    </row>
    <row r="3144" spans="4:4" x14ac:dyDescent="0.25">
      <c r="D3144" s="1"/>
    </row>
    <row r="3145" spans="4:4" x14ac:dyDescent="0.25">
      <c r="D3145" s="1"/>
    </row>
    <row r="3146" spans="4:4" x14ac:dyDescent="0.25">
      <c r="D3146" s="1"/>
    </row>
    <row r="3147" spans="4:4" x14ac:dyDescent="0.25">
      <c r="D3147" s="1"/>
    </row>
    <row r="3148" spans="4:4" x14ac:dyDescent="0.25">
      <c r="D3148" s="1"/>
    </row>
    <row r="3149" spans="4:4" x14ac:dyDescent="0.25">
      <c r="D3149" s="1"/>
    </row>
    <row r="3150" spans="4:4" x14ac:dyDescent="0.25">
      <c r="D3150" s="1"/>
    </row>
    <row r="3151" spans="4:4" x14ac:dyDescent="0.25">
      <c r="D3151" s="1"/>
    </row>
    <row r="3152" spans="4:4" x14ac:dyDescent="0.25">
      <c r="D3152" s="1"/>
    </row>
    <row r="3153" spans="4:4" x14ac:dyDescent="0.25">
      <c r="D3153" s="1"/>
    </row>
    <row r="3154" spans="4:4" x14ac:dyDescent="0.25">
      <c r="D3154" s="1"/>
    </row>
    <row r="3155" spans="4:4" x14ac:dyDescent="0.25">
      <c r="D3155" s="1"/>
    </row>
    <row r="3156" spans="4:4" x14ac:dyDescent="0.25">
      <c r="D3156" s="1"/>
    </row>
    <row r="3157" spans="4:4" x14ac:dyDescent="0.25">
      <c r="D3157" s="1"/>
    </row>
    <row r="3158" spans="4:4" x14ac:dyDescent="0.25">
      <c r="D3158" s="1"/>
    </row>
    <row r="3159" spans="4:4" x14ac:dyDescent="0.25">
      <c r="D3159" s="1"/>
    </row>
    <row r="3160" spans="4:4" x14ac:dyDescent="0.25">
      <c r="D3160" s="1"/>
    </row>
    <row r="3161" spans="4:4" x14ac:dyDescent="0.25">
      <c r="D3161" s="1"/>
    </row>
    <row r="3162" spans="4:4" x14ac:dyDescent="0.25">
      <c r="D3162" s="1"/>
    </row>
    <row r="3163" spans="4:4" x14ac:dyDescent="0.25">
      <c r="D3163" s="1"/>
    </row>
    <row r="3164" spans="4:4" x14ac:dyDescent="0.25">
      <c r="D3164" s="1"/>
    </row>
    <row r="3165" spans="4:4" x14ac:dyDescent="0.25">
      <c r="D3165" s="1"/>
    </row>
    <row r="3166" spans="4:4" x14ac:dyDescent="0.25">
      <c r="D3166" s="1"/>
    </row>
    <row r="3167" spans="4:4" x14ac:dyDescent="0.25">
      <c r="D3167" s="1"/>
    </row>
    <row r="3168" spans="4:4" x14ac:dyDescent="0.25">
      <c r="D3168" s="1"/>
    </row>
    <row r="3169" spans="4:4" x14ac:dyDescent="0.25">
      <c r="D3169" s="1"/>
    </row>
    <row r="3170" spans="4:4" x14ac:dyDescent="0.25">
      <c r="D3170" s="1"/>
    </row>
    <row r="3171" spans="4:4" x14ac:dyDescent="0.25">
      <c r="D3171" s="1"/>
    </row>
    <row r="3172" spans="4:4" x14ac:dyDescent="0.25">
      <c r="D3172" s="1"/>
    </row>
    <row r="3173" spans="4:4" x14ac:dyDescent="0.25">
      <c r="D3173" s="1"/>
    </row>
    <row r="3174" spans="4:4" x14ac:dyDescent="0.25">
      <c r="D3174" s="1"/>
    </row>
    <row r="3175" spans="4:4" x14ac:dyDescent="0.25">
      <c r="D3175" s="1"/>
    </row>
    <row r="3176" spans="4:4" x14ac:dyDescent="0.25">
      <c r="D3176" s="1"/>
    </row>
    <row r="3177" spans="4:4" x14ac:dyDescent="0.25">
      <c r="D3177" s="1"/>
    </row>
    <row r="3178" spans="4:4" x14ac:dyDescent="0.25">
      <c r="D3178" s="1"/>
    </row>
    <row r="3179" spans="4:4" x14ac:dyDescent="0.25">
      <c r="D3179" s="1"/>
    </row>
    <row r="3180" spans="4:4" x14ac:dyDescent="0.25">
      <c r="D3180" s="1"/>
    </row>
    <row r="3181" spans="4:4" x14ac:dyDescent="0.25">
      <c r="D3181" s="1"/>
    </row>
    <row r="3182" spans="4:4" x14ac:dyDescent="0.25">
      <c r="D3182" s="1"/>
    </row>
    <row r="3183" spans="4:4" x14ac:dyDescent="0.25">
      <c r="D3183" s="1"/>
    </row>
    <row r="3184" spans="4:4" x14ac:dyDescent="0.25">
      <c r="D3184" s="1"/>
    </row>
    <row r="3185" spans="4:4" x14ac:dyDescent="0.25">
      <c r="D3185" s="1"/>
    </row>
    <row r="3186" spans="4:4" x14ac:dyDescent="0.25">
      <c r="D3186" s="1"/>
    </row>
    <row r="3187" spans="4:4" x14ac:dyDescent="0.25">
      <c r="D3187" s="1"/>
    </row>
    <row r="3188" spans="4:4" x14ac:dyDescent="0.25">
      <c r="D3188" s="1"/>
    </row>
    <row r="3189" spans="4:4" x14ac:dyDescent="0.25">
      <c r="D3189" s="1"/>
    </row>
    <row r="3190" spans="4:4" x14ac:dyDescent="0.25">
      <c r="D3190" s="1"/>
    </row>
    <row r="3191" spans="4:4" x14ac:dyDescent="0.25">
      <c r="D3191" s="1"/>
    </row>
    <row r="3192" spans="4:4" x14ac:dyDescent="0.25">
      <c r="D3192" s="1"/>
    </row>
    <row r="3193" spans="4:4" x14ac:dyDescent="0.25">
      <c r="D3193" s="1"/>
    </row>
    <row r="3194" spans="4:4" x14ac:dyDescent="0.25">
      <c r="D3194" s="1"/>
    </row>
    <row r="3195" spans="4:4" x14ac:dyDescent="0.25">
      <c r="D3195" s="1"/>
    </row>
    <row r="3196" spans="4:4" x14ac:dyDescent="0.25">
      <c r="D3196" s="1"/>
    </row>
    <row r="3197" spans="4:4" x14ac:dyDescent="0.25">
      <c r="D3197" s="1"/>
    </row>
    <row r="3198" spans="4:4" x14ac:dyDescent="0.25">
      <c r="D3198" s="1"/>
    </row>
    <row r="3199" spans="4:4" x14ac:dyDescent="0.25">
      <c r="D3199" s="1"/>
    </row>
    <row r="3200" spans="4:4" x14ac:dyDescent="0.25">
      <c r="D3200" s="1"/>
    </row>
    <row r="3201" spans="4:4" x14ac:dyDescent="0.25">
      <c r="D3201" s="1"/>
    </row>
    <row r="3202" spans="4:4" x14ac:dyDescent="0.25">
      <c r="D3202" s="1"/>
    </row>
    <row r="3203" spans="4:4" x14ac:dyDescent="0.25">
      <c r="D3203" s="1"/>
    </row>
    <row r="3204" spans="4:4" x14ac:dyDescent="0.25">
      <c r="D3204" s="1"/>
    </row>
    <row r="3205" spans="4:4" x14ac:dyDescent="0.25">
      <c r="D3205" s="1"/>
    </row>
    <row r="3206" spans="4:4" x14ac:dyDescent="0.25">
      <c r="D3206" s="1"/>
    </row>
    <row r="3207" spans="4:4" x14ac:dyDescent="0.25">
      <c r="D3207" s="1"/>
    </row>
    <row r="3208" spans="4:4" x14ac:dyDescent="0.25">
      <c r="D3208" s="1"/>
    </row>
    <row r="3209" spans="4:4" x14ac:dyDescent="0.25">
      <c r="D3209" s="1"/>
    </row>
    <row r="3210" spans="4:4" x14ac:dyDescent="0.25">
      <c r="D3210" s="1"/>
    </row>
    <row r="3211" spans="4:4" x14ac:dyDescent="0.25">
      <c r="D3211" s="1"/>
    </row>
    <row r="3212" spans="4:4" x14ac:dyDescent="0.25">
      <c r="D3212" s="1"/>
    </row>
    <row r="3213" spans="4:4" x14ac:dyDescent="0.25">
      <c r="D3213" s="1"/>
    </row>
    <row r="3214" spans="4:4" x14ac:dyDescent="0.25">
      <c r="D3214" s="1"/>
    </row>
    <row r="3215" spans="4:4" x14ac:dyDescent="0.25">
      <c r="D3215" s="1"/>
    </row>
    <row r="3216" spans="4:4" x14ac:dyDescent="0.25">
      <c r="D3216" s="1"/>
    </row>
    <row r="3217" spans="4:4" x14ac:dyDescent="0.25">
      <c r="D3217" s="1"/>
    </row>
    <row r="3218" spans="4:4" x14ac:dyDescent="0.25">
      <c r="D3218" s="1"/>
    </row>
    <row r="3219" spans="4:4" x14ac:dyDescent="0.25">
      <c r="D3219" s="1"/>
    </row>
    <row r="3220" spans="4:4" x14ac:dyDescent="0.25">
      <c r="D3220" s="1"/>
    </row>
    <row r="3221" spans="4:4" x14ac:dyDescent="0.25">
      <c r="D3221" s="1"/>
    </row>
    <row r="3222" spans="4:4" x14ac:dyDescent="0.25">
      <c r="D3222" s="1"/>
    </row>
    <row r="3223" spans="4:4" x14ac:dyDescent="0.25">
      <c r="D3223" s="1"/>
    </row>
    <row r="3224" spans="4:4" x14ac:dyDescent="0.25">
      <c r="D3224" s="1"/>
    </row>
    <row r="3225" spans="4:4" x14ac:dyDescent="0.25">
      <c r="D3225" s="1"/>
    </row>
    <row r="3226" spans="4:4" x14ac:dyDescent="0.25">
      <c r="D3226" s="1"/>
    </row>
    <row r="3227" spans="4:4" x14ac:dyDescent="0.25">
      <c r="D3227" s="1"/>
    </row>
    <row r="3228" spans="4:4" x14ac:dyDescent="0.25">
      <c r="D3228" s="1"/>
    </row>
    <row r="3229" spans="4:4" x14ac:dyDescent="0.25">
      <c r="D3229" s="1"/>
    </row>
    <row r="3230" spans="4:4" x14ac:dyDescent="0.25">
      <c r="D3230" s="1"/>
    </row>
    <row r="3231" spans="4:4" x14ac:dyDescent="0.25">
      <c r="D3231" s="1"/>
    </row>
    <row r="3232" spans="4:4" x14ac:dyDescent="0.25">
      <c r="D3232" s="1"/>
    </row>
    <row r="3233" spans="4:4" x14ac:dyDescent="0.25">
      <c r="D3233" s="1"/>
    </row>
  </sheetData>
  <pageMargins left="0.7" right="0.7" top="0.75" bottom="0.75" header="0.3" footer="0.3"/>
  <drawing r:id="rId3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tabSelected="1" workbookViewId="0">
      <selection activeCell="E8" sqref="E8:V68"/>
    </sheetView>
  </sheetViews>
  <sheetFormatPr defaultRowHeight="15" x14ac:dyDescent="0.25"/>
  <sheetData/>
  <pageMargins left="0.7" right="0.7" top="0.75" bottom="0.75" header="0.3" footer="0.3"/>
  <pageSetup scale="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Sheet1</vt:lpstr>
      <vt:lpstr>Sheet2</vt:lpstr>
      <vt:lpstr>Sheet3</vt:lpstr>
      <vt:lpstr>Sheet5</vt:lpstr>
      <vt:lpstr>&gt;80 LTV</vt:lpstr>
      <vt:lpstr>&lt;80 LTV</vt:lpstr>
      <vt:lpstr>no LTV filter</vt:lpstr>
      <vt:lpstr>Sheet6</vt:lpstr>
      <vt:lpstr>Sheet1!temp_1</vt:lpstr>
      <vt:lpstr>Sheet1!temp_2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2016-01-29T23:08:28Z</cp:lastPrinted>
  <dcterms:created xsi:type="dcterms:W3CDTF">2016-01-15T15:24:03Z</dcterms:created>
  <dcterms:modified xsi:type="dcterms:W3CDTF">2016-01-29T23:28:16Z</dcterms:modified>
</cp:coreProperties>
</file>